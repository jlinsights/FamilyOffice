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micha\Downloads\1. 증여세 신고서식\1. 증여세 신고서식\증여신고서 작성 엑셀 프로그램\"/>
    </mc:Choice>
  </mc:AlternateContent>
  <xr:revisionPtr revIDLastSave="0" documentId="13_ncr:1_{B227B452-A6C7-4608-A5F4-D50A7D7FF22D}" xr6:coauthVersionLast="47" xr6:coauthVersionMax="47" xr10:uidLastSave="{00000000-0000-0000-0000-000000000000}"/>
  <bookViews>
    <workbookView xWindow="-110" yWindow="-110" windowWidth="24220" windowHeight="15500" tabRatio="699" xr2:uid="{00000000-000D-0000-FFFF-FFFF00000000}"/>
  </bookViews>
  <sheets>
    <sheet name="증여내용입력" sheetId="4" r:id="rId1"/>
    <sheet name="1. 증여세신고서" sheetId="18" r:id="rId2"/>
    <sheet name="2. 평가명세서" sheetId="22" r:id="rId3"/>
    <sheet name="(참고) 2. 평가명세서 작성방법" sheetId="23" r:id="rId4"/>
    <sheet name="3. 납부서" sheetId="14" r:id="rId5"/>
    <sheet name="세무서(가나다순)" sheetId="21" state="hidden" r:id="rId6"/>
    <sheet name="증여세계산(대납액)" sheetId="17" state="hidden" r:id="rId7"/>
    <sheet name="세무서코드" sheetId="15" state="hidden" r:id="rId8"/>
    <sheet name="자료" sheetId="5" r:id="rId9"/>
    <sheet name="세무서" sheetId="20" r:id="rId10"/>
  </sheets>
  <definedNames>
    <definedName name="_xlnm.Print_Area" localSheetId="1">'1. 증여세신고서'!$B$2:$AB$43</definedName>
    <definedName name="_xlnm.Print_Area" localSheetId="2">'2. 평가명세서'!$B$2:$T$27</definedName>
    <definedName name="_xlnm.Print_Area" localSheetId="4">'3. 납부서'!$B$2:$AQ$54</definedName>
    <definedName name="_xlnm.Print_Area" localSheetId="7">세무서코드!$A$1:$I$44</definedName>
    <definedName name="관할세무서">세무서!$A$2:$A$115</definedName>
    <definedName name="납부할세액">'1. 증여세신고서'!$X$25</definedName>
    <definedName name="세대생략여부">자료!$A$12:$A$14</definedName>
    <definedName name="수증자선택">자료!$A$2:$A$8</definedName>
    <definedName name="예정신고여부">자료!$A$17:$A$19</definedName>
    <definedName name="증여공제액">자료!$A$21:$B$33</definedName>
    <definedName name="증여일">증여내용입력!$C$18</definedName>
    <definedName name="증여자와의관계">자료!$A$22:$A$34</definedName>
    <definedName name="증여재산">자료!$A$37:$A$40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25" i="18" l="1"/>
  <c r="K27" i="18" l="1"/>
  <c r="K26" i="18"/>
  <c r="O32" i="18" l="1"/>
  <c r="X9" i="18"/>
  <c r="K17" i="18"/>
  <c r="T43" i="18"/>
  <c r="S9" i="22"/>
  <c r="S10" i="22"/>
  <c r="S11" i="22"/>
  <c r="AK14" i="14"/>
  <c r="J7" i="14" s="1"/>
  <c r="B9" i="22"/>
  <c r="D9" i="22"/>
  <c r="B10" i="22"/>
  <c r="D10" i="22"/>
  <c r="B11" i="22"/>
  <c r="D11" i="22"/>
  <c r="N20" i="4"/>
  <c r="I12" i="17"/>
  <c r="J43" i="14" l="1"/>
  <c r="J25" i="14"/>
  <c r="J23" i="22" l="1"/>
  <c r="J22" i="22"/>
  <c r="J21" i="22"/>
  <c r="J20" i="22"/>
  <c r="S8" i="22"/>
  <c r="E22" i="4"/>
  <c r="D8" i="22"/>
  <c r="Q8" i="22"/>
  <c r="M8" i="22" s="1"/>
  <c r="B8" i="22"/>
  <c r="Z7" i="18" l="1"/>
  <c r="X7" i="18"/>
  <c r="O9" i="18"/>
  <c r="Z12" i="18" l="1"/>
  <c r="X10" i="18" l="1"/>
  <c r="G10" i="18"/>
  <c r="G8" i="18"/>
  <c r="E10" i="4" l="1"/>
  <c r="D10" i="4"/>
  <c r="O7" i="18"/>
  <c r="G11" i="18" l="1"/>
  <c r="G7" i="18" l="1"/>
  <c r="Y7" i="14"/>
  <c r="Y25" i="14" s="1"/>
  <c r="Y43" i="14" s="1"/>
  <c r="H11" i="14"/>
  <c r="H29" i="14" s="1"/>
  <c r="H47" i="14" s="1"/>
  <c r="D8" i="17"/>
  <c r="I15" i="17"/>
  <c r="E26" i="4"/>
  <c r="F26" i="4"/>
  <c r="X9" i="14"/>
  <c r="X45" i="14" s="1"/>
  <c r="G9" i="14"/>
  <c r="G27" i="14" s="1"/>
  <c r="G45" i="14" s="1"/>
  <c r="U8" i="14"/>
  <c r="U26" i="14" s="1"/>
  <c r="U44" i="14" s="1"/>
  <c r="G8" i="14"/>
  <c r="G26" i="14" s="1"/>
  <c r="G44" i="14" s="1"/>
  <c r="O10" i="18"/>
  <c r="AE23" i="14"/>
  <c r="AE41" i="14" s="1"/>
  <c r="B25" i="14"/>
  <c r="N25" i="14"/>
  <c r="R25" i="14"/>
  <c r="R43" i="14" s="1"/>
  <c r="B32" i="14"/>
  <c r="B50" i="14" s="1"/>
  <c r="B43" i="14"/>
  <c r="N43" i="14"/>
  <c r="I5" i="17" l="1"/>
  <c r="K23" i="18"/>
  <c r="K24" i="18" s="1"/>
  <c r="X18" i="18"/>
  <c r="I14" i="17"/>
  <c r="I4" i="17"/>
  <c r="X27" i="14"/>
  <c r="AE7" i="14"/>
  <c r="AE25" i="14" s="1"/>
  <c r="AE43" i="14" s="1"/>
  <c r="I7" i="17"/>
  <c r="G7" i="14"/>
  <c r="G25" i="14" s="1"/>
  <c r="G43" i="14" s="1"/>
  <c r="J24" i="22" l="1"/>
  <c r="J19" i="22"/>
  <c r="I8" i="17"/>
  <c r="O8" i="17" s="1"/>
  <c r="I9" i="17" s="1"/>
  <c r="AI9" i="14"/>
  <c r="AI27" i="14" s="1"/>
  <c r="AI45" i="14" s="1"/>
  <c r="AK32" i="14"/>
  <c r="AK50" i="14" s="1"/>
  <c r="K30" i="18" l="1"/>
  <c r="I10" i="17"/>
  <c r="I11" i="17"/>
  <c r="J25" i="22"/>
  <c r="K31" i="18" l="1"/>
  <c r="N19" i="4" s="1"/>
  <c r="K32" i="18"/>
  <c r="J12" i="17"/>
  <c r="K33" i="18" l="1"/>
  <c r="K34" i="18" s="1"/>
  <c r="X20" i="18" s="1"/>
  <c r="X17" i="18" s="1"/>
  <c r="X25" i="18" s="1"/>
  <c r="I13" i="17"/>
  <c r="X29" i="18" l="1"/>
  <c r="H14" i="14"/>
  <c r="R14" i="14"/>
  <c r="K14" i="14"/>
  <c r="O14" i="14"/>
  <c r="J14" i="14"/>
  <c r="I14" i="14"/>
  <c r="T14" i="14"/>
  <c r="S14" i="14"/>
  <c r="P14" i="14"/>
  <c r="N14" i="14"/>
  <c r="Q14" i="14"/>
  <c r="M14" i="14"/>
  <c r="L14" i="14"/>
  <c r="J15" i="17"/>
  <c r="I16" i="17" s="1"/>
  <c r="K6" i="17" l="1"/>
  <c r="R32" i="14" l="1"/>
  <c r="H17" i="14"/>
  <c r="T32" i="14"/>
  <c r="Q17" i="14"/>
  <c r="O17" i="14"/>
  <c r="L32" i="14"/>
  <c r="S17" i="14"/>
  <c r="K17" i="14"/>
  <c r="N17" i="14"/>
  <c r="I17" i="14"/>
  <c r="J32" i="14"/>
  <c r="P32" i="14"/>
  <c r="M32" i="14"/>
  <c r="M17" i="14"/>
  <c r="R17" i="14" l="1"/>
  <c r="Q32" i="14"/>
  <c r="Q35" i="14" s="1"/>
  <c r="K32" i="14"/>
  <c r="K50" i="14" s="1"/>
  <c r="K53" i="14" s="1"/>
  <c r="T17" i="14"/>
  <c r="I32" i="14"/>
  <c r="I35" i="14" s="1"/>
  <c r="P17" i="14"/>
  <c r="O32" i="14"/>
  <c r="O35" i="14" s="1"/>
  <c r="N32" i="14"/>
  <c r="N35" i="14" s="1"/>
  <c r="L17" i="14"/>
  <c r="J17" i="14"/>
  <c r="H32" i="14"/>
  <c r="H35" i="14" s="1"/>
  <c r="S32" i="14"/>
  <c r="S35" i="14" s="1"/>
  <c r="M50" i="14"/>
  <c r="M53" i="14" s="1"/>
  <c r="M35" i="14"/>
  <c r="P50" i="14"/>
  <c r="P53" i="14" s="1"/>
  <c r="P35" i="14"/>
  <c r="J50" i="14"/>
  <c r="J53" i="14" s="1"/>
  <c r="J35" i="14"/>
  <c r="T50" i="14"/>
  <c r="T53" i="14" s="1"/>
  <c r="T35" i="14"/>
  <c r="L50" i="14"/>
  <c r="L53" i="14" s="1"/>
  <c r="L35" i="14"/>
  <c r="R50" i="14"/>
  <c r="R53" i="14" s="1"/>
  <c r="R35" i="14"/>
  <c r="Q50" i="14" l="1"/>
  <c r="Q53" i="14" s="1"/>
  <c r="O50" i="14"/>
  <c r="O53" i="14" s="1"/>
  <c r="K35" i="14"/>
  <c r="N50" i="14"/>
  <c r="N53" i="14" s="1"/>
  <c r="H50" i="14"/>
  <c r="H53" i="14" s="1"/>
  <c r="I50" i="14"/>
  <c r="I53" i="14" s="1"/>
  <c r="S50" i="14"/>
  <c r="S53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엄태오</author>
    <author>owner</author>
  </authors>
  <commentList>
    <comment ref="D5" authorId="0" shapeId="0" xr:uid="{8D63EF89-DE9D-45EB-8E21-011C6270652E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'거주자'는 국내에 주소를 두거나 183일 이상 거소(居所)를 둔 사람을 말합니다.
(「상속세 및 증여세법」 제2조 제8호)</t>
        </r>
      </text>
    </comment>
    <comment ref="D8" authorId="1" shapeId="0" xr:uid="{00000000-0006-0000-0000-00000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사위나 며느리는 기타친족에 속합니다.</t>
        </r>
      </text>
    </comment>
    <comment ref="D9" authorId="1" shapeId="0" xr:uid="{00000000-0006-0000-0000-00000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수증자의 주소지관할세무서를 선택합니다.</t>
        </r>
      </text>
    </comment>
    <comment ref="D15" authorId="1" shapeId="0" xr:uid="{00000000-0006-0000-0000-00000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조부모-&gt;손자
세대를 생략하고 증여하는 경우 '예'를 선택합니다.</t>
        </r>
      </text>
    </comment>
    <comment ref="D16" authorId="1" shapeId="0" xr:uid="{00000000-0006-0000-0000-00000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증여일 이후 3개월이내에 신고납부하는 경우 '예'를 선택합니다.</t>
        </r>
      </text>
    </comment>
    <comment ref="B17" authorId="1" shapeId="0" xr:uid="{00000000-0006-0000-0000-00000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3개월이내 증여분을 함께신고하는 경우</t>
        </r>
      </text>
    </comment>
    <comment ref="C18" authorId="1" shapeId="0" xr:uid="{00000000-0006-0000-0000-00000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날짜형식으로 지정되어있으므로 다음과 같은 방식으로 입력합니다.
예&gt;2017/5/1</t>
        </r>
      </text>
    </comment>
    <comment ref="B23" authorId="1" shapeId="0" xr:uid="{00000000-0006-0000-0000-00000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동일인(배우자포함)으로부터 10년이내 증여 받은 부분이 있다면 합산.</t>
        </r>
      </text>
    </comment>
    <comment ref="F24" authorId="1" shapeId="0" xr:uid="{00000000-0006-0000-0000-000008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기납부세액은 세액공제를 적용하기 전의 증여세액으로 합니다.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owner</author>
  </authors>
  <commentList>
    <comment ref="I6" authorId="0" shapeId="0" xr:uid="{00000000-0006-0000-0500-000001000000}">
      <text>
        <r>
          <rPr>
            <b/>
            <sz val="9"/>
            <color indexed="81"/>
            <rFont val="굴림"/>
            <family val="3"/>
            <charset val="129"/>
          </rPr>
          <t xml:space="preserve">데이터-&gt;가상분석-&gt;목표값 찾기 를 통하여 납부할 세액과의 차이가 "0"이 되는 증여세 대납액을 구합니다. </t>
        </r>
      </text>
    </comment>
    <comment ref="K6" authorId="0" shapeId="0" xr:uid="{00000000-0006-0000-0500-000002000000}">
      <text>
        <r>
          <rPr>
            <b/>
            <sz val="9"/>
            <color indexed="81"/>
            <rFont val="굴림"/>
            <family val="3"/>
            <charset val="129"/>
          </rPr>
          <t>증여세대납액과 납부할세액의 차이를 말합니다.</t>
        </r>
      </text>
    </comment>
    <comment ref="J15" authorId="0" shapeId="0" xr:uid="{00000000-0006-0000-0500-000003000000}">
      <text>
        <r>
          <rPr>
            <b/>
            <sz val="9"/>
            <color indexed="81"/>
            <rFont val="돋움"/>
            <family val="3"/>
            <charset val="129"/>
          </rPr>
          <t>기증여분에 대한 세액은 제외한 이번 증여분에 대한 세액에 한해 신고세액공제를 적용합니다.</t>
        </r>
      </text>
    </comment>
  </commentList>
</comments>
</file>

<file path=xl/sharedStrings.xml><?xml version="1.0" encoding="utf-8"?>
<sst xmlns="http://schemas.openxmlformats.org/spreadsheetml/2006/main" count="1344" uniqueCount="859">
  <si>
    <t>증여재산가액</t>
    <phoneticPr fontId="2" type="noConversion"/>
  </si>
  <si>
    <t>증여세과세가액</t>
    <phoneticPr fontId="2" type="noConversion"/>
  </si>
  <si>
    <t>증여재산공제</t>
    <phoneticPr fontId="2" type="noConversion"/>
  </si>
  <si>
    <t>세율</t>
    <phoneticPr fontId="2" type="noConversion"/>
  </si>
  <si>
    <t>산출세액</t>
    <phoneticPr fontId="2" type="noConversion"/>
  </si>
  <si>
    <t>산출세액계</t>
    <phoneticPr fontId="2" type="noConversion"/>
  </si>
  <si>
    <t>납부할세액</t>
    <phoneticPr fontId="2" type="noConversion"/>
  </si>
  <si>
    <t>과세표준</t>
    <phoneticPr fontId="2" type="noConversion"/>
  </si>
  <si>
    <t>배우자</t>
    <phoneticPr fontId="2" type="noConversion"/>
  </si>
  <si>
    <t>직계존속</t>
    <phoneticPr fontId="2" type="noConversion"/>
  </si>
  <si>
    <t>기타</t>
    <phoneticPr fontId="2" type="noConversion"/>
  </si>
  <si>
    <t>기타 친족</t>
    <phoneticPr fontId="2" type="noConversion"/>
  </si>
  <si>
    <t>직계비속(미성년자 0)</t>
    <phoneticPr fontId="2" type="noConversion"/>
  </si>
  <si>
    <t>&lt;선택해주세요&gt;</t>
    <phoneticPr fontId="2" type="noConversion"/>
  </si>
  <si>
    <t>금               액</t>
    <phoneticPr fontId="2" type="noConversion"/>
  </si>
  <si>
    <t>예</t>
    <phoneticPr fontId="2" type="noConversion"/>
  </si>
  <si>
    <t>&lt;선택해주세요&gt;</t>
    <phoneticPr fontId="2" type="noConversion"/>
  </si>
  <si>
    <t>아니오</t>
    <phoneticPr fontId="2" type="noConversion"/>
  </si>
  <si>
    <t>증여세차이</t>
    <phoneticPr fontId="2" type="noConversion"/>
  </si>
  <si>
    <t>증여세대납액</t>
    <phoneticPr fontId="2" type="noConversion"/>
  </si>
  <si>
    <t>+</t>
    <phoneticPr fontId="2" type="noConversion"/>
  </si>
  <si>
    <t>-</t>
    <phoneticPr fontId="2" type="noConversion"/>
  </si>
  <si>
    <t>=</t>
    <phoneticPr fontId="2" type="noConversion"/>
  </si>
  <si>
    <t>x</t>
    <phoneticPr fontId="2" type="noConversion"/>
  </si>
  <si>
    <t>증 여 세 계 산</t>
    <phoneticPr fontId="2" type="noConversion"/>
  </si>
  <si>
    <t>* 주의사항 :  증여재산가액은 금액으로 입력하고 분홍색으로 표식된 칸은 CASE에 맞게
                 선택하면 자동적으로 계산됩니다.</t>
    <phoneticPr fontId="2" type="noConversion"/>
  </si>
  <si>
    <t>구                   분</t>
    <phoneticPr fontId="2" type="noConversion"/>
  </si>
  <si>
    <t>가산액</t>
    <phoneticPr fontId="2" type="noConversion"/>
  </si>
  <si>
    <t>공제액</t>
    <phoneticPr fontId="2" type="noConversion"/>
  </si>
  <si>
    <t>수증자선택</t>
    <phoneticPr fontId="2" type="noConversion"/>
  </si>
  <si>
    <t>공제금액</t>
    <phoneticPr fontId="2" type="noConversion"/>
  </si>
  <si>
    <t>세대생략여부</t>
    <phoneticPr fontId="2" type="noConversion"/>
  </si>
  <si>
    <t>예정신고여부</t>
    <phoneticPr fontId="2" type="noConversion"/>
  </si>
  <si>
    <t>☞ 당해 계산식은 증여를 받는 사람이 소득이 없거나 증여세를 납부할 재산이 없어 증여를
   하는 사람이 증여와 동시에 증여세를 대신 납부해 주고자 할 때 증여세 대납액도 증여재
   산가액에 포함하여 계산하기 위한 양식입니다.</t>
    <phoneticPr fontId="2" type="noConversion"/>
  </si>
  <si>
    <t>영  수  필  통  지  서(징수기관용)</t>
    <phoneticPr fontId="12" type="noConversion"/>
  </si>
  <si>
    <t>(제1면)</t>
    <phoneticPr fontId="12" type="noConversion"/>
  </si>
  <si>
    <t>(전자) 납 부 번 호</t>
    <phoneticPr fontId="12" type="noConversion"/>
  </si>
  <si>
    <t>수입징수관서</t>
    <phoneticPr fontId="12" type="noConversion"/>
  </si>
  <si>
    <t>계  좌  번  호</t>
    <phoneticPr fontId="12" type="noConversion"/>
  </si>
  <si>
    <t>분류기호</t>
    <phoneticPr fontId="12" type="noConversion"/>
  </si>
  <si>
    <t>서코드</t>
    <phoneticPr fontId="12" type="noConversion"/>
  </si>
  <si>
    <t>납부연월</t>
    <phoneticPr fontId="12" type="noConversion"/>
  </si>
  <si>
    <t>납부구분</t>
    <phoneticPr fontId="12" type="noConversion"/>
  </si>
  <si>
    <t>세목</t>
    <phoneticPr fontId="12" type="noConversion"/>
  </si>
  <si>
    <t>0126</t>
    <phoneticPr fontId="12" type="noConversion"/>
  </si>
  <si>
    <t>1</t>
    <phoneticPr fontId="12" type="noConversion"/>
  </si>
  <si>
    <t>세무서</t>
    <phoneticPr fontId="12" type="noConversion"/>
  </si>
  <si>
    <t>상   호(성명)</t>
    <phoneticPr fontId="12" type="noConversion"/>
  </si>
  <si>
    <t>사업자(주민)등록번호</t>
    <phoneticPr fontId="12" type="noConversion"/>
  </si>
  <si>
    <t>일반회계</t>
    <phoneticPr fontId="12" type="noConversion"/>
  </si>
  <si>
    <t>재정경제부소관</t>
    <phoneticPr fontId="12" type="noConversion"/>
  </si>
  <si>
    <t>조세</t>
    <phoneticPr fontId="12" type="noConversion"/>
  </si>
  <si>
    <t>사업장(주소)</t>
    <phoneticPr fontId="12" type="noConversion"/>
  </si>
  <si>
    <t>전화</t>
    <phoneticPr fontId="12" type="noConversion"/>
  </si>
  <si>
    <t>회계연도</t>
    <phoneticPr fontId="12" type="noConversion"/>
  </si>
  <si>
    <t>귀속연도/기분</t>
    <phoneticPr fontId="12" type="noConversion"/>
  </si>
  <si>
    <t>년 귀속</t>
    <phoneticPr fontId="12" type="noConversion"/>
  </si>
  <si>
    <t>기  분</t>
    <phoneticPr fontId="12" type="noConversion"/>
  </si>
  <si>
    <t xml:space="preserve">  왼쪽의 금액을 한국은행 국고(수납)대리점인 은행 또는 우체국에
  납부하시기 바랍니다.
  (인터넷 등에 의한 전자납부 가능)</t>
    <phoneticPr fontId="12" type="noConversion"/>
  </si>
  <si>
    <t>세 목 명</t>
    <phoneticPr fontId="12" type="noConversion"/>
  </si>
  <si>
    <t>납부금액</t>
    <phoneticPr fontId="12" type="noConversion"/>
  </si>
  <si>
    <t>조</t>
    <phoneticPr fontId="12" type="noConversion"/>
  </si>
  <si>
    <t>천</t>
    <phoneticPr fontId="12" type="noConversion"/>
  </si>
  <si>
    <t>백</t>
    <phoneticPr fontId="12" type="noConversion"/>
  </si>
  <si>
    <t>십</t>
    <phoneticPr fontId="12" type="noConversion"/>
  </si>
  <si>
    <t>억</t>
    <phoneticPr fontId="12" type="noConversion"/>
  </si>
  <si>
    <t>만</t>
    <phoneticPr fontId="12" type="noConversion"/>
  </si>
  <si>
    <t>원</t>
    <phoneticPr fontId="12" type="noConversion"/>
  </si>
  <si>
    <t>증 여 세</t>
    <phoneticPr fontId="12" type="noConversion"/>
  </si>
  <si>
    <t>납부기한</t>
    <phoneticPr fontId="12" type="noConversion"/>
  </si>
  <si>
    <t>년          월          일</t>
    <phoneticPr fontId="12" type="noConversion"/>
  </si>
  <si>
    <t>은   행</t>
    <phoneticPr fontId="12" type="noConversion"/>
  </si>
  <si>
    <t>지점</t>
    <phoneticPr fontId="12" type="noConversion"/>
  </si>
  <si>
    <t xml:space="preserve">수납인
</t>
    <phoneticPr fontId="12" type="noConversion"/>
  </si>
  <si>
    <t xml:space="preserve">계  </t>
    <phoneticPr fontId="12" type="noConversion"/>
  </si>
  <si>
    <t>우체국</t>
    <phoneticPr fontId="12" type="noConversion"/>
  </si>
  <si>
    <t>납  부  서(수납기관용)</t>
    <phoneticPr fontId="12" type="noConversion"/>
  </si>
  <si>
    <t>(제2면)</t>
    <phoneticPr fontId="12" type="noConversion"/>
  </si>
  <si>
    <t>영  수  증  서(납세자용)</t>
    <phoneticPr fontId="12" type="noConversion"/>
  </si>
  <si>
    <t>(제3면)</t>
    <phoneticPr fontId="12" type="noConversion"/>
  </si>
  <si>
    <t>계좌번호</t>
    <phoneticPr fontId="2" type="noConversion"/>
  </si>
  <si>
    <t>세무서명</t>
    <phoneticPr fontId="2" type="noConversion"/>
  </si>
  <si>
    <t>세무서
코드</t>
    <phoneticPr fontId="2" type="noConversion"/>
  </si>
  <si>
    <t>세무서명</t>
    <phoneticPr fontId="2" type="noConversion"/>
  </si>
  <si>
    <t>세무서
코드</t>
    <phoneticPr fontId="2" type="noConversion"/>
  </si>
  <si>
    <t>계좌번호</t>
    <phoneticPr fontId="2" type="noConversion"/>
  </si>
  <si>
    <t>강남</t>
    <phoneticPr fontId="2" type="noConversion"/>
  </si>
  <si>
    <t>강동</t>
    <phoneticPr fontId="2" type="noConversion"/>
  </si>
  <si>
    <t>강릉</t>
    <phoneticPr fontId="2" type="noConversion"/>
  </si>
  <si>
    <t>강서</t>
    <phoneticPr fontId="2" type="noConversion"/>
  </si>
  <si>
    <t>거창</t>
    <phoneticPr fontId="2" type="noConversion"/>
  </si>
  <si>
    <t>경산</t>
    <phoneticPr fontId="2" type="noConversion"/>
  </si>
  <si>
    <t>경주</t>
    <phoneticPr fontId="2" type="noConversion"/>
  </si>
  <si>
    <t>공주</t>
    <phoneticPr fontId="2" type="noConversion"/>
  </si>
  <si>
    <t>광주</t>
    <phoneticPr fontId="2" type="noConversion"/>
  </si>
  <si>
    <t>구로</t>
    <phoneticPr fontId="2" type="noConversion"/>
  </si>
  <si>
    <t>구미</t>
    <phoneticPr fontId="2" type="noConversion"/>
  </si>
  <si>
    <t>군산</t>
    <phoneticPr fontId="2" type="noConversion"/>
  </si>
  <si>
    <t>금정</t>
    <phoneticPr fontId="2" type="noConversion"/>
  </si>
  <si>
    <t>금천</t>
    <phoneticPr fontId="2" type="noConversion"/>
  </si>
  <si>
    <t>김천</t>
    <phoneticPr fontId="2" type="noConversion"/>
  </si>
  <si>
    <t>김해</t>
    <phoneticPr fontId="2" type="noConversion"/>
  </si>
  <si>
    <t>나주</t>
    <phoneticPr fontId="2" type="noConversion"/>
  </si>
  <si>
    <t>남대구</t>
    <phoneticPr fontId="2" type="noConversion"/>
  </si>
  <si>
    <t>남대문</t>
    <phoneticPr fontId="2" type="noConversion"/>
  </si>
  <si>
    <t>남양주</t>
    <phoneticPr fontId="2" type="noConversion"/>
  </si>
  <si>
    <t>남원</t>
    <phoneticPr fontId="2" type="noConversion"/>
  </si>
  <si>
    <t>남인천</t>
    <phoneticPr fontId="2" type="noConversion"/>
  </si>
  <si>
    <t>논산</t>
    <phoneticPr fontId="2" type="noConversion"/>
  </si>
  <si>
    <t>대전</t>
    <phoneticPr fontId="2" type="noConversion"/>
  </si>
  <si>
    <t>도봉</t>
    <phoneticPr fontId="2" type="noConversion"/>
  </si>
  <si>
    <t>동대구</t>
    <phoneticPr fontId="2" type="noConversion"/>
  </si>
  <si>
    <t>동대문</t>
    <phoneticPr fontId="2" type="noConversion"/>
  </si>
  <si>
    <t>동래</t>
    <phoneticPr fontId="2" type="noConversion"/>
  </si>
  <si>
    <t>동수원</t>
    <phoneticPr fontId="2" type="noConversion"/>
  </si>
  <si>
    <t>동작</t>
    <phoneticPr fontId="2" type="noConversion"/>
  </si>
  <si>
    <t>세무서코드 및 계좌번호</t>
    <phoneticPr fontId="2" type="noConversion"/>
  </si>
  <si>
    <t>금액</t>
    <phoneticPr fontId="2" type="noConversion"/>
  </si>
  <si>
    <t>+</t>
    <phoneticPr fontId="2" type="noConversion"/>
  </si>
  <si>
    <t>사전증여재산가액</t>
    <phoneticPr fontId="2" type="noConversion"/>
  </si>
  <si>
    <t>기납부증여세액공제</t>
    <phoneticPr fontId="2" type="noConversion"/>
  </si>
  <si>
    <t>수
증
자</t>
    <phoneticPr fontId="2" type="noConversion"/>
  </si>
  <si>
    <t>이름</t>
    <phoneticPr fontId="2" type="noConversion"/>
  </si>
  <si>
    <t>주민번호</t>
    <phoneticPr fontId="2" type="noConversion"/>
  </si>
  <si>
    <t>주소</t>
    <phoneticPr fontId="2" type="noConversion"/>
  </si>
  <si>
    <t>전화번호</t>
    <phoneticPr fontId="2" type="noConversion"/>
  </si>
  <si>
    <t>증여자와관계</t>
    <phoneticPr fontId="2" type="noConversion"/>
  </si>
  <si>
    <t>증
여
자</t>
    <phoneticPr fontId="2" type="noConversion"/>
  </si>
  <si>
    <t>세대생략여부</t>
    <phoneticPr fontId="2" type="noConversion"/>
  </si>
  <si>
    <t>예정신고여부</t>
    <phoneticPr fontId="2" type="noConversion"/>
  </si>
  <si>
    <t>증여일</t>
    <phoneticPr fontId="2" type="noConversion"/>
  </si>
  <si>
    <t>조모</t>
    <phoneticPr fontId="2" type="noConversion"/>
  </si>
  <si>
    <t>조부</t>
    <phoneticPr fontId="2" type="noConversion"/>
  </si>
  <si>
    <t>부</t>
    <phoneticPr fontId="2" type="noConversion"/>
  </si>
  <si>
    <t>모</t>
    <phoneticPr fontId="2" type="noConversion"/>
  </si>
  <si>
    <t>기타친족</t>
    <phoneticPr fontId="2" type="noConversion"/>
  </si>
  <si>
    <t>기타</t>
    <phoneticPr fontId="2" type="noConversion"/>
  </si>
  <si>
    <t>공제금액</t>
    <phoneticPr fontId="2" type="noConversion"/>
  </si>
  <si>
    <t>증여자와의관계</t>
    <phoneticPr fontId="2" type="noConversion"/>
  </si>
  <si>
    <t>&lt;선택해주세요&gt;</t>
    <phoneticPr fontId="2" type="noConversion"/>
  </si>
  <si>
    <t>세대생략가산액</t>
    <phoneticPr fontId="2" type="noConversion"/>
  </si>
  <si>
    <t>신고세액공제</t>
    <phoneticPr fontId="2" type="noConversion"/>
  </si>
  <si>
    <t>관할 세무서</t>
    <phoneticPr fontId="2" type="noConversion"/>
  </si>
  <si>
    <t>조부</t>
    <phoneticPr fontId="2" type="noConversion"/>
  </si>
  <si>
    <t>조모</t>
    <phoneticPr fontId="2" type="noConversion"/>
  </si>
  <si>
    <t>부</t>
    <phoneticPr fontId="2" type="noConversion"/>
  </si>
  <si>
    <t>모</t>
    <phoneticPr fontId="2" type="noConversion"/>
  </si>
  <si>
    <t>배우자</t>
    <phoneticPr fontId="2" type="noConversion"/>
  </si>
  <si>
    <t>자</t>
    <phoneticPr fontId="2" type="noConversion"/>
  </si>
  <si>
    <t>손자</t>
    <phoneticPr fontId="2" type="noConversion"/>
  </si>
  <si>
    <t>기타친족</t>
    <phoneticPr fontId="2" type="noConversion"/>
  </si>
  <si>
    <t>기타</t>
    <phoneticPr fontId="2" type="noConversion"/>
  </si>
  <si>
    <t>세무서 코드/계좌번호</t>
    <phoneticPr fontId="2" type="noConversion"/>
  </si>
  <si>
    <t>* 아래의 칸에 정보를 입력하세요^^</t>
    <phoneticPr fontId="2" type="noConversion"/>
  </si>
  <si>
    <t>33</t>
    <phoneticPr fontId="12" type="noConversion"/>
  </si>
  <si>
    <t>&lt;선택해주세요&gt;</t>
  </si>
  <si>
    <t>합계</t>
    <phoneticPr fontId="2" type="noConversion"/>
  </si>
  <si>
    <t>합계</t>
    <phoneticPr fontId="2" type="noConversion"/>
  </si>
  <si>
    <t>현재
증여
재산</t>
    <phoneticPr fontId="2" type="noConversion"/>
  </si>
  <si>
    <t>기신고
증여분</t>
    <phoneticPr fontId="2" type="noConversion"/>
  </si>
  <si>
    <t>기납부세액</t>
    <phoneticPr fontId="2" type="noConversion"/>
  </si>
  <si>
    <t>재산종류</t>
    <phoneticPr fontId="2" type="noConversion"/>
  </si>
  <si>
    <t>번호</t>
    <phoneticPr fontId="2" type="noConversion"/>
  </si>
  <si>
    <t>현금</t>
    <phoneticPr fontId="2" type="noConversion"/>
  </si>
  <si>
    <t>증여재산</t>
    <phoneticPr fontId="2" type="noConversion"/>
  </si>
  <si>
    <t>시가</t>
    <phoneticPr fontId="2" type="noConversion"/>
  </si>
  <si>
    <t>평가방법</t>
    <phoneticPr fontId="2" type="noConversion"/>
  </si>
  <si>
    <t>현금</t>
    <phoneticPr fontId="2" type="noConversion"/>
  </si>
  <si>
    <t>증여재산가액</t>
  </si>
  <si>
    <t>증여재산공제</t>
    <phoneticPr fontId="12" type="noConversion"/>
  </si>
  <si>
    <t>직계존비속</t>
    <phoneticPr fontId="12" type="noConversion"/>
  </si>
  <si>
    <t>감정평가수수료</t>
    <phoneticPr fontId="12" type="noConversion"/>
  </si>
  <si>
    <t>세율</t>
    <phoneticPr fontId="12" type="noConversion"/>
  </si>
  <si>
    <t>산출세액</t>
    <phoneticPr fontId="12" type="noConversion"/>
  </si>
  <si>
    <t>세액공제</t>
    <phoneticPr fontId="12" type="noConversion"/>
  </si>
  <si>
    <t>그 밖의 공제ㆍ감면세액</t>
    <phoneticPr fontId="12" type="noConversion"/>
  </si>
  <si>
    <t>증여세 과세표준신고 및 자진납부계산서</t>
    <phoneticPr fontId="12" type="noConversion"/>
  </si>
  <si>
    <t>수증자</t>
    <phoneticPr fontId="12" type="noConversion"/>
  </si>
  <si>
    <t>증여자</t>
    <phoneticPr fontId="12" type="noConversion"/>
  </si>
  <si>
    <t>구                      분</t>
    <phoneticPr fontId="12" type="noConversion"/>
  </si>
  <si>
    <t>금            액</t>
    <phoneticPr fontId="12" type="noConversion"/>
  </si>
  <si>
    <t>과   세
가   액
불산입</t>
    <phoneticPr fontId="12" type="noConversion"/>
  </si>
  <si>
    <t>연부연납</t>
    <phoneticPr fontId="12" type="noConversion"/>
  </si>
  <si>
    <t>현금</t>
    <phoneticPr fontId="12" type="noConversion"/>
  </si>
  <si>
    <t>분납</t>
    <phoneticPr fontId="12" type="noConversion"/>
  </si>
  <si>
    <t>채무액</t>
    <phoneticPr fontId="12" type="noConversion"/>
  </si>
  <si>
    <t>(서명 또는 인)</t>
    <phoneticPr fontId="12" type="noConversion"/>
  </si>
  <si>
    <t>직계비속(성인)</t>
    <phoneticPr fontId="2" type="noConversion"/>
  </si>
  <si>
    <t>자(성인)</t>
    <phoneticPr fontId="2" type="noConversion"/>
  </si>
  <si>
    <t>손자(성인)</t>
    <phoneticPr fontId="2" type="noConversion"/>
  </si>
  <si>
    <t>자(미성년자)</t>
    <phoneticPr fontId="2" type="noConversion"/>
  </si>
  <si>
    <t>손자(미성년자)</t>
    <phoneticPr fontId="2" type="noConversion"/>
  </si>
  <si>
    <t>강남</t>
  </si>
  <si>
    <t>180616</t>
  </si>
  <si>
    <t>강남구 중 신사동, 압구정동, 논현동, 청담동</t>
  </si>
  <si>
    <t>강동</t>
  </si>
  <si>
    <t>180629</t>
  </si>
  <si>
    <t>강동구 전역</t>
  </si>
  <si>
    <t>강릉</t>
  </si>
  <si>
    <t>150154</t>
  </si>
  <si>
    <t>강서</t>
  </si>
  <si>
    <t>012027</t>
  </si>
  <si>
    <t>강서구 전체</t>
  </si>
  <si>
    <t>거창</t>
  </si>
  <si>
    <t>950419</t>
  </si>
  <si>
    <t>경남 거창군, 함양군, 합천군</t>
  </si>
  <si>
    <t>경산</t>
  </si>
  <si>
    <t>042330</t>
  </si>
  <si>
    <t>경산시, 청도군</t>
  </si>
  <si>
    <t>경주</t>
  </si>
  <si>
    <t>170176</t>
  </si>
  <si>
    <t>경주시, 영천시 전체</t>
  </si>
  <si>
    <t>고양</t>
  </si>
  <si>
    <t>012014</t>
  </si>
  <si>
    <t>공주</t>
  </si>
  <si>
    <t>080460</t>
  </si>
  <si>
    <t>충청남도 공주시 , 연기군</t>
  </si>
  <si>
    <t>광주</t>
  </si>
  <si>
    <t>060639</t>
  </si>
  <si>
    <t>구로</t>
  </si>
  <si>
    <t>011756</t>
  </si>
  <si>
    <t>구로구 전체(신도림동등 19개동)</t>
  </si>
  <si>
    <t>구미</t>
  </si>
  <si>
    <t>905244</t>
  </si>
  <si>
    <t>경상북도 구미시, 칠곡군</t>
  </si>
  <si>
    <t>군산</t>
  </si>
  <si>
    <t>070399</t>
  </si>
  <si>
    <t>군산시</t>
  </si>
  <si>
    <t>금정</t>
  </si>
  <si>
    <t>031794</t>
  </si>
  <si>
    <t>부산광역시 금정구, 기장군, 경상남도 양산시</t>
  </si>
  <si>
    <t>금천</t>
  </si>
  <si>
    <t>014371</t>
  </si>
  <si>
    <t>김천</t>
  </si>
  <si>
    <t>905257</t>
  </si>
  <si>
    <t>김천시, 성주군</t>
  </si>
  <si>
    <t>김해</t>
  </si>
  <si>
    <t>000178</t>
  </si>
  <si>
    <t>경상남도 김해시, 밀양시 전체</t>
  </si>
  <si>
    <t>나주</t>
  </si>
  <si>
    <t>060642</t>
  </si>
  <si>
    <t>나주시, 영암군(삼호면 제외), 함평군</t>
  </si>
  <si>
    <t>남대구</t>
  </si>
  <si>
    <t>040730</t>
  </si>
  <si>
    <t>대구광역시, 남구, 달성군, 달서구(월성동, 대천동, 월암동, 상인동, 도원동, 진천동, 대곡동, 유천동, 송현동, 본동)</t>
  </si>
  <si>
    <t>남대문</t>
  </si>
  <si>
    <t>011785</t>
  </si>
  <si>
    <t>남양주</t>
  </si>
  <si>
    <t>012302</t>
  </si>
  <si>
    <t>구리시,남양주시,양평군,가평군</t>
  </si>
  <si>
    <t>남원</t>
  </si>
  <si>
    <t>070412</t>
  </si>
  <si>
    <t>남원시, 임실군, 순창군, 장수군 일부(장수읍, 산서, 번암)</t>
  </si>
  <si>
    <t>남인천</t>
  </si>
  <si>
    <t>110424</t>
  </si>
  <si>
    <t>인천시 남동구, 연수구</t>
  </si>
  <si>
    <t>서울특별시 노원구 전지역, 도봉구 중 창동</t>
  </si>
  <si>
    <t>논산</t>
  </si>
  <si>
    <t>080473</t>
  </si>
  <si>
    <t>충청남도 논산시, 부여군</t>
  </si>
  <si>
    <t>대전</t>
  </si>
  <si>
    <t>080486</t>
  </si>
  <si>
    <t>대전광역시 동구, 중구, 대덕구 중 오정동, 대화동, 읍내동, 연축동, 신대동, 와동, 송촌동, 법동, 중리동, 비래동, 장동, 충청남도 금산군</t>
  </si>
  <si>
    <t>도봉</t>
  </si>
  <si>
    <t>011811</t>
  </si>
  <si>
    <t>동대구</t>
  </si>
  <si>
    <t>040769</t>
  </si>
  <si>
    <t>대구광역시 동구 , 수성구 전체</t>
  </si>
  <si>
    <t>동대문</t>
  </si>
  <si>
    <t>011824</t>
  </si>
  <si>
    <t>동대문구, 중랑구 전체</t>
  </si>
  <si>
    <t>동래</t>
  </si>
  <si>
    <t>030481</t>
  </si>
  <si>
    <t>부산광역시중 동래구, 연제구</t>
  </si>
  <si>
    <t>동수원</t>
  </si>
  <si>
    <t>131157</t>
  </si>
  <si>
    <t>안양시 동안구, 과천시, 의왕시</t>
  </si>
  <si>
    <t>001601</t>
  </si>
  <si>
    <t>울산광역시 중구,동구,북구 울주군중 언양읍,범서읍 상북,삼남,삼동 두동 두서면</t>
  </si>
  <si>
    <t>동작</t>
  </si>
  <si>
    <t>000181</t>
  </si>
  <si>
    <t>서울특별시 동작구 전체, 영등포구 중 신길동, 대림동, 도림동</t>
  </si>
  <si>
    <t>마산</t>
  </si>
  <si>
    <t>140672</t>
  </si>
  <si>
    <t>마산시, 함안군, 의령군, 창녕군</t>
  </si>
  <si>
    <t>마포</t>
  </si>
  <si>
    <t>011840</t>
  </si>
  <si>
    <t>마포구 전역(행정동 24개)</t>
  </si>
  <si>
    <t>목포</t>
  </si>
  <si>
    <t>050144</t>
  </si>
  <si>
    <t>전라남도 목포시, 무안군, 신안군, 영암군 중 삼호읍</t>
  </si>
  <si>
    <t>반포</t>
  </si>
  <si>
    <t>180645</t>
  </si>
  <si>
    <t>보령</t>
  </si>
  <si>
    <t>930154</t>
  </si>
  <si>
    <t>충청남도 보령시,서천군</t>
  </si>
  <si>
    <t>부산진</t>
  </si>
  <si>
    <t>030520</t>
  </si>
  <si>
    <t>부산광역시 부산진구,동구</t>
  </si>
  <si>
    <t>부천</t>
  </si>
  <si>
    <t>110246</t>
  </si>
  <si>
    <t>북광주</t>
  </si>
  <si>
    <t>060671</t>
  </si>
  <si>
    <t>광주광역시 북구, 장성군, 담양군 전체</t>
  </si>
  <si>
    <t>북대구</t>
  </si>
  <si>
    <t>040772</t>
  </si>
  <si>
    <t>대구광역시 북구, 중구</t>
  </si>
  <si>
    <t>북부산</t>
  </si>
  <si>
    <t>030533</t>
  </si>
  <si>
    <t>부산광역시 강서구, 북구, 사상구</t>
  </si>
  <si>
    <t>북인천</t>
  </si>
  <si>
    <t>110233</t>
  </si>
  <si>
    <t>삼성</t>
  </si>
  <si>
    <t>181149</t>
  </si>
  <si>
    <t>서울특별시 강남구 삼성동,대치동,개포동,수서동,일원동,세곡동,자곡동,율현동</t>
  </si>
  <si>
    <t>삼척</t>
  </si>
  <si>
    <t>150167</t>
  </si>
  <si>
    <t>삼척시, 동해시, 태백시(태백지서 관할)</t>
  </si>
  <si>
    <t>상주</t>
  </si>
  <si>
    <t>905260</t>
  </si>
  <si>
    <t>경상북도 상주시, 문경시</t>
  </si>
  <si>
    <t>서광주</t>
  </si>
  <si>
    <t>060655</t>
  </si>
  <si>
    <t>광주광역시 서구,광산구, 전라남도 영광군</t>
  </si>
  <si>
    <t>서대구</t>
  </si>
  <si>
    <t>040798</t>
  </si>
  <si>
    <t>서대문</t>
  </si>
  <si>
    <t>011879</t>
  </si>
  <si>
    <t>서대문구, 은평구 전체</t>
  </si>
  <si>
    <t>서대전</t>
  </si>
  <si>
    <t>081197</t>
  </si>
  <si>
    <t>대전광역시 서구, 유성구 전체, 대덕구중 상서동, 평촌동, 덕암동, 신일동, 목상동, 문평동, 석봉동, 신탄진동, 이현동, 갈전동, 용호동, 부수동, 황호동, 삼정동, 미호동</t>
  </si>
  <si>
    <t>서부산</t>
  </si>
  <si>
    <t>030546</t>
  </si>
  <si>
    <t>부산광역시 서구, 사하구</t>
  </si>
  <si>
    <t>서산</t>
  </si>
  <si>
    <t>000602</t>
  </si>
  <si>
    <t>충청남도 서산시, 태안군</t>
  </si>
  <si>
    <t>서인천</t>
  </si>
  <si>
    <t>111025</t>
  </si>
  <si>
    <t>인천광역시 서구 · 강화군,경기도 김포시</t>
  </si>
  <si>
    <t>서초</t>
  </si>
  <si>
    <t>180658</t>
  </si>
  <si>
    <t>서초구 서초동, 양재동, 우면동, 원지동, 염곡동, 신원동, 내곡동</t>
  </si>
  <si>
    <t>성남</t>
  </si>
  <si>
    <t>130349</t>
  </si>
  <si>
    <t>성동</t>
  </si>
  <si>
    <t>011905</t>
  </si>
  <si>
    <t>서울특별시 성동구 · 광진구 전체(32개 행정동)_x000D_
                        면적 : 33.9km²_x000D_
                        인구 : 약 72만명_x000D_
                        세대수 : 약 25만세대</t>
  </si>
  <si>
    <t>성북</t>
  </si>
  <si>
    <t>011918</t>
  </si>
  <si>
    <t>서울특별시 성북구</t>
  </si>
  <si>
    <t>속초</t>
  </si>
  <si>
    <t>150170</t>
  </si>
  <si>
    <t>속초시, 고성군, 양양군</t>
  </si>
  <si>
    <t>송파</t>
  </si>
  <si>
    <t>180661</t>
  </si>
  <si>
    <t>서울시 송파구 전체</t>
  </si>
  <si>
    <t>수영</t>
  </si>
  <si>
    <t>030478</t>
  </si>
  <si>
    <t>남구전체, 수영구전체, 해운대구전체</t>
  </si>
  <si>
    <t>수원</t>
  </si>
  <si>
    <t>130352</t>
  </si>
  <si>
    <t>순천</t>
  </si>
  <si>
    <t>920300</t>
  </si>
  <si>
    <t>전라남도 순천시, 광양시, 구례군, 보성군, 고흥군</t>
  </si>
  <si>
    <t>경기도 시흥시, 광명시</t>
  </si>
  <si>
    <t>안동</t>
  </si>
  <si>
    <t>910365</t>
  </si>
  <si>
    <t>안동시, 의성군, 군위군, 청송군, 영양군</t>
  </si>
  <si>
    <t>안산</t>
  </si>
  <si>
    <t>131076</t>
  </si>
  <si>
    <t>안양</t>
  </si>
  <si>
    <t>130365</t>
  </si>
  <si>
    <t>양천</t>
  </si>
  <si>
    <t>012878</t>
  </si>
  <si>
    <t>양천구 전체</t>
  </si>
  <si>
    <t>여수</t>
  </si>
  <si>
    <t>920313</t>
  </si>
  <si>
    <t>여수시</t>
  </si>
  <si>
    <t>역삼</t>
  </si>
  <si>
    <t>181822</t>
  </si>
  <si>
    <t>강남구 역삼동, 도곡동, 포이동</t>
  </si>
  <si>
    <t>영덕</t>
  </si>
  <si>
    <t>170189</t>
  </si>
  <si>
    <t>영동</t>
  </si>
  <si>
    <t>090311</t>
  </si>
  <si>
    <t>영동군, 옥천군, 보은군</t>
  </si>
  <si>
    <t>영등포</t>
  </si>
  <si>
    <t>011934</t>
  </si>
  <si>
    <t>영등포구(신길동, 도림동, 대림동 제외)</t>
  </si>
  <si>
    <t>영월</t>
  </si>
  <si>
    <t>150183</t>
  </si>
  <si>
    <t>영주</t>
  </si>
  <si>
    <t>910378</t>
  </si>
  <si>
    <t>경북 영주시, 봉화군, 예천군 전지역</t>
  </si>
  <si>
    <t>예산</t>
  </si>
  <si>
    <t>930167</t>
  </si>
  <si>
    <t>예산군, 당진군</t>
  </si>
  <si>
    <t>용산</t>
  </si>
  <si>
    <t>011947</t>
  </si>
  <si>
    <t>용산구 전체</t>
  </si>
  <si>
    <t>울산</t>
  </si>
  <si>
    <t>160021</t>
  </si>
  <si>
    <t>원주</t>
  </si>
  <si>
    <t>100269</t>
  </si>
  <si>
    <t>원주시, 횡성군, 평창군 중 봉평면, 대화면, 방림면</t>
  </si>
  <si>
    <t>의정부</t>
  </si>
  <si>
    <t>900142</t>
  </si>
  <si>
    <t>경기도 의정부시, 동두천시, 양주시, 포천시, 연천군, 강원도 철원군</t>
  </si>
  <si>
    <t>이천</t>
  </si>
  <si>
    <t>130378</t>
  </si>
  <si>
    <t>이천시, 여주군, 광주시, 하남시</t>
  </si>
  <si>
    <t>익산</t>
  </si>
  <si>
    <t>070425</t>
  </si>
  <si>
    <t>익산시, 김제시</t>
  </si>
  <si>
    <t>인천</t>
  </si>
  <si>
    <t>110259</t>
  </si>
  <si>
    <t>인천광역시 동구, 중구, 남구, 옹진군</t>
  </si>
  <si>
    <t>전주</t>
  </si>
  <si>
    <t>070438</t>
  </si>
  <si>
    <t>정읍</t>
  </si>
  <si>
    <t>070441</t>
  </si>
  <si>
    <t>정읍시, 고창군, 부안군</t>
  </si>
  <si>
    <t>제주</t>
  </si>
  <si>
    <t>120171</t>
  </si>
  <si>
    <t>제주도 전체</t>
  </si>
  <si>
    <t>제천</t>
  </si>
  <si>
    <t>090324</t>
  </si>
  <si>
    <t>제천시, 단양군</t>
  </si>
  <si>
    <t>종로</t>
  </si>
  <si>
    <t>011976</t>
  </si>
  <si>
    <t>종로구 전역(87개동)</t>
  </si>
  <si>
    <t>중부</t>
  </si>
  <si>
    <t>011989</t>
  </si>
  <si>
    <t>광희동 1,2가,  남대문로 2가,  남산동 1,2,3가,  남학동,  명동 1,2가,  무학동,  묵정동,  방산동,  신당1동∼6동,  쌍림동,  예관동,  예장동,  오장동,  을지로 6,7가,  인현동 1,2가,  장충동 1,2가,  주자동,  초동,  충무로 1,2,3,4,5가,  필동 1,2,3가,  황학동,  흥인동.</t>
  </si>
  <si>
    <t>030562</t>
  </si>
  <si>
    <t>진주</t>
  </si>
  <si>
    <t>950435</t>
  </si>
  <si>
    <t>진주시, 사천시, 산청군, 하동군, 남해군 전체</t>
  </si>
  <si>
    <t>창원</t>
  </si>
  <si>
    <t>140669</t>
  </si>
  <si>
    <t>경상남도 창원시, 진해시 전지역</t>
  </si>
  <si>
    <t>천안</t>
  </si>
  <si>
    <t>935188</t>
  </si>
  <si>
    <t>충청남도 천안시,아산시</t>
  </si>
  <si>
    <t>청주</t>
  </si>
  <si>
    <t>090337</t>
  </si>
  <si>
    <t>춘천</t>
  </si>
  <si>
    <t>100272</t>
  </si>
  <si>
    <t>춘천시, 화천군, 양구군</t>
  </si>
  <si>
    <t>충주</t>
  </si>
  <si>
    <t>090340</t>
  </si>
  <si>
    <t>통영</t>
  </si>
  <si>
    <t>140708</t>
  </si>
  <si>
    <t>통영시, 거제시, 고성군</t>
  </si>
  <si>
    <t>경기도 파주시 전역</t>
  </si>
  <si>
    <t>평택</t>
  </si>
  <si>
    <t>130381</t>
  </si>
  <si>
    <t>포항</t>
  </si>
  <si>
    <t>170192</t>
  </si>
  <si>
    <t>포항시, 울릉군</t>
  </si>
  <si>
    <t>해남</t>
  </si>
  <si>
    <t>050157</t>
  </si>
  <si>
    <t>홍성</t>
  </si>
  <si>
    <t>930170</t>
  </si>
  <si>
    <t>홍성군. 청양군</t>
  </si>
  <si>
    <t>홍천</t>
  </si>
  <si>
    <t>100285</t>
  </si>
  <si>
    <t>강원도 홍천군, 인제군</t>
  </si>
  <si>
    <t>세무서명</t>
    <phoneticPr fontId="2" type="noConversion"/>
  </si>
  <si>
    <t>세무서코드</t>
    <phoneticPr fontId="2" type="noConversion"/>
  </si>
  <si>
    <t>계좌번호</t>
    <phoneticPr fontId="2" type="noConversion"/>
  </si>
  <si>
    <t>관할구역</t>
    <phoneticPr fontId="2" type="noConversion"/>
  </si>
  <si>
    <t>세무서코드</t>
    <phoneticPr fontId="2" type="noConversion"/>
  </si>
  <si>
    <t>계좌번호</t>
    <phoneticPr fontId="2" type="noConversion"/>
  </si>
  <si>
    <t xml:space="preserve">     </t>
    <phoneticPr fontId="12" type="noConversion"/>
  </si>
  <si>
    <t>(기본세율 적용 증여재산 신고용)</t>
    <phoneticPr fontId="12" type="noConversion"/>
  </si>
  <si>
    <t>신고납부</t>
    <phoneticPr fontId="12" type="noConversion"/>
  </si>
  <si>
    <t>* 증여세대납액의 경우 먼저 증여재산가액과 채무액을 입력하고 오른쪽에 붉은색으로 표시된
  선택사항을 선택하여 증여세를 한번 계산한 후 마지막에 증여세차이(K6)를 0으로 만드는 
  목표값을 (데이터-&gt;가상분석-&gt;목표값찾기)에서 오른쪽 하단의 그림처럼 입력해서 찾으면 됩니다.</t>
    <phoneticPr fontId="2" type="noConversion"/>
  </si>
  <si>
    <t>(앞쪽)</t>
    <phoneticPr fontId="12" type="noConversion"/>
  </si>
  <si>
    <t>28.</t>
    <phoneticPr fontId="12" type="noConversion"/>
  </si>
  <si>
    <t>29.</t>
    <phoneticPr fontId="12" type="noConversion"/>
  </si>
  <si>
    <t>30.</t>
    <phoneticPr fontId="12" type="noConversion"/>
  </si>
  <si>
    <t>31.</t>
    <phoneticPr fontId="12" type="noConversion"/>
  </si>
  <si>
    <t>33.</t>
    <phoneticPr fontId="12" type="noConversion"/>
  </si>
  <si>
    <t>34.</t>
    <phoneticPr fontId="12" type="noConversion"/>
  </si>
  <si>
    <t>35.</t>
    <phoneticPr fontId="12" type="noConversion"/>
  </si>
  <si>
    <t>36.</t>
    <phoneticPr fontId="12" type="noConversion"/>
  </si>
  <si>
    <t>37.</t>
    <phoneticPr fontId="12" type="noConversion"/>
  </si>
  <si>
    <t>38.</t>
    <phoneticPr fontId="12" type="noConversion"/>
  </si>
  <si>
    <t>신고불성실가산세</t>
    <phoneticPr fontId="12" type="noConversion"/>
  </si>
  <si>
    <t>39.</t>
    <phoneticPr fontId="12" type="noConversion"/>
  </si>
  <si>
    <t>40.</t>
    <phoneticPr fontId="12" type="noConversion"/>
  </si>
  <si>
    <t>41.</t>
    <phoneticPr fontId="12" type="noConversion"/>
  </si>
  <si>
    <t>42.</t>
    <phoneticPr fontId="12" type="noConversion"/>
  </si>
  <si>
    <t>43.</t>
    <phoneticPr fontId="12" type="noConversion"/>
  </si>
  <si>
    <t>45.</t>
    <phoneticPr fontId="12" type="noConversion"/>
  </si>
  <si>
    <t>46.</t>
    <phoneticPr fontId="12" type="noConversion"/>
  </si>
  <si>
    <t>행정정보 공동이용 동의서</t>
    <phoneticPr fontId="12" type="noConversion"/>
  </si>
  <si>
    <t>본인은 이 건 업무처리와 관련하여 담당 공무원이 「전자정부법」 제36조제1항에 따른 행정정보의 공동이용을 통하여 위의 담당 공무원 확인 사항을 확인하는 것에 동의합니다.   * 동의하지 아니하는 경우에는 신청인이 직접 관련 서류를 제출하여야 합니다</t>
    <phoneticPr fontId="12" type="noConversion"/>
  </si>
  <si>
    <t>신   청   인</t>
    <phoneticPr fontId="12" type="noConversion"/>
  </si>
  <si>
    <t>수수료
없음</t>
    <phoneticPr fontId="12" type="noConversion"/>
  </si>
  <si>
    <t>세무서명</t>
    <phoneticPr fontId="2" type="noConversion"/>
  </si>
  <si>
    <t>지번 주소</t>
    <phoneticPr fontId="2" type="noConversion"/>
  </si>
  <si>
    <t>우편번호</t>
    <phoneticPr fontId="2" type="noConversion"/>
  </si>
  <si>
    <t>세무서코드</t>
    <phoneticPr fontId="2" type="noConversion"/>
  </si>
  <si>
    <t>계좌번호</t>
    <phoneticPr fontId="2" type="noConversion"/>
  </si>
  <si>
    <t>관할구역</t>
    <phoneticPr fontId="2" type="noConversion"/>
  </si>
  <si>
    <t>서울특별시 강남구 청담동 45</t>
  </si>
  <si>
    <t>서울특별시 송파구 풍납2동 388-6</t>
  </si>
  <si>
    <t>강원도 강릉시 교동 산 68</t>
    <phoneticPr fontId="2" type="noConversion"/>
  </si>
  <si>
    <t>강릉시. 평창군중 대관령면,진부면,용평면 및 정선군 중 임계면</t>
    <phoneticPr fontId="2" type="noConversion"/>
  </si>
  <si>
    <t>서울특별시 영등포 양평4가 24</t>
  </si>
  <si>
    <t>경상남도 거창군 거창읍 상림리 80</t>
    <phoneticPr fontId="2" type="noConversion"/>
  </si>
  <si>
    <t>경상북도 경산시 사동 633-2</t>
    <phoneticPr fontId="2" type="noConversion"/>
  </si>
  <si>
    <t>경상북도 경주시 성동동 180-4</t>
    <phoneticPr fontId="2" type="noConversion"/>
  </si>
  <si>
    <t>경기도 고양시 일산동구 장항동 774</t>
    <phoneticPr fontId="2" type="noConversion"/>
  </si>
  <si>
    <t>고양시</t>
    <phoneticPr fontId="2" type="noConversion"/>
  </si>
  <si>
    <t>충청남도 공주시 반죽동 18</t>
    <phoneticPr fontId="2" type="noConversion"/>
  </si>
  <si>
    <t>광주광역시 동구 호남동 39-1</t>
    <phoneticPr fontId="2" type="noConversion"/>
  </si>
  <si>
    <t>광주광역시 동구,남구,
전남 화순군,곡성군</t>
    <phoneticPr fontId="2" type="noConversion"/>
  </si>
  <si>
    <t>서울특별시 영등포구 문래1가  23-1</t>
  </si>
  <si>
    <t>경상북도 구미시 공단동 174</t>
    <phoneticPr fontId="2" type="noConversion"/>
  </si>
  <si>
    <t>전라북도 군산시 소룡동 854</t>
    <phoneticPr fontId="2" type="noConversion"/>
  </si>
  <si>
    <t>부산광역시 금정구 부곡동 266-5</t>
    <phoneticPr fontId="2" type="noConversion"/>
  </si>
  <si>
    <t>서울특별시 금천구 독산본동 953-9</t>
  </si>
  <si>
    <t>관악구, 금천구 전체</t>
    <phoneticPr fontId="2" type="noConversion"/>
  </si>
  <si>
    <t>경상북도 김천시 평화동 320-2</t>
    <phoneticPr fontId="2" type="noConversion"/>
  </si>
  <si>
    <t>경상남도 김해시 부원동 61-1</t>
    <phoneticPr fontId="2" type="noConversion"/>
  </si>
  <si>
    <t>전라남도 나주시 송월동 1125</t>
    <phoneticPr fontId="2" type="noConversion"/>
  </si>
  <si>
    <t>대구광역시 남구 대명동 1593-20</t>
    <phoneticPr fontId="2" type="noConversion"/>
  </si>
  <si>
    <t>서울특별시 중구 저동1가 1-2 나라키움저동빌딩</t>
  </si>
  <si>
    <t xml:space="preserve">소공동남창동(남대문시장)북창동 
회현동1-3가봉래동1,2가남대문로1,3,4,5가
태평로1,2가 저동1,2가을지로1-5가
삼각동수하동장교동산림동다동
무교동 수표동 주교동    정동서소문동
의주로1,2가    순화동만리동1,2가 중림동 충정로1가
</t>
    <phoneticPr fontId="2" type="noConversion"/>
  </si>
  <si>
    <t>경기도 구리시 교문동 736-2</t>
    <phoneticPr fontId="2" type="noConversion"/>
  </si>
  <si>
    <t>전라북도 남원시 동충동 205-1</t>
    <phoneticPr fontId="2" type="noConversion"/>
  </si>
  <si>
    <t>인천광역시 남동구 구월 1447-1</t>
  </si>
  <si>
    <t>노원</t>
    <phoneticPr fontId="2" type="noConversion"/>
  </si>
  <si>
    <t>서울특별시 도봉구 창동 15</t>
  </si>
  <si>
    <t>001562</t>
    <phoneticPr fontId="2" type="noConversion"/>
  </si>
  <si>
    <t>충청남도 논산시 강산동 647</t>
    <phoneticPr fontId="2" type="noConversion"/>
  </si>
  <si>
    <t>대전광역시 중구 선화동 188</t>
    <phoneticPr fontId="2" type="noConversion"/>
  </si>
  <si>
    <t>서울특별시 강북구 미아동 327-5</t>
    <phoneticPr fontId="2" type="noConversion"/>
  </si>
  <si>
    <t>강북구, 도봉구 창동 제외</t>
    <phoneticPr fontId="2" type="noConversion"/>
  </si>
  <si>
    <t>대구광역시 동구 신천동 303-1</t>
    <phoneticPr fontId="2" type="noConversion"/>
  </si>
  <si>
    <t>서울특별시 동대문구 청량리1동 235-5</t>
  </si>
  <si>
    <t>부산광역시 연제구 거제동 1463-4</t>
    <phoneticPr fontId="2" type="noConversion"/>
  </si>
  <si>
    <t>경기도 수원시 영통구 영통동 999-1</t>
    <phoneticPr fontId="2" type="noConversion"/>
  </si>
  <si>
    <t>수원시 영통구, 화성시 일부(동탄면, 기안동, 배양동, 반송동, 반월동, 석우동, 능동, 병점동, 기산동, 반정동, 진안동, 송산동, 안녕동, 황계동), 오산시</t>
    <phoneticPr fontId="2" type="noConversion"/>
  </si>
  <si>
    <t>동안양</t>
    <phoneticPr fontId="2" type="noConversion"/>
  </si>
  <si>
    <t>경기도 안양시 동안구 관양동 1592-2</t>
    <phoneticPr fontId="2" type="noConversion"/>
  </si>
  <si>
    <t>001591</t>
    <phoneticPr fontId="2" type="noConversion"/>
  </si>
  <si>
    <t>동울산</t>
    <phoneticPr fontId="2" type="noConversion"/>
  </si>
  <si>
    <t>울산광역시 북구 화봉동 883-1</t>
    <phoneticPr fontId="2" type="noConversion"/>
  </si>
  <si>
    <t>서울특별시 영등포구 신길동 476</t>
  </si>
  <si>
    <t>동청주</t>
    <phoneticPr fontId="2" type="noConversion"/>
  </si>
  <si>
    <t>충청북도 청주시 상당구 북문로3가 4-6 대한생명빌딩 5-6층</t>
    <phoneticPr fontId="2" type="noConversion"/>
  </si>
  <si>
    <t>002859</t>
    <phoneticPr fontId="2" type="noConversion"/>
  </si>
  <si>
    <t>청주시 상당구, 청원군, 괴산군(괴산읍, 문광, 사리, 청안, 청천, 칠성면)</t>
    <phoneticPr fontId="2" type="noConversion"/>
  </si>
  <si>
    <t>경상남도 창원시 마산합포구 중앙동3가 3-8</t>
    <phoneticPr fontId="2" type="noConversion"/>
  </si>
  <si>
    <t>서울특별시 마포구 신수동 43</t>
  </si>
  <si>
    <t>전라남도 목포시 대안동 3-2</t>
    <phoneticPr fontId="2" type="noConversion"/>
  </si>
  <si>
    <t>서울특별시 서초구 방배동 874-4</t>
  </si>
  <si>
    <t>서초구 방배동,  반포동,  잠원동</t>
    <phoneticPr fontId="2" type="noConversion"/>
  </si>
  <si>
    <t>충청남도 보령시 명천동 58-2</t>
    <phoneticPr fontId="2" type="noConversion"/>
  </si>
  <si>
    <t>부산광역시 동구 수정동 248-28</t>
    <phoneticPr fontId="2" type="noConversion"/>
  </si>
  <si>
    <t>경기도 부천시 원미구 중동 1051-10</t>
    <phoneticPr fontId="2" type="noConversion"/>
  </si>
  <si>
    <t>경기도 부천시</t>
    <phoneticPr fontId="2" type="noConversion"/>
  </si>
  <si>
    <t>광주광역시 북구 운암동 104-3</t>
    <phoneticPr fontId="2" type="noConversion"/>
  </si>
  <si>
    <t>대구광역시 북구 침산동 402-3</t>
    <phoneticPr fontId="2" type="noConversion"/>
  </si>
  <si>
    <t>부산광역시 사상구 감전동 140-9 LS산전(주)빌딩</t>
    <phoneticPr fontId="2" type="noConversion"/>
  </si>
  <si>
    <t>인천광역시 계양구 작전동 422-1</t>
  </si>
  <si>
    <t>인천광역시 부평구, 계양구</t>
    <phoneticPr fontId="2" type="noConversion"/>
  </si>
  <si>
    <t>북전주</t>
    <phoneticPr fontId="2" type="noConversion"/>
  </si>
  <si>
    <t>전라북도 전주시 덕진구 진북동 416-11</t>
    <phoneticPr fontId="2" type="noConversion"/>
  </si>
  <si>
    <t>002862</t>
    <phoneticPr fontId="2" type="noConversion"/>
  </si>
  <si>
    <t>전주시 덕진구, 진안군, 무주군, 장수군 일부(천천, 계남, 계북, 장계면)</t>
    <phoneticPr fontId="2" type="noConversion"/>
  </si>
  <si>
    <t>분당</t>
    <phoneticPr fontId="2" type="noConversion"/>
  </si>
  <si>
    <t>경기도 성남시 분당구 수내동 6-4 BS타워 2층~6층</t>
    <phoneticPr fontId="2" type="noConversion"/>
  </si>
  <si>
    <t>018364</t>
    <phoneticPr fontId="2" type="noConversion"/>
  </si>
  <si>
    <t>성남시 분당구</t>
    <phoneticPr fontId="2" type="noConversion"/>
  </si>
  <si>
    <t>서울특별시 강남구 역삼동 824 국세청고객만족센터 5,6층</t>
  </si>
  <si>
    <t xml:space="preserve">강원도 삼척시 교동 735
</t>
    <phoneticPr fontId="2" type="noConversion"/>
  </si>
  <si>
    <t>경상북도 상주시 만산동 599-2</t>
    <phoneticPr fontId="2" type="noConversion"/>
  </si>
  <si>
    <t>광주광역시 서구 화정동 896-3</t>
    <phoneticPr fontId="2" type="noConversion"/>
  </si>
  <si>
    <t>대구광역시 달서구 두류동 497-5</t>
    <phoneticPr fontId="2" type="noConversion"/>
  </si>
  <si>
    <t>대구광역시 서구 전체, 경상북도 고령군 전체
대구광역시 달서구 갈산동, 감삼동, 두류동, 본리동, 성당동, 신당동, 용산동, 이곡동, 장기동, 장동, 죽전동, 파산동, 파호동, 호림동</t>
    <phoneticPr fontId="2" type="noConversion"/>
  </si>
  <si>
    <t>서울특별시 서대문구 홍제동 251</t>
  </si>
  <si>
    <t>대전광역시 서구 둔산동 1296</t>
    <phoneticPr fontId="2" type="noConversion"/>
  </si>
  <si>
    <t>부산광역시 서구 아미동1가 1 KT서부산지사</t>
    <phoneticPr fontId="2" type="noConversion"/>
  </si>
  <si>
    <t>충청남도 서산시 석림동 398-10</t>
    <phoneticPr fontId="2" type="noConversion"/>
  </si>
  <si>
    <t>인천광역시 서구 연희동 683-5</t>
  </si>
  <si>
    <t>서울특별시 강남구 역삼동 824 국세청고객만족센터 3,4층</t>
  </si>
  <si>
    <t>경기 성남시 수정구 단대동 183번지</t>
    <phoneticPr fontId="2" type="noConversion"/>
  </si>
  <si>
    <t>성남시 중 수정구, 중원구</t>
    <phoneticPr fontId="2" type="noConversion"/>
  </si>
  <si>
    <t>서울특별시 성동구 성수동2가 281-4 푸조비즈타워</t>
  </si>
  <si>
    <t>서울특별시 성복구 삼선동 3가 3-2</t>
  </si>
  <si>
    <t>강원도 속초시 교동 980-1</t>
    <phoneticPr fontId="2" type="noConversion"/>
  </si>
  <si>
    <t>부산광역시 연제구 연산동 243-13</t>
    <phoneticPr fontId="2" type="noConversion"/>
  </si>
  <si>
    <t>경기도 수원시 팔달구 매산로3가 28</t>
    <phoneticPr fontId="2" type="noConversion"/>
  </si>
  <si>
    <t>수원시 장안구, 팔달구, 권선구</t>
    <phoneticPr fontId="2" type="noConversion"/>
  </si>
  <si>
    <t>전라남도 순천시 연향동 1379</t>
    <phoneticPr fontId="2" type="noConversion"/>
  </si>
  <si>
    <t>시흥</t>
    <phoneticPr fontId="2" type="noConversion"/>
  </si>
  <si>
    <t>경기도 시흥시 정왕동 1799-1</t>
    <phoneticPr fontId="2" type="noConversion"/>
  </si>
  <si>
    <t>001588</t>
    <phoneticPr fontId="2" type="noConversion"/>
  </si>
  <si>
    <t>경상북도 안동시 동부동 145-1</t>
    <phoneticPr fontId="2" type="noConversion"/>
  </si>
  <si>
    <t>경기도 안산시 단원구 고잔동 517</t>
    <phoneticPr fontId="2" type="noConversion"/>
  </si>
  <si>
    <t>안산시</t>
    <phoneticPr fontId="2" type="noConversion"/>
  </si>
  <si>
    <t>경기도 안양시 만안구 안양동 582-4</t>
    <phoneticPr fontId="2" type="noConversion"/>
  </si>
  <si>
    <t>안양시 만안구, 군포시</t>
    <phoneticPr fontId="2" type="noConversion"/>
  </si>
  <si>
    <t>서울특별시 양천구 신정6동 319-12</t>
  </si>
  <si>
    <t>전라남도 여수시 봉계동 726-36</t>
    <phoneticPr fontId="2" type="noConversion"/>
  </si>
  <si>
    <t>서울특별시 강남구 역삼동 824 국세청고객만족센터 7,8층</t>
  </si>
  <si>
    <t>경상북도 영덕군 영덕읍 남산리 61-1</t>
    <phoneticPr fontId="2" type="noConversion"/>
  </si>
  <si>
    <t>영덕군,울진군</t>
    <phoneticPr fontId="2" type="noConversion"/>
  </si>
  <si>
    <t>충청북도 영동군 영동읍 계산리 673-1</t>
    <phoneticPr fontId="2" type="noConversion"/>
  </si>
  <si>
    <t>서울특별시 영등포구 당산동3가 552-1</t>
  </si>
  <si>
    <t>강원도 영월군 영월읍 하송리 185-1</t>
    <phoneticPr fontId="2" type="noConversion"/>
  </si>
  <si>
    <t xml:space="preserve">강원도 영월군, 정선군(임계면 제외), 평창군 중 평창읍,미탄면 관할
</t>
    <phoneticPr fontId="2" type="noConversion"/>
  </si>
  <si>
    <t>경상북도 영주시 가흥동 2-15</t>
    <phoneticPr fontId="2" type="noConversion"/>
  </si>
  <si>
    <t>충청남도 예산군 예산읍 주교리 200-3</t>
    <phoneticPr fontId="2" type="noConversion"/>
  </si>
  <si>
    <t>서울특별시 용산구 한강로3가  65-342</t>
  </si>
  <si>
    <t>용인</t>
    <phoneticPr fontId="2" type="noConversion"/>
  </si>
  <si>
    <t>경기도 용인시 처인구 삼가동 558-1</t>
    <phoneticPr fontId="2" type="noConversion"/>
  </si>
  <si>
    <t>002846</t>
    <phoneticPr fontId="2" type="noConversion"/>
  </si>
  <si>
    <t>용인시 전지역</t>
    <phoneticPr fontId="2" type="noConversion"/>
  </si>
  <si>
    <t>울산광역시 남구 삼산동 1632-1</t>
    <phoneticPr fontId="2" type="noConversion"/>
  </si>
  <si>
    <t>울산광역와 울주군 중 동울산세무서 제외</t>
    <phoneticPr fontId="2" type="noConversion"/>
  </si>
  <si>
    <t>강원도 원주시 단계동 1081-10</t>
    <phoneticPr fontId="2" type="noConversion"/>
  </si>
  <si>
    <t>경기도 의정부시 의정부동 350</t>
    <phoneticPr fontId="2" type="noConversion"/>
  </si>
  <si>
    <t>경기도 이천시 중리동 486</t>
    <phoneticPr fontId="2" type="noConversion"/>
  </si>
  <si>
    <t>전라북도 익산시 남중동 352-98</t>
    <phoneticPr fontId="2" type="noConversion"/>
  </si>
  <si>
    <t>인천광역시 동구 창영동 41-3</t>
  </si>
  <si>
    <t>전라북도 전주시 완산구 효자동3가 1406</t>
    <phoneticPr fontId="2" type="noConversion"/>
  </si>
  <si>
    <t>전주시 완산구,완주군</t>
    <phoneticPr fontId="2" type="noConversion"/>
  </si>
  <si>
    <t>전라북도 정읍시 수성동 610</t>
    <phoneticPr fontId="2" type="noConversion"/>
  </si>
  <si>
    <t>제주특별자치도 제주시 도남동 662</t>
    <phoneticPr fontId="2" type="noConversion"/>
  </si>
  <si>
    <t>충청북도 제천시 화산동 604-1</t>
    <phoneticPr fontId="2" type="noConversion"/>
  </si>
  <si>
    <t>서울특별시 종로구 경운동 70 라이온스회관</t>
  </si>
  <si>
    <t>서울특별시 중구 남학동 12-3</t>
  </si>
  <si>
    <t>중부산</t>
    <phoneticPr fontId="2" type="noConversion"/>
  </si>
  <si>
    <t>부산광역시 중구 보수동1가 50-4</t>
    <phoneticPr fontId="2" type="noConversion"/>
  </si>
  <si>
    <t>중구: 광복동,남포동,대창동,대청동,동광동,보수동,부평동,신창동,영주동,중앙동,창선동
  영도구: 남항동,대교동,동삼동,대평동,봉래동,신선동,영선동,청학동</t>
    <phoneticPr fontId="2" type="noConversion"/>
  </si>
  <si>
    <t>경상남도 진주시 칠암동 515-7</t>
    <phoneticPr fontId="2" type="noConversion"/>
  </si>
  <si>
    <t>경상남도 창원시 의창구 용호동 4-3</t>
    <phoneticPr fontId="2" type="noConversion"/>
  </si>
  <si>
    <t>충청남도 천안시 동남구 청당동 550</t>
    <phoneticPr fontId="2" type="noConversion"/>
  </si>
  <si>
    <t>충청북도 청주시 흥덕구 복대동 262-1</t>
    <phoneticPr fontId="2" type="noConversion"/>
  </si>
  <si>
    <t>청주시, 청원군, 진천군, 괴산군(소수면, 불정면, 장연면, 연풍면, 감물면 제외)</t>
    <phoneticPr fontId="2" type="noConversion"/>
  </si>
  <si>
    <t>강원도 춘천시 중앙로3가 73</t>
    <phoneticPr fontId="2" type="noConversion"/>
  </si>
  <si>
    <t>충청북도 충주시 금능동 277-1</t>
    <phoneticPr fontId="2" type="noConversion"/>
  </si>
  <si>
    <t>충주시, 음성군, 괴산군 일부(불정, 연풍, 소수, 감물, 장연면)</t>
    <phoneticPr fontId="2" type="noConversion"/>
  </si>
  <si>
    <t>경상남도 통영시 무전동 1065-1</t>
    <phoneticPr fontId="2" type="noConversion"/>
  </si>
  <si>
    <t>파주</t>
    <phoneticPr fontId="2" type="noConversion"/>
  </si>
  <si>
    <t>경기도 파주시 금촌동 1024</t>
    <phoneticPr fontId="2" type="noConversion"/>
  </si>
  <si>
    <t>001575</t>
    <phoneticPr fontId="2" type="noConversion"/>
  </si>
  <si>
    <t>경기도 평택시 통복동 90-6</t>
    <phoneticPr fontId="2" type="noConversion"/>
  </si>
  <si>
    <t>경기도 평택시, 안성시</t>
    <phoneticPr fontId="2" type="noConversion"/>
  </si>
  <si>
    <t>경상북도 포항시 북구 덕수동 46-1</t>
    <phoneticPr fontId="2" type="noConversion"/>
  </si>
  <si>
    <t>전라남도 해남군 해남읍 해리 441-1</t>
    <phoneticPr fontId="2" type="noConversion"/>
  </si>
  <si>
    <t>해남군, 완도군, 진도군, 강진군, 장흥군</t>
    <phoneticPr fontId="2" type="noConversion"/>
  </si>
  <si>
    <t>충청남도 홍성군 홍성읍 소향리 384-2</t>
    <phoneticPr fontId="2" type="noConversion"/>
  </si>
  <si>
    <t>강원도 홍천군 홍천읍 연봉5리 136-9</t>
    <phoneticPr fontId="2" type="noConversion"/>
  </si>
  <si>
    <t>화성</t>
    <phoneticPr fontId="2" type="noConversion"/>
  </si>
  <si>
    <t>경기도 화성시 봉담읍 와우리 31-16</t>
    <phoneticPr fontId="2" type="noConversion"/>
  </si>
  <si>
    <t>018351</t>
    <phoneticPr fontId="2" type="noConversion"/>
  </si>
  <si>
    <t xml:space="preserve">화성시 (기배동, 화산동, 진안동, 반월동, 병점1,2동, 동탄1,2,3동, 동탄면 제외) </t>
    <phoneticPr fontId="2" type="noConversion"/>
  </si>
  <si>
    <t xml:space="preserve"> </t>
    <phoneticPr fontId="2" type="noConversion"/>
  </si>
  <si>
    <t>예</t>
  </si>
  <si>
    <t>김자녀</t>
    <phoneticPr fontId="2" type="noConversion"/>
  </si>
  <si>
    <t>서울시 000</t>
    <phoneticPr fontId="2" type="noConversion"/>
  </si>
  <si>
    <t>김부모</t>
    <phoneticPr fontId="2" type="noConversion"/>
  </si>
  <si>
    <t>690211-1000000</t>
    <phoneticPr fontId="2" type="noConversion"/>
  </si>
  <si>
    <t>1301111-3000000</t>
    <phoneticPr fontId="2" type="noConversion"/>
  </si>
  <si>
    <t xml:space="preserve">[별지 제8호서식] </t>
    <phoneticPr fontId="12" type="noConversion"/>
  </si>
  <si>
    <r>
      <t xml:space="preserve">수납받을 때 납부자 실명번호인 </t>
    </r>
    <r>
      <rPr>
        <b/>
        <sz val="9"/>
        <rFont val="맑은 고딕"/>
        <family val="3"/>
        <charset val="129"/>
        <scheme val="minor"/>
      </rPr>
      <t>"주민/사업자등록번호"</t>
    </r>
    <r>
      <rPr>
        <sz val="9"/>
        <rFont val="맑은 고딕"/>
        <family val="3"/>
        <charset val="129"/>
        <scheme val="minor"/>
      </rPr>
      <t xml:space="preserve"> 를 받드시 입력하여야 합니다.</t>
    </r>
    <phoneticPr fontId="12" type="noConversion"/>
  </si>
  <si>
    <t>2016. 1. 1. 이후 미성년자 손자 증여자산가액 20억원 초과하는 경우 40%</t>
    <phoneticPr fontId="2" type="noConversion"/>
  </si>
  <si>
    <t>비과세재산가액</t>
    <phoneticPr fontId="12" type="noConversion"/>
  </si>
  <si>
    <r>
      <rPr>
        <sz val="8.9"/>
        <rFont val="맑은 고딕"/>
        <family val="3"/>
        <charset val="129"/>
        <scheme val="minor"/>
      </rPr>
      <t xml:space="preserve">■ </t>
    </r>
    <r>
      <rPr>
        <sz val="11"/>
        <rFont val="맑은 고딕"/>
        <family val="3"/>
        <charset val="129"/>
        <scheme val="minor"/>
      </rPr>
      <t>상속세 및 증여세법 시행규칙 [별지 제10호서식] &lt;개정 2020. 3. 13.&gt;</t>
    </r>
    <phoneticPr fontId="12" type="noConversion"/>
  </si>
  <si>
    <t>[  ]기한 내 신고 [  ]수정신고 [  ]기한 후 신고</t>
    <phoneticPr fontId="12" type="noConversion"/>
  </si>
  <si>
    <t>관리번호</t>
    <phoneticPr fontId="12" type="noConversion"/>
  </si>
  <si>
    <t>─</t>
    <phoneticPr fontId="12" type="noConversion"/>
  </si>
  <si>
    <t>1. 성명</t>
    <phoneticPr fontId="12" type="noConversion"/>
  </si>
  <si>
    <t xml:space="preserve"> 2. 주민등록번호</t>
    <phoneticPr fontId="12" type="noConversion"/>
  </si>
  <si>
    <t>3. 거주구분</t>
    <phoneticPr fontId="12" type="noConversion"/>
  </si>
  <si>
    <t>4. 주소</t>
    <phoneticPr fontId="12" type="noConversion"/>
  </si>
  <si>
    <t>5. 전자우편주소</t>
    <phoneticPr fontId="12" type="noConversion"/>
  </si>
  <si>
    <t>6. 전화번호</t>
    <phoneticPr fontId="12" type="noConversion"/>
  </si>
  <si>
    <t>(자택)</t>
    <phoneticPr fontId="12" type="noConversion"/>
  </si>
  <si>
    <t>서울시 강남구 OOO</t>
    <phoneticPr fontId="2" type="noConversion"/>
  </si>
  <si>
    <t>010-0000-0000</t>
    <phoneticPr fontId="2" type="noConversion"/>
  </si>
  <si>
    <t>(휴대전화)</t>
    <phoneticPr fontId="12" type="noConversion"/>
  </si>
  <si>
    <t>7. 증여자와의 관계</t>
    <phoneticPr fontId="12" type="noConversion"/>
  </si>
  <si>
    <t>8. 성명</t>
    <phoneticPr fontId="12" type="noConversion"/>
  </si>
  <si>
    <t xml:space="preserve"> 9. 주민등록번호</t>
    <phoneticPr fontId="12" type="noConversion"/>
  </si>
  <si>
    <t>10. 증여일자</t>
    <phoneticPr fontId="12" type="noConversion"/>
  </si>
  <si>
    <t>11. 주소</t>
    <phoneticPr fontId="12" type="noConversion"/>
  </si>
  <si>
    <t>12. 전화번호</t>
    <phoneticPr fontId="12" type="noConversion"/>
  </si>
  <si>
    <t>(자      택)</t>
    <phoneticPr fontId="12" type="noConversion"/>
  </si>
  <si>
    <t>세   무
대리인</t>
    <phoneticPr fontId="12" type="noConversion"/>
  </si>
  <si>
    <t>13. 성명</t>
    <phoneticPr fontId="12" type="noConversion"/>
  </si>
  <si>
    <t>14. 사업자등록번호</t>
    <phoneticPr fontId="12" type="noConversion"/>
  </si>
  <si>
    <t>16. 전화번호</t>
    <phoneticPr fontId="12" type="noConversion"/>
  </si>
  <si>
    <t>(사무실)</t>
    <phoneticPr fontId="12" type="noConversion"/>
  </si>
  <si>
    <t>15. 관리번호</t>
    <phoneticPr fontId="12" type="noConversion"/>
  </si>
  <si>
    <t>17.</t>
    <phoneticPr fontId="12" type="noConversion"/>
  </si>
  <si>
    <t>18.</t>
    <phoneticPr fontId="12" type="noConversion"/>
  </si>
  <si>
    <t>19.</t>
    <phoneticPr fontId="12" type="noConversion"/>
  </si>
  <si>
    <t>20.</t>
    <phoneticPr fontId="12" type="noConversion"/>
  </si>
  <si>
    <t>21.</t>
    <phoneticPr fontId="12" type="noConversion"/>
  </si>
  <si>
    <r>
      <t xml:space="preserve">외국납부세액공제
</t>
    </r>
    <r>
      <rPr>
        <sz val="8"/>
        <rFont val="맑은 고딕"/>
        <family val="3"/>
        <charset val="129"/>
        <scheme val="minor"/>
      </rPr>
      <t>(「상속세 및 증여세법」 제59조)</t>
    </r>
    <phoneticPr fontId="12" type="noConversion"/>
  </si>
  <si>
    <r>
      <t xml:space="preserve">기납부세액
</t>
    </r>
    <r>
      <rPr>
        <sz val="8"/>
        <rFont val="맑은 고딕"/>
        <family val="3"/>
        <charset val="129"/>
        <scheme val="minor"/>
      </rPr>
      <t>(「상속세 및 증여세법」 제58조)</t>
    </r>
    <phoneticPr fontId="12" type="noConversion"/>
  </si>
  <si>
    <r>
      <t xml:space="preserve">공익법인출연재산가액
</t>
    </r>
    <r>
      <rPr>
        <sz val="8"/>
        <rFont val="맑은 고딕"/>
        <family val="3"/>
        <charset val="129"/>
        <scheme val="minor"/>
      </rPr>
      <t>(「상속세 및 증여세법」 제48조)</t>
    </r>
    <phoneticPr fontId="12" type="noConversion"/>
  </si>
  <si>
    <r>
      <t xml:space="preserve">공익신탁재산가액
</t>
    </r>
    <r>
      <rPr>
        <sz val="8"/>
        <rFont val="맑은 고딕"/>
        <family val="3"/>
        <charset val="129"/>
        <scheme val="minor"/>
      </rPr>
      <t>(「상속세 및 증여세법」 제52조)</t>
    </r>
    <phoneticPr fontId="12" type="noConversion"/>
  </si>
  <si>
    <r>
      <t xml:space="preserve">장애인신탁재산가액
</t>
    </r>
    <r>
      <rPr>
        <sz val="8"/>
        <rFont val="맑은 고딕"/>
        <family val="3"/>
        <charset val="129"/>
        <scheme val="minor"/>
      </rPr>
      <t>(「상속세 및 증여세법」 제52조의2)</t>
    </r>
    <phoneticPr fontId="12" type="noConversion"/>
  </si>
  <si>
    <r>
      <t xml:space="preserve">신고세액공제
</t>
    </r>
    <r>
      <rPr>
        <sz val="8"/>
        <rFont val="맑은 고딕"/>
        <family val="3"/>
        <charset val="129"/>
        <scheme val="minor"/>
      </rPr>
      <t>(「상속세 및 증여세법」 제69조)</t>
    </r>
    <phoneticPr fontId="12" type="noConversion"/>
  </si>
  <si>
    <t>납부지연가산세</t>
    <phoneticPr fontId="12" type="noConversion"/>
  </si>
  <si>
    <r>
      <t xml:space="preserve">증  여  세  과  세  가  액
</t>
    </r>
    <r>
      <rPr>
        <sz val="8"/>
        <rFont val="맑은 고딕"/>
        <family val="3"/>
        <charset val="129"/>
        <scheme val="minor"/>
      </rPr>
      <t>(17-18-19-20-21-22+23)</t>
    </r>
    <phoneticPr fontId="12" type="noConversion"/>
  </si>
  <si>
    <t>22.</t>
    <phoneticPr fontId="12" type="noConversion"/>
  </si>
  <si>
    <t>23.</t>
    <phoneticPr fontId="12" type="noConversion"/>
  </si>
  <si>
    <t>24.</t>
    <phoneticPr fontId="12" type="noConversion"/>
  </si>
  <si>
    <t>25.</t>
    <phoneticPr fontId="12" type="noConversion"/>
  </si>
  <si>
    <t>26.</t>
    <phoneticPr fontId="12" type="noConversion"/>
  </si>
  <si>
    <t>27.</t>
    <phoneticPr fontId="12" type="noConversion"/>
  </si>
  <si>
    <t>배 우 자</t>
    <phoneticPr fontId="12" type="noConversion"/>
  </si>
  <si>
    <t>그 밖의 친족</t>
    <phoneticPr fontId="12" type="noConversion"/>
  </si>
  <si>
    <r>
      <t xml:space="preserve">재해손실공제
</t>
    </r>
    <r>
      <rPr>
        <sz val="8"/>
        <rFont val="맑은 고딕"/>
        <family val="3"/>
        <charset val="129"/>
        <scheme val="minor"/>
      </rPr>
      <t>(「상속세 및 증여세법」 제54조)</t>
    </r>
    <phoneticPr fontId="12" type="noConversion"/>
  </si>
  <si>
    <t>과세표준(24-25-26-27-28-29)</t>
    <phoneticPr fontId="12" type="noConversion"/>
  </si>
  <si>
    <t>32.</t>
    <phoneticPr fontId="12" type="noConversion"/>
  </si>
  <si>
    <r>
      <t xml:space="preserve">세대생략가산액
</t>
    </r>
    <r>
      <rPr>
        <sz val="8"/>
        <rFont val="맑은 고딕"/>
        <family val="3"/>
        <charset val="129"/>
        <scheme val="minor"/>
      </rPr>
      <t>(「상속세및증여세법」 제57조)</t>
    </r>
    <phoneticPr fontId="12" type="noConversion"/>
  </si>
  <si>
    <t>산  출  세  액   계(32+33)</t>
    <phoneticPr fontId="12" type="noConversion"/>
  </si>
  <si>
    <t>이자상당액</t>
    <phoneticPr fontId="12" type="noConversion"/>
  </si>
  <si>
    <t xml:space="preserve">박물관자료 등 징수유예세액 </t>
    <phoneticPr fontId="12" type="noConversion"/>
  </si>
  <si>
    <t>44.</t>
    <phoneticPr fontId="12" type="noConversion"/>
  </si>
  <si>
    <r>
      <t xml:space="preserve">공익법인 등 관련 가산세
</t>
    </r>
    <r>
      <rPr>
        <sz val="8"/>
        <rFont val="맑은 고딕"/>
        <family val="3"/>
        <charset val="129"/>
        <scheme val="minor"/>
      </rPr>
      <t xml:space="preserve"> (「상속세 및 증여세법」 제78조)</t>
    </r>
    <phoneticPr fontId="12" type="noConversion"/>
  </si>
  <si>
    <t>납부및 신청일</t>
    <phoneticPr fontId="12" type="noConversion"/>
  </si>
  <si>
    <t>납부방법</t>
    <phoneticPr fontId="12" type="noConversion"/>
  </si>
  <si>
    <t>47.</t>
    <phoneticPr fontId="12" type="noConversion"/>
  </si>
  <si>
    <t>48.</t>
    <phoneticPr fontId="12" type="noConversion"/>
  </si>
  <si>
    <t>신청(신고)인
제출서류</t>
    <phoneticPr fontId="12" type="noConversion"/>
  </si>
  <si>
    <t>담당공무원
확인사항</t>
    <phoneticPr fontId="12" type="noConversion"/>
  </si>
  <si>
    <r>
      <rPr>
        <b/>
        <sz val="11"/>
        <rFont val="맑은 고딕"/>
        <family val="3"/>
        <charset val="129"/>
        <scheme val="minor"/>
      </rPr>
      <t>세무서장</t>
    </r>
    <r>
      <rPr>
        <sz val="11"/>
        <rFont val="맑은 고딕"/>
        <family val="3"/>
        <charset val="129"/>
        <scheme val="minor"/>
      </rPr>
      <t xml:space="preserve"> </t>
    </r>
    <r>
      <rPr>
        <sz val="9"/>
        <rFont val="맑은 고딕"/>
        <family val="3"/>
        <charset val="129"/>
        <scheme val="minor"/>
      </rPr>
      <t>귀하</t>
    </r>
    <phoneticPr fontId="12" type="noConversion"/>
  </si>
  <si>
    <t>1. 증여재산 및 평가명세서(부표) 1부
2. 채무사실 등 그 밖의 입증서류 1부</t>
    <phoneticPr fontId="12" type="noConversion"/>
  </si>
  <si>
    <t>1. 주민등록표등본
2. 증여자 및 수증자의 관계를 알 수 있는 가족관계등록부</t>
    <phoneticPr fontId="12" type="noConversion"/>
  </si>
  <si>
    <t>거주구분</t>
    <phoneticPr fontId="2" type="noConversion"/>
  </si>
  <si>
    <t>거주자</t>
  </si>
  <si>
    <t>거주자</t>
    <phoneticPr fontId="12" type="noConversion"/>
  </si>
  <si>
    <t>비거주자</t>
    <phoneticPr fontId="12" type="noConversion"/>
  </si>
  <si>
    <t>■ 상속세 및 증여세법 시행규칙 [별지 제10호서식 부표] &lt;개정 2022. 3. 18.&gt;</t>
    <phoneticPr fontId="2" type="noConversion"/>
  </si>
  <si>
    <t>관리번호</t>
    <phoneticPr fontId="2" type="noConversion"/>
  </si>
  <si>
    <t>─</t>
    <phoneticPr fontId="2" type="noConversion"/>
  </si>
  <si>
    <t>1.</t>
    <phoneticPr fontId="2" type="noConversion"/>
  </si>
  <si>
    <t>2.</t>
    <phoneticPr fontId="2" type="noConversion"/>
  </si>
  <si>
    <t>3. 소 재 지 ㆍ 법인명 등</t>
    <phoneticPr fontId="2" type="noConversion"/>
  </si>
  <si>
    <t>4.</t>
    <phoneticPr fontId="2" type="noConversion"/>
  </si>
  <si>
    <t>5.</t>
    <phoneticPr fontId="2" type="noConversion"/>
  </si>
  <si>
    <t>수 량
(면 적)</t>
    <phoneticPr fontId="2" type="noConversion"/>
  </si>
  <si>
    <t>6.</t>
    <phoneticPr fontId="2" type="noConversion"/>
  </si>
  <si>
    <t>단가</t>
    <phoneticPr fontId="2" type="noConversion"/>
  </si>
  <si>
    <t>7.</t>
    <phoneticPr fontId="2" type="noConversion"/>
  </si>
  <si>
    <t>평가
가액</t>
    <phoneticPr fontId="2" type="noConversion"/>
  </si>
  <si>
    <t>8.</t>
    <phoneticPr fontId="2" type="noConversion"/>
  </si>
  <si>
    <t>[ ]여 [ ]부</t>
    <phoneticPr fontId="2" type="noConversion"/>
  </si>
  <si>
    <t>재산구분
코     드</t>
    <phoneticPr fontId="12" type="noConversion"/>
  </si>
  <si>
    <t>재산종류
코     드</t>
    <phoneticPr fontId="12" type="noConversion"/>
  </si>
  <si>
    <t>사업자등록
번        호
( 지 분 율 )</t>
    <phoneticPr fontId="2" type="noConversion"/>
  </si>
  <si>
    <t>평가기준
코     드</t>
    <phoneticPr fontId="2" type="noConversion"/>
  </si>
  <si>
    <t>국외자산
여     부</t>
    <phoneticPr fontId="2" type="noConversion"/>
  </si>
  <si>
    <t>국외재산
국 가 명</t>
    <phoneticPr fontId="2" type="noConversion"/>
  </si>
  <si>
    <t>9.</t>
    <phoneticPr fontId="2" type="noConversion"/>
  </si>
  <si>
    <t>10.</t>
    <phoneticPr fontId="2" type="noConversion"/>
  </si>
  <si>
    <t>비과세재산가액</t>
    <phoneticPr fontId="2" type="noConversion"/>
  </si>
  <si>
    <t>과세가액
불산입액</t>
    <phoneticPr fontId="2" type="noConversion"/>
  </si>
  <si>
    <t>11.</t>
    <phoneticPr fontId="2" type="noConversion"/>
  </si>
  <si>
    <t>12.</t>
    <phoneticPr fontId="2" type="noConversion"/>
  </si>
  <si>
    <t>13.</t>
    <phoneticPr fontId="2" type="noConversion"/>
  </si>
  <si>
    <t>공익법인 출연재산가액</t>
    <phoneticPr fontId="2" type="noConversion"/>
  </si>
  <si>
    <t>공익신탁 재산가액</t>
    <phoneticPr fontId="2" type="noConversion"/>
  </si>
  <si>
    <t>장애인 신탁재산가액</t>
    <phoneticPr fontId="2" type="noConversion"/>
  </si>
  <si>
    <t>14.</t>
    <phoneticPr fontId="2" type="noConversion"/>
  </si>
  <si>
    <t>15.</t>
    <phoneticPr fontId="2" type="noConversion"/>
  </si>
  <si>
    <t>증여재산가산액</t>
    <phoneticPr fontId="2" type="noConversion"/>
  </si>
  <si>
    <t>계</t>
    <phoneticPr fontId="2" type="noConversion"/>
  </si>
  <si>
    <t>첨부서류</t>
    <phoneticPr fontId="2" type="noConversion"/>
  </si>
  <si>
    <t>수수료
없음</t>
    <phoneticPr fontId="2" type="noConversion"/>
  </si>
  <si>
    <t xml:space="preserve"> 증여재산 증명서류 
 [예: 주주(증권계좌)번호 및 잔고증명서, 예금통장 사본 등]</t>
    <phoneticPr fontId="2" type="noConversion"/>
  </si>
  <si>
    <t>현금</t>
  </si>
  <si>
    <t>유가증권(상장)</t>
    <phoneticPr fontId="2" type="noConversion"/>
  </si>
  <si>
    <t>유가증권(비상장)</t>
  </si>
  <si>
    <t>유가증권(비상장)</t>
    <phoneticPr fontId="2" type="noConversion"/>
  </si>
  <si>
    <t>A11</t>
  </si>
  <si>
    <t>A11</t>
    <phoneticPr fontId="2" type="noConversion"/>
  </si>
  <si>
    <r>
      <t>[ ]여 [</t>
    </r>
    <r>
      <rPr>
        <sz val="10"/>
        <rFont val="Wingdings"/>
        <charset val="2"/>
      </rPr>
      <t>ü</t>
    </r>
    <r>
      <rPr>
        <sz val="10"/>
        <rFont val="맑은 고딕"/>
        <family val="3"/>
        <charset val="129"/>
        <scheme val="minor"/>
      </rPr>
      <t>]부</t>
    </r>
    <phoneticPr fontId="2" type="noConversion"/>
  </si>
  <si>
    <t>01</t>
    <phoneticPr fontId="2" type="noConversion"/>
  </si>
  <si>
    <t>09</t>
    <phoneticPr fontId="2" type="noConversion"/>
  </si>
  <si>
    <t>작성방법</t>
  </si>
  <si>
    <t>재산구분</t>
  </si>
  <si>
    <t>증여재산</t>
  </si>
  <si>
    <t>증여재산가산</t>
  </si>
  <si>
    <t>코드</t>
  </si>
  <si>
    <t>A14</t>
  </si>
  <si>
    <t>A21</t>
  </si>
  <si>
    <t>B11</t>
  </si>
  <si>
    <t>B12</t>
  </si>
  <si>
    <t>B13</t>
  </si>
  <si>
    <t>B21</t>
  </si>
  <si>
    <t>B22</t>
  </si>
  <si>
    <t>B23</t>
  </si>
  <si>
    <t>가상자산</t>
  </si>
  <si>
    <t>* 일반건물은 재산종류코드 04~06 유형을 제외한 건물을 말함</t>
  </si>
  <si>
    <t>가. 소재지를 기재할 경우 : 해당 물건의 소재지번(예시 : 세종특별자치시 국세청로 8-14)을 적습니다.</t>
  </si>
  <si>
    <t>평가기준</t>
  </si>
  <si>
    <t>증여재산
(영농농지)</t>
    <phoneticPr fontId="2" type="noConversion"/>
  </si>
  <si>
    <t>비과세재산
(금양임야)</t>
    <phoneticPr fontId="2" type="noConversion"/>
  </si>
  <si>
    <t>비과세재산
(문화재 등)</t>
    <phoneticPr fontId="2" type="noConversion"/>
  </si>
  <si>
    <t>비과세재산
(기타)</t>
    <phoneticPr fontId="2" type="noConversion"/>
  </si>
  <si>
    <t>과세가액불산입
(공익법인 출연재산)</t>
    <phoneticPr fontId="2" type="noConversion"/>
  </si>
  <si>
    <t>과세가액불산입
(공익신탁 재산)</t>
    <phoneticPr fontId="2" type="noConversion"/>
  </si>
  <si>
    <t>과세가액불산입
(장애인 신탁재산)</t>
    <phoneticPr fontId="2" type="noConversion"/>
  </si>
  <si>
    <t>토지Ⅰ
(순수토지)</t>
    <phoneticPr fontId="2" type="noConversion"/>
  </si>
  <si>
    <t>토지Ⅱ
[일반건물(07)의 부수토지]</t>
    <phoneticPr fontId="2" type="noConversion"/>
  </si>
  <si>
    <t>개별주택
(부수토지 포함)</t>
    <phoneticPr fontId="2" type="noConversion"/>
  </si>
  <si>
    <t>공동주택
(부수토지 포함)</t>
    <phoneticPr fontId="2" type="noConversion"/>
  </si>
  <si>
    <t>오피스텔ㆍ상업용건물
(부수토지 포함)</t>
    <phoneticPr fontId="2" type="noConversion"/>
  </si>
  <si>
    <t>일반건물*
(부수토지 제외)</t>
    <phoneticPr fontId="2" type="noConversion"/>
  </si>
  <si>
    <t>부동산을 취득할 수 있는 권리</t>
    <phoneticPr fontId="2" type="noConversion"/>
  </si>
  <si>
    <t>유가증권
(상장)</t>
    <phoneticPr fontId="2" type="noConversion"/>
  </si>
  <si>
    <r>
      <t>나. 법인명 등을 기재할 경우 : 유가증권인 경우에는 해당 주식을 발행한 법인의 법인명을 적습니다. 그 외의 경우에는 재산명(예시 : 보험금인 경우 □□생명 △△보험 / 유가증권인 경우 ㈜○○건설)을 적습니다.</t>
    </r>
    <r>
      <rPr>
        <sz val="8"/>
        <color rgb="FF000000"/>
        <rFont val="돋움"/>
        <family val="3"/>
        <charset val="129"/>
      </rPr>
      <t xml:space="preserve"> </t>
    </r>
    <phoneticPr fontId="2" type="noConversion"/>
  </si>
  <si>
    <t>유가증권
(비상장)</t>
    <phoneticPr fontId="2" type="noConversion"/>
  </si>
  <si>
    <t>금융재산
(현금, 유가증권 제외)</t>
    <phoneticPr fontId="2" type="noConversion"/>
  </si>
  <si>
    <t>기타재산
(01~11유형, 13유형 제외)</t>
    <phoneticPr fontId="2" type="noConversion"/>
  </si>
  <si>
    <r>
      <t>A."</t>
    </r>
    <r>
      <rPr>
        <sz val="8"/>
        <color rgb="FF000000"/>
        <rFont val="돋움"/>
        <family val="3"/>
        <charset val="129"/>
      </rPr>
      <t xml:space="preserve"> 1. </t>
    </r>
    <r>
      <rPr>
        <sz val="8"/>
        <color rgb="FF000000"/>
        <rFont val="돋움체"/>
        <family val="3"/>
        <charset val="129"/>
      </rPr>
      <t xml:space="preserve">재산구분코드"란 : 아래의 재산구분에 해당하는 코드를 적습니다. </t>
    </r>
    <phoneticPr fontId="2" type="noConversion"/>
  </si>
  <si>
    <t>B." 2. 재산종류코드"란 : 아래의 재산구분에 해당하는 코드를 적습니다.</t>
    <phoneticPr fontId="2" type="noConversion"/>
  </si>
  <si>
    <r>
      <t xml:space="preserve">C."3. 소재지ㆍ법인명 등"란 : 재산의 소재지 또는 법인명 등을 적습니다. 국외자산의 경우 국외자산여부에 </t>
    </r>
    <r>
      <rPr>
        <sz val="8"/>
        <color rgb="FF000000"/>
        <rFont val="Segoe UI Symbol"/>
        <family val="3"/>
      </rPr>
      <t>✔</t>
    </r>
    <r>
      <rPr>
        <sz val="8"/>
        <color rgb="FF000000"/>
        <rFont val="돋움체"/>
        <family val="3"/>
        <charset val="129"/>
      </rPr>
      <t xml:space="preserve"> 표시하고 해당 국가명을 별도 기재하고 소재지ㆍ법인명 등은 한글 또는 영문으로 적습니다. 부득이한 경우 해당 국가의 언어로 적습니다.</t>
    </r>
    <phoneticPr fontId="2" type="noConversion"/>
  </si>
  <si>
    <r>
      <t>D."</t>
    </r>
    <r>
      <rPr>
        <sz val="8"/>
        <color rgb="FF000000"/>
        <rFont val="돋움"/>
        <family val="3"/>
        <charset val="129"/>
      </rPr>
      <t xml:space="preserve"> 4. </t>
    </r>
    <r>
      <rPr>
        <sz val="8"/>
        <color rgb="FF000000"/>
        <rFont val="돋움체"/>
        <family val="3"/>
        <charset val="129"/>
      </rPr>
      <t>사업자등록번호(지분율)"란 : " 재산종류"가 유가증권인 경우에는 해당 주식을 발행한 법인의 사업자등록번호를, 부동산인 경우에는 해당 수증자가</t>
    </r>
    <r>
      <rPr>
        <sz val="8"/>
        <color rgb="FF000000"/>
        <rFont val="돋움"/>
        <family val="3"/>
        <charset val="129"/>
      </rPr>
      <t xml:space="preserve"> </t>
    </r>
    <r>
      <rPr>
        <sz val="8"/>
        <color rgb="FF000000"/>
        <rFont val="돋움체"/>
        <family val="3"/>
        <charset val="129"/>
      </rPr>
      <t xml:space="preserve">증여받은 부동산지분(예시: 증여자가 보유한 50% 지분 중 2분의 1을 수증자에게 증여하는 경우 25%로 기재)을 각각 적습니다. </t>
    </r>
    <phoneticPr fontId="2" type="noConversion"/>
  </si>
  <si>
    <t>E."8.평가기준코드"란 : 아래의 평가기준에 해당하는 코드를 적습니다.</t>
    <phoneticPr fontId="2" type="noConversion"/>
  </si>
  <si>
    <t>해당 재산의 매매거래가액
(「상속세 및 증여세법」 제60조)</t>
    <phoneticPr fontId="2" type="noConversion"/>
  </si>
  <si>
    <t>해당 재산의 감정가액
(「상속세 및 증여세법」 제60조)</t>
    <phoneticPr fontId="2" type="noConversion"/>
  </si>
  <si>
    <t>해당 재산의 수용보상가액
(「상속세 및 증여세법」 제60조)</t>
    <phoneticPr fontId="2" type="noConversion"/>
  </si>
  <si>
    <t>해당 재산의 경매공매가액
(「상속세 및 증여세법」 제60조)</t>
    <phoneticPr fontId="2" type="noConversion"/>
  </si>
  <si>
    <t>유사재산의 매매사례가액 등
(「상속세 및 증여세법」 제60조)</t>
    <phoneticPr fontId="2" type="noConversion"/>
  </si>
  <si>
    <t>현금 등  가액
(「상속세 및 증여세법」 제60조)</t>
    <phoneticPr fontId="2" type="noConversion"/>
  </si>
  <si>
    <t xml:space="preserve"> 기준시가 등 보충적 평가가액 (「상속세 및 증여세법」 제61조부터 제65조)</t>
    <phoneticPr fontId="2" type="noConversion"/>
  </si>
  <si>
    <t>저당권 등 평가특례가액 (「상속세 및 증여세법」 제66조)</t>
    <phoneticPr fontId="2" type="noConversion"/>
  </si>
  <si>
    <t>06</t>
    <phoneticPr fontId="2" type="noConversion"/>
  </si>
  <si>
    <t>08</t>
    <phoneticPr fontId="2" type="noConversion"/>
  </si>
  <si>
    <r>
      <t xml:space="preserve">증여재산가산액
</t>
    </r>
    <r>
      <rPr>
        <sz val="8"/>
        <rFont val="맑은 고딕"/>
        <family val="3"/>
        <charset val="129"/>
        <scheme val="minor"/>
      </rPr>
      <t>(「상속세 및 증여세법」 제47조제2항)</t>
    </r>
    <phoneticPr fontId="12" type="noConversion"/>
  </si>
  <si>
    <t>당초증여재산가액</t>
    <phoneticPr fontId="12" type="noConversion"/>
  </si>
  <si>
    <t>총 증여재산가액 (증여세 대납액 포함)</t>
    <phoneticPr fontId="12" type="noConversion"/>
  </si>
  <si>
    <r>
      <rPr>
        <b/>
        <sz val="10"/>
        <rFont val="맑은 고딕"/>
        <family val="3"/>
        <charset val="129"/>
      </rPr>
      <t xml:space="preserve">▶ </t>
    </r>
    <r>
      <rPr>
        <b/>
        <sz val="10"/>
        <rFont val="맑은 고딕"/>
        <family val="3"/>
        <charset val="129"/>
        <scheme val="minor"/>
      </rPr>
      <t xml:space="preserve">증여세 상당액을 포함하여 증여할 경우 총증여 금액 </t>
    </r>
    <phoneticPr fontId="12" type="noConversion"/>
  </si>
  <si>
    <t>증여재산 및 평가명세서</t>
    <phoneticPr fontId="2" type="noConversion"/>
  </si>
  <si>
    <r>
      <rPr>
        <sz val="9"/>
        <rFont val="맑은 고딕"/>
        <family val="3"/>
        <charset val="129"/>
        <scheme val="minor"/>
      </rPr>
      <t xml:space="preserve">「상속세 및 증여세법」 제68조 및 같은 법 시행령 제65조제1항에 따라 증여세의 과세가액 및 과세표준을 신고하며, </t>
    </r>
    <r>
      <rPr>
        <b/>
        <sz val="9"/>
        <rFont val="맑은 고딕"/>
        <family val="3"/>
        <charset val="129"/>
        <scheme val="minor"/>
      </rPr>
      <t>위 내용을 충분히 검토하였고 신고인이 알고 있는 사실을 그대로 적었음을 확인합니다.</t>
    </r>
    <r>
      <rPr>
        <sz val="9"/>
        <rFont val="맑은 고딕"/>
        <family val="3"/>
        <charset val="129"/>
        <scheme val="minor"/>
      </rPr>
      <t xml:space="preserve">   </t>
    </r>
    <r>
      <rPr>
        <sz val="11"/>
        <rFont val="맑은 고딕"/>
        <family val="3"/>
        <charset val="129"/>
        <scheme val="minor"/>
      </rPr>
      <t xml:space="preserve">          </t>
    </r>
    <phoneticPr fontId="12" type="noConversion"/>
  </si>
  <si>
    <r>
      <rPr>
        <b/>
        <sz val="9"/>
        <rFont val="맑은 고딕"/>
        <family val="3"/>
        <charset val="129"/>
        <scheme val="minor"/>
      </rPr>
      <t xml:space="preserve">세무대리인은 조세전문자격자로서 위 신고서를 성실하고 공정하게 작성하였음을 확인합니다.  </t>
    </r>
    <r>
      <rPr>
        <sz val="9"/>
        <rFont val="맑은 고딕"/>
        <family val="3"/>
        <charset val="129"/>
        <scheme val="minor"/>
      </rPr>
      <t xml:space="preserve">
</t>
    </r>
    <r>
      <rPr>
        <sz val="10"/>
        <rFont val="맑은 고딕"/>
        <family val="3"/>
        <charset val="129"/>
        <scheme val="minor"/>
      </rPr>
      <t xml:space="preserve"> 세무대리인 </t>
    </r>
    <r>
      <rPr>
        <sz val="9"/>
        <rFont val="맑은 고딕"/>
        <family val="3"/>
        <charset val="129"/>
        <scheme val="minor"/>
      </rPr>
      <t xml:space="preserve">                                                        (서명 또는 인)</t>
    </r>
    <phoneticPr fontId="12" type="noConversion"/>
  </si>
  <si>
    <r>
      <t xml:space="preserve">세액공제 합계
</t>
    </r>
    <r>
      <rPr>
        <sz val="9"/>
        <rFont val="맑은 고딕"/>
        <family val="3"/>
        <charset val="129"/>
        <scheme val="minor"/>
      </rPr>
      <t>(38 + 39 + 40 + 41)</t>
    </r>
    <phoneticPr fontId="12" type="noConversion"/>
  </si>
  <si>
    <r>
      <t xml:space="preserve">자진납부할 세액(합계액)
</t>
    </r>
    <r>
      <rPr>
        <sz val="9"/>
        <rFont val="맑은 고딕"/>
        <family val="3"/>
        <charset val="129"/>
        <scheme val="minor"/>
      </rPr>
      <t>(34+35-36-37+42+43+44)</t>
    </r>
    <phoneticPr fontId="12" type="noConversion"/>
  </si>
  <si>
    <t>신고인                              (서명 또는 인)</t>
    <phoneticPr fontId="12" type="noConversion"/>
  </si>
  <si>
    <t>㈜좋은회사</t>
    <phoneticPr fontId="2" type="noConversion"/>
  </si>
  <si>
    <t>001-000-0000</t>
    <phoneticPr fontId="2" type="noConversion"/>
  </si>
  <si>
    <t>자(성인, 혼인공제적용)</t>
    <phoneticPr fontId="2" type="noConversion"/>
  </si>
  <si>
    <t>배우자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</si>
</sst>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#,##0_ "/>
    <numFmt numFmtId="177" formatCode="_ * #,##0_ ;_ * \-#,##0_ ;_ * &quot;-&quot;_ ;_ @_ "/>
    <numFmt numFmtId="178" formatCode="yyyy\.mm\.dd\."/>
    <numFmt numFmtId="179" formatCode="_-* #,##0_-;[Red]&quot;△&quot;#,##0_-;;"/>
    <numFmt numFmtId="180" formatCode="yyyy&quot;년&quot;\ m&quot;월&quot;\ d&quot;일&quot;;@"/>
    <numFmt numFmtId="181" formatCode="0_ "/>
    <numFmt numFmtId="182" formatCode="yy&quot;-&quot;m&quot;-&quot;d;@"/>
    <numFmt numFmtId="183" formatCode="yyyy&quot;년&quot;\ m&quot;월&quot;;@"/>
  </numFmts>
  <fonts count="46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name val="굴림"/>
      <family val="3"/>
      <charset val="129"/>
    </font>
    <font>
      <sz val="11"/>
      <name val="굴림"/>
      <family val="3"/>
      <charset val="129"/>
    </font>
    <font>
      <sz val="10"/>
      <color indexed="8"/>
      <name val="새굴림"/>
      <family val="1"/>
      <charset val="129"/>
    </font>
    <font>
      <b/>
      <u/>
      <sz val="15"/>
      <name val="굴림"/>
      <family val="3"/>
      <charset val="129"/>
    </font>
    <font>
      <b/>
      <sz val="9"/>
      <color indexed="81"/>
      <name val="굴림"/>
      <family val="3"/>
      <charset val="129"/>
    </font>
    <font>
      <b/>
      <sz val="11"/>
      <name val="굴림"/>
      <family val="3"/>
      <charset val="129"/>
    </font>
    <font>
      <b/>
      <sz val="10"/>
      <color indexed="10"/>
      <name val="굴림"/>
      <family val="3"/>
      <charset val="129"/>
    </font>
    <font>
      <i/>
      <sz val="11"/>
      <name val="바탕"/>
      <family val="1"/>
      <charset val="129"/>
    </font>
    <font>
      <sz val="11"/>
      <name val="바탕"/>
      <family val="1"/>
      <charset val="129"/>
    </font>
    <font>
      <sz val="8"/>
      <name val="굴림"/>
      <family val="3"/>
      <charset val="129"/>
    </font>
    <font>
      <b/>
      <u/>
      <sz val="25"/>
      <name val="굴림"/>
      <family val="3"/>
      <charset val="129"/>
    </font>
    <font>
      <b/>
      <sz val="9"/>
      <color indexed="81"/>
      <name val="돋움"/>
      <family val="3"/>
      <charset val="129"/>
    </font>
    <font>
      <sz val="11"/>
      <name val="맑은 고딕"/>
      <family val="3"/>
      <charset val="129"/>
    </font>
    <font>
      <sz val="11"/>
      <color indexed="63"/>
      <name val="돋움"/>
      <family val="3"/>
      <charset val="129"/>
    </font>
    <font>
      <sz val="9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8.9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i/>
      <sz val="1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color indexed="63"/>
      <name val="맑은 고딕"/>
      <family val="3"/>
      <charset val="129"/>
      <scheme val="minor"/>
    </font>
    <font>
      <b/>
      <u/>
      <sz val="12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  <scheme val="minor"/>
    </font>
    <font>
      <b/>
      <sz val="9"/>
      <name val="굴림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0"/>
      <name val="맑은 고딕"/>
      <family val="1"/>
      <charset val="128"/>
      <scheme val="minor"/>
    </font>
    <font>
      <b/>
      <sz val="16"/>
      <name val="맑은 고딕"/>
      <family val="3"/>
      <charset val="129"/>
      <scheme val="minor"/>
    </font>
    <font>
      <sz val="10"/>
      <name val="Wingdings"/>
      <charset val="2"/>
    </font>
    <font>
      <b/>
      <sz val="10"/>
      <color rgb="FF000000"/>
      <name val="돋움체"/>
      <family val="3"/>
      <charset val="129"/>
    </font>
    <font>
      <sz val="8"/>
      <color rgb="FF000000"/>
      <name val="돋움"/>
      <family val="3"/>
      <charset val="129"/>
    </font>
    <font>
      <sz val="8"/>
      <color rgb="FF000000"/>
      <name val="돋움체"/>
      <family val="3"/>
      <charset val="129"/>
    </font>
    <font>
      <sz val="8"/>
      <color rgb="FF000000"/>
      <name val="Segoe UI Symbol"/>
      <family val="3"/>
    </font>
    <font>
      <sz val="11"/>
      <color theme="0"/>
      <name val="굴림"/>
      <family val="3"/>
      <charset val="129"/>
    </font>
    <font>
      <b/>
      <sz val="1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BCBCB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9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dotted">
        <color indexed="55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theme="1" tint="0.499984740745262"/>
      </bottom>
      <diagonal/>
    </border>
    <border>
      <left style="thin">
        <color theme="0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</borders>
  <cellStyleXfs count="9">
    <xf numFmtId="0" fontId="0" fillId="0" borderId="0" applyNumberFormat="0">
      <alignment vertical="center"/>
    </xf>
    <xf numFmtId="179" fontId="10" fillId="2" borderId="1" applyFont="0" applyFill="0" applyBorder="0" applyProtection="0">
      <alignment horizontal="right" vertical="center" shrinkToFit="1"/>
    </xf>
    <xf numFmtId="9" fontId="1" fillId="0" borderId="0" applyFont="0" applyFill="0" applyBorder="0" applyAlignment="0" applyProtection="0">
      <alignment vertical="center"/>
    </xf>
    <xf numFmtId="176" fontId="11" fillId="0" borderId="2" applyFont="0" applyFill="0" applyBorder="0">
      <alignment horizontal="center" vertical="center"/>
    </xf>
    <xf numFmtId="41" fontId="1" fillId="0" borderId="0" applyFont="0" applyFill="0" applyBorder="0" applyAlignment="0" applyProtection="0">
      <alignment vertical="center"/>
    </xf>
    <xf numFmtId="0" fontId="11" fillId="0" borderId="2" applyNumberFormat="0" applyFont="0" applyFill="0" applyAlignment="0" applyProtection="0">
      <alignment vertical="center"/>
    </xf>
    <xf numFmtId="0" fontId="4" fillId="0" borderId="0">
      <alignment vertical="center"/>
    </xf>
    <xf numFmtId="0" fontId="1" fillId="0" borderId="0"/>
    <xf numFmtId="0" fontId="11" fillId="0" borderId="0">
      <alignment vertical="center"/>
    </xf>
  </cellStyleXfs>
  <cellXfs count="585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76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right" vertical="center"/>
    </xf>
    <xf numFmtId="0" fontId="4" fillId="0" borderId="3" xfId="0" applyFont="1" applyBorder="1" applyAlignment="1">
      <alignment horizontal="distributed" vertical="center"/>
    </xf>
    <xf numFmtId="176" fontId="4" fillId="0" borderId="3" xfId="0" applyNumberFormat="1" applyFont="1" applyBorder="1" applyAlignment="1">
      <alignment horizontal="right" vertical="center"/>
    </xf>
    <xf numFmtId="9" fontId="4" fillId="0" borderId="3" xfId="0" applyNumberFormat="1" applyFont="1" applyBorder="1" applyAlignment="1">
      <alignment horizontal="right" vertical="center"/>
    </xf>
    <xf numFmtId="177" fontId="4" fillId="0" borderId="4" xfId="0" applyNumberFormat="1" applyFont="1" applyBorder="1" applyAlignment="1">
      <alignment horizontal="right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3" xfId="0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176" fontId="4" fillId="3" borderId="7" xfId="0" applyNumberFormat="1" applyFont="1" applyFill="1" applyBorder="1">
      <alignment vertical="center"/>
    </xf>
    <xf numFmtId="0" fontId="4" fillId="3" borderId="7" xfId="0" applyFont="1" applyFill="1" applyBorder="1" applyAlignment="1">
      <alignment horizontal="center" vertical="center"/>
    </xf>
    <xf numFmtId="176" fontId="4" fillId="0" borderId="4" xfId="0" applyNumberFormat="1" applyFont="1" applyBorder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distributed" vertical="center"/>
    </xf>
    <xf numFmtId="0" fontId="4" fillId="0" borderId="19" xfId="0" applyFont="1" applyBorder="1" applyAlignment="1">
      <alignment horizontal="center" vertical="center"/>
    </xf>
    <xf numFmtId="0" fontId="8" fillId="0" borderId="0" xfId="7" applyFont="1" applyAlignment="1">
      <alignment horizontal="center" vertical="center" wrapText="1"/>
    </xf>
    <xf numFmtId="0" fontId="8" fillId="0" borderId="0" xfId="7" applyFont="1" applyAlignment="1">
      <alignment horizontal="left" vertical="center" wrapText="1"/>
    </xf>
    <xf numFmtId="0" fontId="4" fillId="0" borderId="0" xfId="7" applyFont="1" applyAlignment="1">
      <alignment horizontal="center" vertical="center"/>
    </xf>
    <xf numFmtId="0" fontId="4" fillId="0" borderId="0" xfId="7" applyFont="1" applyAlignment="1">
      <alignment horizontal="center" vertical="center" wrapText="1"/>
    </xf>
    <xf numFmtId="0" fontId="4" fillId="0" borderId="0" xfId="7" quotePrefix="1" applyFont="1" applyAlignment="1">
      <alignment horizontal="center" vertical="center" wrapText="1"/>
    </xf>
    <xf numFmtId="0" fontId="4" fillId="0" borderId="0" xfId="7" applyFont="1" applyAlignment="1">
      <alignment horizontal="left" vertical="center" wrapText="1"/>
    </xf>
    <xf numFmtId="0" fontId="4" fillId="0" borderId="0" xfId="7" applyFont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2" xfId="0" quotePrefix="1" applyBorder="1" applyAlignment="1">
      <alignment vertical="center" wrapText="1"/>
    </xf>
    <xf numFmtId="0" fontId="0" fillId="0" borderId="10" xfId="0" applyBorder="1" applyAlignment="1">
      <alignment vertical="top" wrapText="1"/>
    </xf>
    <xf numFmtId="0" fontId="16" fillId="0" borderId="10" xfId="0" applyFont="1" applyBorder="1" applyAlignment="1">
      <alignment horizontal="left" vertical="top" wrapText="1"/>
    </xf>
    <xf numFmtId="0" fontId="0" fillId="0" borderId="16" xfId="0" applyBorder="1" applyAlignment="1">
      <alignment horizontal="center" vertical="center" wrapText="1"/>
    </xf>
    <xf numFmtId="0" fontId="0" fillId="0" borderId="16" xfId="0" quotePrefix="1" applyBorder="1" applyAlignment="1">
      <alignment vertical="center" wrapText="1"/>
    </xf>
    <xf numFmtId="0" fontId="0" fillId="0" borderId="18" xfId="0" applyBorder="1" applyAlignment="1">
      <alignment vertical="top" wrapText="1"/>
    </xf>
    <xf numFmtId="0" fontId="18" fillId="0" borderId="0" xfId="8" applyFont="1">
      <alignment vertical="center"/>
    </xf>
    <xf numFmtId="0" fontId="18" fillId="0" borderId="0" xfId="8" applyFont="1" applyAlignment="1">
      <alignment horizontal="center" vertical="center"/>
    </xf>
    <xf numFmtId="0" fontId="22" fillId="0" borderId="15" xfId="8" applyFont="1" applyBorder="1" applyAlignment="1">
      <alignment horizontal="center" vertical="center"/>
    </xf>
    <xf numFmtId="0" fontId="22" fillId="0" borderId="29" xfId="5" quotePrefix="1" applyFont="1" applyBorder="1" applyAlignment="1">
      <alignment horizontal="center" vertical="center"/>
    </xf>
    <xf numFmtId="0" fontId="22" fillId="0" borderId="29" xfId="8" quotePrefix="1" applyFont="1" applyBorder="1" applyAlignment="1">
      <alignment horizontal="center" vertical="center"/>
    </xf>
    <xf numFmtId="0" fontId="22" fillId="0" borderId="29" xfId="5" quotePrefix="1" applyFont="1" applyBorder="1" applyAlignment="1">
      <alignment horizontal="center" vertical="center" wrapText="1"/>
    </xf>
    <xf numFmtId="0" fontId="22" fillId="0" borderId="37" xfId="5" quotePrefix="1" applyFont="1" applyBorder="1" applyAlignment="1">
      <alignment horizontal="center" vertical="center"/>
    </xf>
    <xf numFmtId="0" fontId="18" fillId="0" borderId="15" xfId="8" applyFont="1" applyBorder="1">
      <alignment vertical="center"/>
    </xf>
    <xf numFmtId="0" fontId="18" fillId="0" borderId="0" xfId="5" applyFont="1" applyBorder="1" applyAlignment="1">
      <alignment horizontal="center" vertical="center" wrapText="1"/>
    </xf>
    <xf numFmtId="0" fontId="29" fillId="7" borderId="58" xfId="0" applyFont="1" applyFill="1" applyBorder="1" applyAlignment="1">
      <alignment horizontal="center" vertical="center" wrapText="1"/>
    </xf>
    <xf numFmtId="0" fontId="29" fillId="7" borderId="59" xfId="0" applyFont="1" applyFill="1" applyBorder="1" applyAlignment="1">
      <alignment horizontal="center" vertical="center" wrapText="1"/>
    </xf>
    <xf numFmtId="0" fontId="29" fillId="7" borderId="60" xfId="0" applyFont="1" applyFill="1" applyBorder="1" applyAlignment="1">
      <alignment horizontal="center" vertical="center" wrapText="1"/>
    </xf>
    <xf numFmtId="0" fontId="21" fillId="0" borderId="0" xfId="7" applyFont="1" applyAlignment="1">
      <alignment horizontal="center" vertical="center"/>
    </xf>
    <xf numFmtId="0" fontId="21" fillId="8" borderId="56" xfId="0" applyFont="1" applyFill="1" applyBorder="1" applyAlignment="1">
      <alignment vertical="center" wrapText="1"/>
    </xf>
    <xf numFmtId="0" fontId="21" fillId="0" borderId="2" xfId="0" applyFont="1" applyBorder="1" applyAlignment="1">
      <alignment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10" xfId="0" applyFont="1" applyBorder="1" applyAlignment="1">
      <alignment vertical="top" wrapText="1"/>
    </xf>
    <xf numFmtId="0" fontId="21" fillId="0" borderId="2" xfId="0" applyFont="1" applyBorder="1">
      <alignment vertical="center"/>
    </xf>
    <xf numFmtId="0" fontId="30" fillId="0" borderId="10" xfId="0" applyFont="1" applyBorder="1" applyAlignment="1">
      <alignment horizontal="left" vertical="top" wrapText="1"/>
    </xf>
    <xf numFmtId="0" fontId="21" fillId="8" borderId="57" xfId="0" applyFont="1" applyFill="1" applyBorder="1" applyAlignment="1">
      <alignment vertical="center" wrapText="1"/>
    </xf>
    <xf numFmtId="0" fontId="21" fillId="0" borderId="16" xfId="0" applyFont="1" applyBorder="1" applyAlignment="1">
      <alignment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vertical="top" wrapText="1"/>
    </xf>
    <xf numFmtId="0" fontId="29" fillId="0" borderId="0" xfId="7" applyFont="1" applyAlignment="1">
      <alignment horizontal="center" vertical="center"/>
    </xf>
    <xf numFmtId="0" fontId="21" fillId="0" borderId="0" xfId="7" applyFont="1" applyAlignment="1">
      <alignment horizontal="left" vertical="center"/>
    </xf>
    <xf numFmtId="0" fontId="21" fillId="0" borderId="2" xfId="0" quotePrefix="1" applyFont="1" applyBorder="1" applyAlignment="1">
      <alignment horizontal="center" vertical="center" wrapText="1"/>
    </xf>
    <xf numFmtId="0" fontId="21" fillId="0" borderId="16" xfId="0" quotePrefix="1" applyFont="1" applyBorder="1" applyAlignment="1">
      <alignment horizontal="center" vertical="center" wrapText="1"/>
    </xf>
    <xf numFmtId="0" fontId="21" fillId="0" borderId="0" xfId="6" applyFont="1">
      <alignment vertical="center"/>
    </xf>
    <xf numFmtId="0" fontId="21" fillId="0" borderId="0" xfId="6" applyFont="1" applyAlignment="1">
      <alignment horizontal="right" vertical="center"/>
    </xf>
    <xf numFmtId="49" fontId="21" fillId="0" borderId="8" xfId="5" applyNumberFormat="1" applyFont="1" applyBorder="1">
      <alignment vertical="center"/>
    </xf>
    <xf numFmtId="49" fontId="21" fillId="0" borderId="9" xfId="5" applyNumberFormat="1" applyFont="1" applyBorder="1">
      <alignment vertical="center"/>
    </xf>
    <xf numFmtId="49" fontId="21" fillId="0" borderId="0" xfId="6" applyNumberFormat="1" applyFont="1">
      <alignment vertical="center"/>
    </xf>
    <xf numFmtId="0" fontId="21" fillId="0" borderId="11" xfId="5" applyFont="1" applyBorder="1" applyAlignment="1">
      <alignment vertical="center"/>
    </xf>
    <xf numFmtId="0" fontId="21" fillId="0" borderId="12" xfId="5" applyFont="1" applyBorder="1" applyAlignment="1">
      <alignment vertical="center"/>
    </xf>
    <xf numFmtId="0" fontId="21" fillId="0" borderId="13" xfId="6" applyFont="1" applyBorder="1">
      <alignment vertical="center"/>
    </xf>
    <xf numFmtId="0" fontId="21" fillId="0" borderId="2" xfId="5" applyFont="1">
      <alignment vertical="center"/>
    </xf>
    <xf numFmtId="0" fontId="21" fillId="0" borderId="10" xfId="5" applyFont="1" applyBorder="1">
      <alignment vertical="center"/>
    </xf>
    <xf numFmtId="0" fontId="21" fillId="0" borderId="2" xfId="5" applyNumberFormat="1" applyFont="1" applyFill="1" applyAlignment="1">
      <alignment horizontal="center" vertical="center"/>
    </xf>
    <xf numFmtId="0" fontId="21" fillId="0" borderId="10" xfId="5" applyNumberFormat="1" applyFont="1" applyFill="1" applyBorder="1" applyAlignment="1">
      <alignment horizontal="center" vertical="center"/>
    </xf>
    <xf numFmtId="0" fontId="21" fillId="0" borderId="14" xfId="6" applyFont="1" applyBorder="1">
      <alignment vertical="center"/>
    </xf>
    <xf numFmtId="0" fontId="21" fillId="0" borderId="15" xfId="6" applyFont="1" applyBorder="1">
      <alignment vertical="center"/>
    </xf>
    <xf numFmtId="0" fontId="21" fillId="0" borderId="2" xfId="5" applyNumberFormat="1" applyFont="1" applyAlignment="1">
      <alignment horizontal="center" vertical="center"/>
    </xf>
    <xf numFmtId="0" fontId="21" fillId="0" borderId="10" xfId="5" applyNumberFormat="1" applyFont="1" applyBorder="1" applyAlignment="1">
      <alignment horizontal="center" vertical="center"/>
    </xf>
    <xf numFmtId="0" fontId="21" fillId="0" borderId="16" xfId="5" applyNumberFormat="1" applyFont="1" applyBorder="1" applyAlignment="1">
      <alignment horizontal="center" vertical="center"/>
    </xf>
    <xf numFmtId="0" fontId="21" fillId="0" borderId="18" xfId="5" applyNumberFormat="1" applyFont="1" applyBorder="1" applyAlignment="1">
      <alignment horizontal="center" vertical="center"/>
    </xf>
    <xf numFmtId="0" fontId="21" fillId="0" borderId="17" xfId="6" applyFont="1" applyBorder="1">
      <alignment vertical="center"/>
    </xf>
    <xf numFmtId="0" fontId="21" fillId="0" borderId="8" xfId="5" applyNumberFormat="1" applyFont="1" applyBorder="1">
      <alignment vertical="center"/>
    </xf>
    <xf numFmtId="0" fontId="21" fillId="0" borderId="9" xfId="5" applyNumberFormat="1" applyFont="1" applyBorder="1">
      <alignment vertical="center"/>
    </xf>
    <xf numFmtId="181" fontId="21" fillId="0" borderId="2" xfId="5" applyNumberFormat="1" applyFont="1" applyAlignment="1">
      <alignment horizontal="center" vertical="center"/>
    </xf>
    <xf numFmtId="49" fontId="21" fillId="0" borderId="10" xfId="5" applyNumberFormat="1" applyFont="1" applyBorder="1" applyAlignment="1">
      <alignment horizontal="center" vertical="center"/>
    </xf>
    <xf numFmtId="181" fontId="21" fillId="0" borderId="16" xfId="5" applyNumberFormat="1" applyFont="1" applyBorder="1" applyAlignment="1">
      <alignment horizontal="center" vertical="center"/>
    </xf>
    <xf numFmtId="49" fontId="21" fillId="0" borderId="18" xfId="5" applyNumberFormat="1" applyFont="1" applyBorder="1" applyAlignment="1">
      <alignment horizontal="center" vertical="center"/>
    </xf>
    <xf numFmtId="0" fontId="21" fillId="0" borderId="8" xfId="5" applyFont="1" applyBorder="1">
      <alignment vertical="center"/>
    </xf>
    <xf numFmtId="0" fontId="21" fillId="0" borderId="9" xfId="5" applyFont="1" applyBorder="1">
      <alignment vertical="center"/>
    </xf>
    <xf numFmtId="0" fontId="27" fillId="0" borderId="14" xfId="6" applyFont="1" applyBorder="1">
      <alignment vertical="center"/>
    </xf>
    <xf numFmtId="0" fontId="27" fillId="0" borderId="15" xfId="6" applyFont="1" applyBorder="1">
      <alignment vertical="center"/>
    </xf>
    <xf numFmtId="0" fontId="18" fillId="0" borderId="0" xfId="0" applyFont="1">
      <alignment vertical="center"/>
    </xf>
    <xf numFmtId="0" fontId="28" fillId="0" borderId="0" xfId="0" applyFont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3" fillId="0" borderId="0" xfId="0" applyFont="1">
      <alignment vertical="center"/>
    </xf>
    <xf numFmtId="0" fontId="23" fillId="4" borderId="20" xfId="0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2" fillId="0" borderId="5" xfId="0" applyNumberFormat="1" applyFont="1" applyBorder="1" applyAlignment="1">
      <alignment horizontal="center" vertical="center"/>
    </xf>
    <xf numFmtId="0" fontId="23" fillId="5" borderId="14" xfId="0" applyFont="1" applyFill="1" applyBorder="1" applyAlignment="1">
      <alignment horizontal="center" vertical="center"/>
    </xf>
    <xf numFmtId="0" fontId="23" fillId="5" borderId="21" xfId="0" applyFont="1" applyFill="1" applyBorder="1" applyAlignment="1">
      <alignment horizontal="center" vertical="center"/>
    </xf>
    <xf numFmtId="0" fontId="23" fillId="5" borderId="22" xfId="0" applyFont="1" applyFill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3" fillId="5" borderId="23" xfId="0" applyFont="1" applyFill="1" applyBorder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8" fillId="0" borderId="79" xfId="8" applyFont="1" applyBorder="1">
      <alignment vertical="center"/>
    </xf>
    <xf numFmtId="0" fontId="18" fillId="0" borderId="80" xfId="8" applyFont="1" applyBorder="1">
      <alignment vertical="center"/>
    </xf>
    <xf numFmtId="0" fontId="22" fillId="0" borderId="5" xfId="0" applyFont="1" applyBorder="1" applyAlignment="1" applyProtection="1">
      <alignment horizontal="center" vertical="center" shrinkToFit="1"/>
      <protection locked="0"/>
    </xf>
    <xf numFmtId="176" fontId="22" fillId="0" borderId="3" xfId="0" applyNumberFormat="1" applyFont="1" applyBorder="1" applyAlignment="1" applyProtection="1">
      <alignment horizontal="right" vertical="center"/>
      <protection locked="0"/>
    </xf>
    <xf numFmtId="0" fontId="22" fillId="0" borderId="4" xfId="0" applyFont="1" applyBorder="1" applyAlignment="1" applyProtection="1">
      <alignment horizontal="center" vertical="center"/>
      <protection locked="0"/>
    </xf>
    <xf numFmtId="0" fontId="22" fillId="0" borderId="5" xfId="0" applyFont="1" applyBorder="1" applyAlignment="1" applyProtection="1">
      <alignment horizontal="center" vertical="center"/>
      <protection locked="0"/>
    </xf>
    <xf numFmtId="0" fontId="22" fillId="0" borderId="4" xfId="0" applyFont="1" applyBorder="1" applyProtection="1">
      <alignment vertical="center"/>
      <protection locked="0"/>
    </xf>
    <xf numFmtId="0" fontId="22" fillId="0" borderId="3" xfId="0" applyFont="1" applyBorder="1" applyAlignment="1" applyProtection="1">
      <alignment horizontal="center" vertical="center"/>
      <protection locked="0"/>
    </xf>
    <xf numFmtId="176" fontId="22" fillId="0" borderId="4" xfId="0" applyNumberFormat="1" applyFont="1" applyBorder="1" applyProtection="1">
      <alignment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176" fontId="22" fillId="0" borderId="24" xfId="0" applyNumberFormat="1" applyFont="1" applyBorder="1" applyAlignment="1" applyProtection="1">
      <alignment horizontal="right" vertical="center"/>
      <protection locked="0"/>
    </xf>
    <xf numFmtId="176" fontId="22" fillId="0" borderId="30" xfId="0" applyNumberFormat="1" applyFont="1" applyBorder="1" applyProtection="1">
      <alignment vertical="center"/>
      <protection locked="0"/>
    </xf>
    <xf numFmtId="182" fontId="23" fillId="5" borderId="21" xfId="0" applyNumberFormat="1" applyFont="1" applyFill="1" applyBorder="1" applyAlignment="1" applyProtection="1">
      <alignment horizontal="center" vertical="center"/>
      <protection locked="0"/>
    </xf>
    <xf numFmtId="182" fontId="23" fillId="4" borderId="21" xfId="0" applyNumberFormat="1" applyFont="1" applyFill="1" applyBorder="1" applyAlignment="1" applyProtection="1">
      <alignment horizontal="center" vertical="center"/>
      <protection locked="0"/>
    </xf>
    <xf numFmtId="179" fontId="18" fillId="9" borderId="0" xfId="8" applyNumberFormat="1" applyFont="1" applyFill="1">
      <alignment vertical="center"/>
    </xf>
    <xf numFmtId="41" fontId="18" fillId="9" borderId="0" xfId="8" applyNumberFormat="1" applyFont="1" applyFill="1">
      <alignment vertical="center"/>
    </xf>
    <xf numFmtId="179" fontId="34" fillId="9" borderId="0" xfId="8" applyNumberFormat="1" applyFont="1" applyFill="1">
      <alignment vertical="center"/>
    </xf>
    <xf numFmtId="0" fontId="18" fillId="9" borderId="0" xfId="8" applyFont="1" applyFill="1">
      <alignment vertical="center"/>
    </xf>
    <xf numFmtId="41" fontId="18" fillId="0" borderId="0" xfId="4" applyFont="1">
      <alignment vertical="center"/>
    </xf>
    <xf numFmtId="0" fontId="21" fillId="0" borderId="0" xfId="8" applyFont="1" applyAlignment="1">
      <alignment horizontal="center" vertical="center"/>
    </xf>
    <xf numFmtId="0" fontId="22" fillId="0" borderId="29" xfId="5" applyFont="1" applyFill="1" applyBorder="1" applyAlignment="1">
      <alignment horizontal="left" vertical="center"/>
    </xf>
    <xf numFmtId="0" fontId="22" fillId="0" borderId="37" xfId="5" applyFont="1" applyFill="1" applyBorder="1" applyAlignment="1">
      <alignment horizontal="left" vertical="center"/>
    </xf>
    <xf numFmtId="0" fontId="22" fillId="0" borderId="0" xfId="5" applyFont="1" applyBorder="1" applyAlignment="1">
      <alignment horizontal="center" vertical="center"/>
    </xf>
    <xf numFmtId="0" fontId="21" fillId="0" borderId="0" xfId="8" applyFont="1">
      <alignment vertical="center"/>
    </xf>
    <xf numFmtId="0" fontId="22" fillId="0" borderId="37" xfId="5" applyFont="1" applyFill="1" applyBorder="1" applyAlignment="1">
      <alignment vertical="center"/>
    </xf>
    <xf numFmtId="0" fontId="22" fillId="0" borderId="0" xfId="5" applyFont="1" applyBorder="1" applyAlignment="1">
      <alignment horizontal="center" vertical="center" shrinkToFit="1"/>
    </xf>
    <xf numFmtId="0" fontId="22" fillId="0" borderId="0" xfId="5" applyFont="1" applyBorder="1" applyAlignment="1">
      <alignment horizontal="left" vertical="center"/>
    </xf>
    <xf numFmtId="0" fontId="22" fillId="0" borderId="0" xfId="5" applyFont="1" applyFill="1" applyBorder="1" applyAlignment="1">
      <alignment horizontal="center" vertical="center"/>
    </xf>
    <xf numFmtId="0" fontId="22" fillId="0" borderId="46" xfId="5" applyFont="1" applyBorder="1" applyAlignment="1">
      <alignment horizontal="left" vertical="center"/>
    </xf>
    <xf numFmtId="0" fontId="22" fillId="0" borderId="46" xfId="5" applyFont="1" applyBorder="1" applyAlignment="1">
      <alignment horizontal="center" vertical="center"/>
    </xf>
    <xf numFmtId="0" fontId="35" fillId="0" borderId="37" xfId="5" quotePrefix="1" applyFont="1" applyBorder="1" applyAlignment="1">
      <alignment horizontal="center" vertical="center" wrapText="1"/>
    </xf>
    <xf numFmtId="0" fontId="22" fillId="0" borderId="37" xfId="5" quotePrefix="1" applyFont="1" applyBorder="1" applyAlignment="1">
      <alignment horizontal="center" vertical="center" wrapText="1"/>
    </xf>
    <xf numFmtId="0" fontId="22" fillId="0" borderId="37" xfId="8" quotePrefix="1" applyFont="1" applyBorder="1" applyAlignment="1">
      <alignment horizontal="center" vertical="center"/>
    </xf>
    <xf numFmtId="0" fontId="22" fillId="0" borderId="36" xfId="5" quotePrefix="1" applyFont="1" applyBorder="1" applyAlignment="1">
      <alignment horizontal="center" vertical="center"/>
    </xf>
    <xf numFmtId="0" fontId="22" fillId="0" borderId="29" xfId="5" quotePrefix="1" applyFont="1" applyFill="1" applyBorder="1" applyAlignment="1">
      <alignment horizontal="center" vertical="center"/>
    </xf>
    <xf numFmtId="0" fontId="22" fillId="0" borderId="49" xfId="5" quotePrefix="1" applyFont="1" applyFill="1" applyBorder="1" applyAlignment="1">
      <alignment horizontal="center" vertical="center"/>
    </xf>
    <xf numFmtId="0" fontId="22" fillId="0" borderId="48" xfId="5" quotePrefix="1" applyFont="1" applyFill="1" applyBorder="1" applyAlignment="1">
      <alignment horizontal="center" vertical="center"/>
    </xf>
    <xf numFmtId="0" fontId="22" fillId="0" borderId="15" xfId="5" quotePrefix="1" applyFont="1" applyBorder="1" applyAlignment="1">
      <alignment horizontal="center" vertical="center"/>
    </xf>
    <xf numFmtId="0" fontId="18" fillId="0" borderId="46" xfId="5" applyFont="1" applyBorder="1" applyAlignment="1">
      <alignment horizontal="center" vertical="center"/>
    </xf>
    <xf numFmtId="0" fontId="18" fillId="0" borderId="46" xfId="5" applyFont="1" applyBorder="1" applyAlignment="1">
      <alignment horizontal="distributed" vertical="center"/>
    </xf>
    <xf numFmtId="0" fontId="18" fillId="0" borderId="46" xfId="1" applyNumberFormat="1" applyFont="1" applyFill="1" applyBorder="1">
      <alignment horizontal="right" vertical="center" shrinkToFit="1"/>
    </xf>
    <xf numFmtId="0" fontId="18" fillId="0" borderId="46" xfId="8" applyFont="1" applyBorder="1">
      <alignment vertical="center"/>
    </xf>
    <xf numFmtId="0" fontId="25" fillId="0" borderId="46" xfId="5" applyFont="1" applyBorder="1" applyAlignment="1">
      <alignment horizontal="left" vertical="center" wrapText="1"/>
    </xf>
    <xf numFmtId="0" fontId="22" fillId="0" borderId="0" xfId="8" applyFont="1">
      <alignment vertical="center"/>
    </xf>
    <xf numFmtId="0" fontId="22" fillId="0" borderId="62" xfId="5" applyFont="1" applyFill="1" applyBorder="1" applyAlignment="1">
      <alignment horizontal="center" vertical="center"/>
    </xf>
    <xf numFmtId="0" fontId="22" fillId="0" borderId="11" xfId="5" applyFont="1" applyFill="1" applyBorder="1" applyAlignment="1">
      <alignment horizontal="center" vertical="center"/>
    </xf>
    <xf numFmtId="0" fontId="22" fillId="0" borderId="11" xfId="5" applyFont="1" applyFill="1" applyBorder="1" applyAlignment="1">
      <alignment vertical="center"/>
    </xf>
    <xf numFmtId="0" fontId="36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8" fillId="0" borderId="15" xfId="0" applyFont="1" applyBorder="1">
      <alignment vertical="center"/>
    </xf>
    <xf numFmtId="0" fontId="36" fillId="0" borderId="15" xfId="0" applyFont="1" applyBorder="1">
      <alignment vertical="center"/>
    </xf>
    <xf numFmtId="0" fontId="18" fillId="0" borderId="31" xfId="0" applyFont="1" applyBorder="1">
      <alignment vertical="center"/>
    </xf>
    <xf numFmtId="0" fontId="18" fillId="0" borderId="46" xfId="0" applyFont="1" applyBorder="1">
      <alignment vertical="center"/>
    </xf>
    <xf numFmtId="0" fontId="18" fillId="0" borderId="49" xfId="0" quotePrefix="1" applyFont="1" applyBorder="1">
      <alignment vertical="center"/>
    </xf>
    <xf numFmtId="0" fontId="18" fillId="0" borderId="29" xfId="0" quotePrefix="1" applyFont="1" applyBorder="1">
      <alignment vertical="center"/>
    </xf>
    <xf numFmtId="0" fontId="18" fillId="0" borderId="29" xfId="0" quotePrefix="1" applyFont="1" applyBorder="1" applyAlignment="1">
      <alignment horizontal="center" vertical="center"/>
    </xf>
    <xf numFmtId="0" fontId="18" fillId="0" borderId="76" xfId="0" quotePrefix="1" applyFont="1" applyBorder="1">
      <alignment vertical="center"/>
    </xf>
    <xf numFmtId="0" fontId="22" fillId="0" borderId="2" xfId="0" applyFont="1" applyBorder="1">
      <alignment vertical="center"/>
    </xf>
    <xf numFmtId="0" fontId="22" fillId="0" borderId="53" xfId="0" applyFont="1" applyBorder="1">
      <alignment vertical="center"/>
    </xf>
    <xf numFmtId="49" fontId="4" fillId="0" borderId="3" xfId="0" applyNumberFormat="1" applyFont="1" applyBorder="1" applyAlignment="1">
      <alignment horizontal="center" vertical="center"/>
    </xf>
    <xf numFmtId="0" fontId="39" fillId="0" borderId="0" xfId="0" applyFont="1" applyAlignment="1">
      <alignment horizontal="center" vertical="center" wrapText="1"/>
    </xf>
    <xf numFmtId="0" fontId="39" fillId="0" borderId="3" xfId="0" applyFont="1" applyBorder="1" applyAlignment="1">
      <alignment horizontal="center" vertical="center" wrapText="1"/>
    </xf>
    <xf numFmtId="0" fontId="0" fillId="0" borderId="13" xfId="0" applyBorder="1">
      <alignment vertical="center"/>
    </xf>
    <xf numFmtId="0" fontId="0" fillId="0" borderId="87" xfId="0" applyBorder="1">
      <alignment vertical="center"/>
    </xf>
    <xf numFmtId="179" fontId="18" fillId="0" borderId="0" xfId="8" applyNumberFormat="1" applyFont="1">
      <alignment vertical="center"/>
    </xf>
    <xf numFmtId="0" fontId="42" fillId="0" borderId="0" xfId="0" applyFont="1" applyAlignment="1">
      <alignment horizontal="center" vertical="center"/>
    </xf>
    <xf numFmtId="0" fontId="8" fillId="13" borderId="3" xfId="0" applyFont="1" applyFill="1" applyBorder="1" applyAlignment="1">
      <alignment horizontal="center" vertical="center"/>
    </xf>
    <xf numFmtId="176" fontId="8" fillId="13" borderId="3" xfId="0" applyNumberFormat="1" applyFont="1" applyFill="1" applyBorder="1" applyAlignment="1">
      <alignment horizontal="center" vertical="center"/>
    </xf>
    <xf numFmtId="0" fontId="22" fillId="0" borderId="88" xfId="5" quotePrefix="1" applyFont="1" applyBorder="1" applyAlignment="1">
      <alignment horizontal="center" vertical="center"/>
    </xf>
    <xf numFmtId="0" fontId="23" fillId="0" borderId="0" xfId="8" applyFont="1">
      <alignment vertical="center"/>
    </xf>
    <xf numFmtId="0" fontId="22" fillId="0" borderId="0" xfId="0" applyFont="1">
      <alignment vertical="center"/>
    </xf>
    <xf numFmtId="179" fontId="44" fillId="0" borderId="0" xfId="8" applyNumberFormat="1" applyFont="1">
      <alignment vertical="center"/>
    </xf>
    <xf numFmtId="14" fontId="18" fillId="0" borderId="0" xfId="8" applyNumberFormat="1" applyFont="1">
      <alignment vertical="center"/>
    </xf>
    <xf numFmtId="0" fontId="0" fillId="8" borderId="56" xfId="0" applyFill="1" applyBorder="1" applyAlignment="1">
      <alignment horizontal="center" vertical="center" wrapText="1"/>
    </xf>
    <xf numFmtId="0" fontId="0" fillId="8" borderId="57" xfId="0" applyFill="1" applyBorder="1" applyAlignment="1">
      <alignment horizontal="center" vertical="center" wrapText="1"/>
    </xf>
    <xf numFmtId="0" fontId="28" fillId="0" borderId="0" xfId="0" applyFont="1">
      <alignment vertical="center"/>
    </xf>
    <xf numFmtId="41" fontId="23" fillId="12" borderId="3" xfId="4" applyFont="1" applyFill="1" applyBorder="1" applyProtection="1">
      <alignment vertical="center"/>
    </xf>
    <xf numFmtId="9" fontId="18" fillId="9" borderId="0" xfId="8" applyNumberFormat="1" applyFont="1" applyFill="1" applyAlignment="1" applyProtection="1">
      <alignment horizontal="center" vertical="center"/>
      <protection locked="0"/>
    </xf>
    <xf numFmtId="0" fontId="22" fillId="0" borderId="45" xfId="0" applyFont="1" applyBorder="1" applyAlignment="1" applyProtection="1">
      <alignment horizontal="center" vertical="center"/>
      <protection locked="0"/>
    </xf>
    <xf numFmtId="0" fontId="22" fillId="0" borderId="46" xfId="0" applyFont="1" applyBorder="1" applyAlignment="1" applyProtection="1">
      <alignment horizontal="center" vertical="center"/>
      <protection locked="0"/>
    </xf>
    <xf numFmtId="0" fontId="22" fillId="0" borderId="47" xfId="0" applyFont="1" applyBorder="1" applyAlignment="1" applyProtection="1">
      <alignment horizontal="center" vertical="center"/>
      <protection locked="0"/>
    </xf>
    <xf numFmtId="0" fontId="22" fillId="0" borderId="21" xfId="0" applyNumberFormat="1" applyFont="1" applyBorder="1" applyAlignment="1">
      <alignment horizontal="center" vertical="center"/>
    </xf>
    <xf numFmtId="0" fontId="22" fillId="0" borderId="47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2" fillId="0" borderId="42" xfId="0" applyFont="1" applyBorder="1" applyAlignment="1" applyProtection="1">
      <alignment horizontal="center" vertical="center"/>
      <protection locked="0"/>
    </xf>
    <xf numFmtId="0" fontId="22" fillId="0" borderId="43" xfId="0" applyFont="1" applyBorder="1" applyAlignment="1" applyProtection="1">
      <alignment horizontal="center" vertical="center"/>
      <protection locked="0"/>
    </xf>
    <xf numFmtId="0" fontId="22" fillId="0" borderId="44" xfId="0" applyFont="1" applyBorder="1" applyAlignment="1" applyProtection="1">
      <alignment horizontal="center" vertical="center"/>
      <protection locked="0"/>
    </xf>
    <xf numFmtId="0" fontId="23" fillId="4" borderId="34" xfId="0" applyFont="1" applyFill="1" applyBorder="1" applyAlignment="1">
      <alignment horizontal="center" vertical="center" wrapText="1"/>
    </xf>
    <xf numFmtId="0" fontId="23" fillId="4" borderId="5" xfId="0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5" borderId="39" xfId="0" applyFont="1" applyFill="1" applyBorder="1" applyAlignment="1">
      <alignment horizontal="center" vertical="center" wrapText="1"/>
    </xf>
    <xf numFmtId="0" fontId="23" fillId="5" borderId="5" xfId="0" applyFont="1" applyFill="1" applyBorder="1" applyAlignment="1">
      <alignment horizontal="center" vertical="center"/>
    </xf>
    <xf numFmtId="0" fontId="23" fillId="5" borderId="6" xfId="0" applyFont="1" applyFill="1" applyBorder="1" applyAlignment="1">
      <alignment horizontal="center" vertical="center"/>
    </xf>
    <xf numFmtId="0" fontId="23" fillId="4" borderId="34" xfId="0" applyFont="1" applyFill="1" applyBorder="1" applyAlignment="1">
      <alignment horizontal="center" vertical="center"/>
    </xf>
    <xf numFmtId="0" fontId="23" fillId="4" borderId="20" xfId="0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5" borderId="19" xfId="0" applyFont="1" applyFill="1" applyBorder="1" applyAlignment="1">
      <alignment horizontal="center" vertical="center"/>
    </xf>
    <xf numFmtId="0" fontId="23" fillId="4" borderId="40" xfId="0" applyFont="1" applyFill="1" applyBorder="1" applyAlignment="1">
      <alignment horizontal="center" vertical="center"/>
    </xf>
    <xf numFmtId="0" fontId="23" fillId="4" borderId="41" xfId="0" applyFont="1" applyFill="1" applyBorder="1" applyAlignment="1">
      <alignment horizontal="center" vertical="center"/>
    </xf>
    <xf numFmtId="0" fontId="22" fillId="0" borderId="37" xfId="8" applyFont="1" applyBorder="1" applyAlignment="1">
      <alignment horizontal="distributed" vertical="center" wrapText="1"/>
    </xf>
    <xf numFmtId="0" fontId="22" fillId="0" borderId="37" xfId="0" applyFont="1" applyBorder="1">
      <alignment vertical="center"/>
    </xf>
    <xf numFmtId="0" fontId="22" fillId="0" borderId="38" xfId="0" applyFont="1" applyBorder="1">
      <alignment vertical="center"/>
    </xf>
    <xf numFmtId="179" fontId="24" fillId="9" borderId="29" xfId="1" applyFont="1" applyFill="1" applyBorder="1" applyProtection="1">
      <alignment horizontal="right" vertical="center" shrinkToFit="1"/>
    </xf>
    <xf numFmtId="179" fontId="24" fillId="9" borderId="37" xfId="1" applyFont="1" applyFill="1" applyBorder="1" applyProtection="1">
      <alignment horizontal="right" vertical="center" shrinkToFit="1"/>
    </xf>
    <xf numFmtId="0" fontId="18" fillId="0" borderId="48" xfId="6" applyFont="1" applyBorder="1" applyAlignment="1">
      <alignment horizontal="left" vertical="center" wrapText="1"/>
    </xf>
    <xf numFmtId="0" fontId="18" fillId="0" borderId="36" xfId="6" applyFont="1" applyBorder="1" applyAlignment="1">
      <alignment horizontal="left" vertical="center" wrapText="1"/>
    </xf>
    <xf numFmtId="0" fontId="18" fillId="0" borderId="89" xfId="6" applyFont="1" applyBorder="1" applyAlignment="1">
      <alignment horizontal="left" vertical="center" wrapText="1"/>
    </xf>
    <xf numFmtId="0" fontId="18" fillId="0" borderId="0" xfId="6" applyFont="1" applyAlignment="1">
      <alignment horizontal="left" vertical="center" wrapText="1"/>
    </xf>
    <xf numFmtId="0" fontId="18" fillId="0" borderId="49" xfId="6" applyFont="1" applyBorder="1" applyAlignment="1" applyProtection="1">
      <alignment horizontal="center" vertical="center"/>
      <protection locked="0"/>
    </xf>
    <xf numFmtId="0" fontId="18" fillId="0" borderId="26" xfId="6" applyFont="1" applyBorder="1" applyAlignment="1" applyProtection="1">
      <alignment horizontal="center" vertical="center"/>
      <protection locked="0"/>
    </xf>
    <xf numFmtId="180" fontId="18" fillId="0" borderId="89" xfId="6" applyNumberFormat="1" applyFont="1" applyBorder="1" applyAlignment="1">
      <alignment horizontal="center" vertical="center"/>
    </xf>
    <xf numFmtId="180" fontId="18" fillId="0" borderId="0" xfId="6" applyNumberFormat="1" applyFont="1" applyAlignment="1">
      <alignment horizontal="center" vertical="center"/>
    </xf>
    <xf numFmtId="0" fontId="22" fillId="0" borderId="48" xfId="5" applyFont="1" applyBorder="1" applyAlignment="1">
      <alignment horizontal="left" vertical="center"/>
    </xf>
    <xf numFmtId="0" fontId="22" fillId="0" borderId="36" xfId="5" applyFont="1" applyBorder="1" applyAlignment="1">
      <alignment horizontal="left" vertical="center"/>
    </xf>
    <xf numFmtId="0" fontId="22" fillId="0" borderId="50" xfId="5" applyFont="1" applyBorder="1" applyAlignment="1">
      <alignment horizontal="left" vertical="center"/>
    </xf>
    <xf numFmtId="0" fontId="22" fillId="0" borderId="49" xfId="5" applyFont="1" applyBorder="1" applyAlignment="1">
      <alignment horizontal="left" vertical="center"/>
    </xf>
    <xf numFmtId="0" fontId="22" fillId="0" borderId="26" xfId="5" applyFont="1" applyBorder="1" applyAlignment="1">
      <alignment horizontal="left" vertical="center"/>
    </xf>
    <xf numFmtId="0" fontId="22" fillId="0" borderId="52" xfId="5" applyFont="1" applyBorder="1" applyAlignment="1">
      <alignment horizontal="left" vertical="center"/>
    </xf>
    <xf numFmtId="0" fontId="22" fillId="0" borderId="48" xfId="5" applyFont="1" applyFill="1" applyBorder="1" applyAlignment="1">
      <alignment horizontal="left" vertical="center"/>
    </xf>
    <xf numFmtId="0" fontId="22" fillId="0" borderId="36" xfId="5" applyFont="1" applyFill="1" applyBorder="1" applyAlignment="1">
      <alignment horizontal="left" vertical="center"/>
    </xf>
    <xf numFmtId="0" fontId="22" fillId="0" borderId="50" xfId="5" applyFont="1" applyFill="1" applyBorder="1" applyAlignment="1">
      <alignment horizontal="left" vertical="center"/>
    </xf>
    <xf numFmtId="0" fontId="22" fillId="0" borderId="49" xfId="5" applyFont="1" applyFill="1" applyBorder="1" applyAlignment="1">
      <alignment horizontal="left" vertical="center"/>
    </xf>
    <xf numFmtId="0" fontId="22" fillId="0" borderId="26" xfId="5" applyFont="1" applyFill="1" applyBorder="1" applyAlignment="1">
      <alignment horizontal="left" vertical="center"/>
    </xf>
    <xf numFmtId="0" fontId="22" fillId="0" borderId="52" xfId="5" applyFont="1" applyFill="1" applyBorder="1" applyAlignment="1">
      <alignment horizontal="left" vertical="center"/>
    </xf>
    <xf numFmtId="0" fontId="22" fillId="0" borderId="37" xfId="8" applyFont="1" applyBorder="1" applyAlignment="1">
      <alignment horizontal="distributed" vertical="center"/>
    </xf>
    <xf numFmtId="0" fontId="22" fillId="0" borderId="38" xfId="8" applyFont="1" applyBorder="1" applyAlignment="1">
      <alignment horizontal="distributed" vertical="center"/>
    </xf>
    <xf numFmtId="0" fontId="22" fillId="0" borderId="59" xfId="5" applyFont="1" applyBorder="1" applyAlignment="1">
      <alignment horizontal="center" vertical="center"/>
    </xf>
    <xf numFmtId="0" fontId="22" fillId="0" borderId="62" xfId="5" applyFont="1" applyBorder="1" applyAlignment="1">
      <alignment horizontal="center" vertical="center"/>
    </xf>
    <xf numFmtId="0" fontId="22" fillId="0" borderId="37" xfId="5" applyFont="1" applyFill="1" applyBorder="1" applyAlignment="1">
      <alignment horizontal="distributed" vertical="center"/>
    </xf>
    <xf numFmtId="0" fontId="22" fillId="0" borderId="38" xfId="5" applyFont="1" applyFill="1" applyBorder="1" applyAlignment="1">
      <alignment horizontal="distributed" vertical="center"/>
    </xf>
    <xf numFmtId="0" fontId="22" fillId="0" borderId="37" xfId="5" applyFont="1" applyBorder="1" applyAlignment="1">
      <alignment horizontal="distributed" vertical="center"/>
    </xf>
    <xf numFmtId="0" fontId="22" fillId="0" borderId="38" xfId="5" applyFont="1" applyBorder="1" applyAlignment="1">
      <alignment horizontal="distributed" vertical="center"/>
    </xf>
    <xf numFmtId="0" fontId="22" fillId="0" borderId="36" xfId="5" applyFont="1" applyBorder="1" applyAlignment="1">
      <alignment horizontal="center" vertical="center" wrapText="1"/>
    </xf>
    <xf numFmtId="0" fontId="22" fillId="0" borderId="50" xfId="5" applyFont="1" applyBorder="1" applyAlignment="1">
      <alignment horizontal="center" vertical="center" wrapText="1"/>
    </xf>
    <xf numFmtId="0" fontId="22" fillId="0" borderId="0" xfId="5" applyFont="1" applyBorder="1" applyAlignment="1">
      <alignment horizontal="center" vertical="center" wrapText="1"/>
    </xf>
    <xf numFmtId="0" fontId="22" fillId="0" borderId="51" xfId="5" applyFont="1" applyBorder="1" applyAlignment="1">
      <alignment horizontal="center" vertical="center" wrapText="1"/>
    </xf>
    <xf numFmtId="0" fontId="22" fillId="0" borderId="26" xfId="5" applyFont="1" applyBorder="1" applyAlignment="1">
      <alignment horizontal="center" vertical="center" wrapText="1"/>
    </xf>
    <xf numFmtId="0" fontId="22" fillId="0" borderId="52" xfId="5" applyFont="1" applyBorder="1" applyAlignment="1">
      <alignment horizontal="center" vertical="center" wrapText="1"/>
    </xf>
    <xf numFmtId="0" fontId="22" fillId="0" borderId="37" xfId="5" applyFont="1" applyBorder="1" applyAlignment="1">
      <alignment horizontal="distributed" vertical="center" wrapText="1"/>
    </xf>
    <xf numFmtId="0" fontId="22" fillId="0" borderId="38" xfId="5" applyFont="1" applyBorder="1" applyAlignment="1">
      <alignment horizontal="distributed" vertical="center" wrapText="1"/>
    </xf>
    <xf numFmtId="179" fontId="24" fillId="0" borderId="29" xfId="1" applyFont="1" applyFill="1" applyBorder="1" applyProtection="1">
      <alignment horizontal="right" vertical="center" shrinkToFit="1"/>
      <protection locked="0"/>
    </xf>
    <xf numFmtId="179" fontId="24" fillId="0" borderId="37" xfId="1" applyFont="1" applyFill="1" applyBorder="1" applyProtection="1">
      <alignment horizontal="right" vertical="center" shrinkToFit="1"/>
      <protection locked="0"/>
    </xf>
    <xf numFmtId="179" fontId="24" fillId="0" borderId="38" xfId="1" applyFont="1" applyFill="1" applyBorder="1" applyProtection="1">
      <alignment horizontal="right" vertical="center" shrinkToFit="1"/>
      <protection locked="0"/>
    </xf>
    <xf numFmtId="179" fontId="24" fillId="9" borderId="2" xfId="1" applyFont="1" applyFill="1" applyBorder="1" applyProtection="1">
      <alignment horizontal="right" vertical="center" shrinkToFit="1"/>
    </xf>
    <xf numFmtId="179" fontId="24" fillId="0" borderId="2" xfId="1" applyFont="1" applyFill="1" applyBorder="1" applyProtection="1">
      <alignment horizontal="right" vertical="center" shrinkToFit="1"/>
      <protection locked="0"/>
    </xf>
    <xf numFmtId="0" fontId="22" fillId="0" borderId="75" xfId="5" applyFont="1" applyBorder="1" applyAlignment="1">
      <alignment horizontal="center" vertical="center"/>
    </xf>
    <xf numFmtId="0" fontId="22" fillId="0" borderId="29" xfId="5" applyFont="1" applyFill="1" applyBorder="1" applyAlignment="1">
      <alignment horizontal="left" vertical="center"/>
    </xf>
    <xf numFmtId="0" fontId="22" fillId="0" borderId="37" xfId="5" applyFont="1" applyFill="1" applyBorder="1" applyAlignment="1">
      <alignment horizontal="left" vertical="center"/>
    </xf>
    <xf numFmtId="0" fontId="22" fillId="0" borderId="38" xfId="5" applyFont="1" applyFill="1" applyBorder="1" applyAlignment="1">
      <alignment horizontal="left" vertical="center"/>
    </xf>
    <xf numFmtId="14" fontId="22" fillId="0" borderId="29" xfId="5" applyNumberFormat="1" applyFont="1" applyFill="1" applyBorder="1" applyAlignment="1">
      <alignment horizontal="center" vertical="center"/>
    </xf>
    <xf numFmtId="14" fontId="22" fillId="0" borderId="37" xfId="5" applyNumberFormat="1" applyFont="1" applyFill="1" applyBorder="1" applyAlignment="1">
      <alignment horizontal="center" vertical="center"/>
    </xf>
    <xf numFmtId="0" fontId="22" fillId="0" borderId="29" xfId="5" applyFont="1" applyFill="1" applyBorder="1" applyAlignment="1">
      <alignment horizontal="center" vertical="center"/>
    </xf>
    <xf numFmtId="0" fontId="22" fillId="0" borderId="37" xfId="5" applyFont="1" applyFill="1" applyBorder="1" applyAlignment="1">
      <alignment horizontal="center" vertical="center"/>
    </xf>
    <xf numFmtId="0" fontId="22" fillId="0" borderId="29" xfId="5" applyFont="1" applyBorder="1" applyAlignment="1">
      <alignment horizontal="left" vertical="center"/>
    </xf>
    <xf numFmtId="0" fontId="22" fillId="0" borderId="37" xfId="5" applyFont="1" applyBorder="1" applyAlignment="1">
      <alignment horizontal="left" vertical="center"/>
    </xf>
    <xf numFmtId="0" fontId="22" fillId="0" borderId="38" xfId="5" applyFont="1" applyBorder="1" applyAlignment="1">
      <alignment horizontal="left" vertical="center"/>
    </xf>
    <xf numFmtId="0" fontId="22" fillId="0" borderId="36" xfId="5" applyFont="1" applyBorder="1" applyAlignment="1">
      <alignment horizontal="center" vertical="center" shrinkToFit="1"/>
    </xf>
    <xf numFmtId="0" fontId="22" fillId="0" borderId="50" xfId="5" applyFont="1" applyBorder="1" applyAlignment="1">
      <alignment horizontal="center" vertical="center" shrinkToFit="1"/>
    </xf>
    <xf numFmtId="0" fontId="22" fillId="0" borderId="0" xfId="5" applyFont="1" applyBorder="1" applyAlignment="1">
      <alignment horizontal="center" vertical="center" shrinkToFit="1"/>
    </xf>
    <xf numFmtId="0" fontId="22" fillId="0" borderId="51" xfId="5" applyFont="1" applyBorder="1" applyAlignment="1">
      <alignment horizontal="center" vertical="center" shrinkToFit="1"/>
    </xf>
    <xf numFmtId="0" fontId="22" fillId="0" borderId="26" xfId="5" applyFont="1" applyBorder="1" applyAlignment="1">
      <alignment horizontal="center" vertical="center" shrinkToFit="1"/>
    </xf>
    <xf numFmtId="0" fontId="22" fillId="0" borderId="52" xfId="5" applyFont="1" applyBorder="1" applyAlignment="1">
      <alignment horizontal="center" vertical="center" shrinkToFit="1"/>
    </xf>
    <xf numFmtId="179" fontId="24" fillId="0" borderId="2" xfId="1" applyFont="1" applyFill="1" applyBorder="1" applyProtection="1">
      <alignment horizontal="right" vertical="center" shrinkToFit="1"/>
    </xf>
    <xf numFmtId="179" fontId="24" fillId="0" borderId="29" xfId="1" applyFont="1" applyFill="1" applyBorder="1" applyProtection="1">
      <alignment horizontal="right" vertical="center" shrinkToFit="1"/>
    </xf>
    <xf numFmtId="14" fontId="22" fillId="0" borderId="48" xfId="5" applyNumberFormat="1" applyFont="1" applyFill="1" applyBorder="1" applyAlignment="1">
      <alignment horizontal="left" vertical="center"/>
    </xf>
    <xf numFmtId="14" fontId="22" fillId="0" borderId="36" xfId="5" applyNumberFormat="1" applyFont="1" applyFill="1" applyBorder="1" applyAlignment="1">
      <alignment horizontal="left" vertical="center"/>
    </xf>
    <xf numFmtId="0" fontId="22" fillId="0" borderId="49" xfId="5" applyFont="1" applyFill="1" applyBorder="1" applyAlignment="1">
      <alignment horizontal="left" vertical="center" wrapText="1"/>
    </xf>
    <xf numFmtId="0" fontId="22" fillId="0" borderId="26" xfId="5" applyFont="1" applyFill="1" applyBorder="1" applyAlignment="1">
      <alignment horizontal="left" vertical="center" wrapText="1"/>
    </xf>
    <xf numFmtId="0" fontId="22" fillId="0" borderId="36" xfId="5" applyFont="1" applyBorder="1" applyAlignment="1">
      <alignment horizontal="center" vertical="center" wrapText="1" shrinkToFit="1"/>
    </xf>
    <xf numFmtId="0" fontId="22" fillId="0" borderId="15" xfId="5" applyFont="1" applyBorder="1" applyAlignment="1">
      <alignment horizontal="center" vertical="center" shrinkToFit="1"/>
    </xf>
    <xf numFmtId="0" fontId="22" fillId="0" borderId="64" xfId="5" applyFont="1" applyBorder="1" applyAlignment="1">
      <alignment horizontal="center" vertical="center" shrinkToFit="1"/>
    </xf>
    <xf numFmtId="0" fontId="22" fillId="0" borderId="29" xfId="5" applyFont="1" applyBorder="1" applyAlignment="1" applyProtection="1">
      <alignment horizontal="left" vertical="center"/>
      <protection locked="0"/>
    </xf>
    <xf numFmtId="0" fontId="22" fillId="0" borderId="37" xfId="5" applyFont="1" applyBorder="1" applyAlignment="1" applyProtection="1">
      <alignment horizontal="left" vertical="center"/>
      <protection locked="0"/>
    </xf>
    <xf numFmtId="0" fontId="22" fillId="0" borderId="38" xfId="5" applyFont="1" applyBorder="1" applyAlignment="1" applyProtection="1">
      <alignment horizontal="left" vertical="center"/>
      <protection locked="0"/>
    </xf>
    <xf numFmtId="0" fontId="22" fillId="0" borderId="2" xfId="5" applyFont="1" applyAlignment="1" applyProtection="1">
      <alignment horizontal="left" vertical="center"/>
      <protection locked="0"/>
    </xf>
    <xf numFmtId="0" fontId="22" fillId="0" borderId="76" xfId="5" applyFont="1" applyBorder="1" applyAlignment="1" applyProtection="1">
      <alignment horizontal="left" vertical="center"/>
      <protection locked="0"/>
    </xf>
    <xf numFmtId="0" fontId="22" fillId="0" borderId="8" xfId="5" applyFont="1" applyBorder="1" applyAlignment="1" applyProtection="1">
      <alignment horizontal="left" vertical="center"/>
      <protection locked="0"/>
    </xf>
    <xf numFmtId="0" fontId="22" fillId="0" borderId="9" xfId="5" applyFont="1" applyBorder="1" applyAlignment="1" applyProtection="1">
      <alignment horizontal="left" vertical="center"/>
      <protection locked="0"/>
    </xf>
    <xf numFmtId="0" fontId="22" fillId="0" borderId="76" xfId="5" applyFont="1" applyBorder="1" applyAlignment="1" applyProtection="1">
      <alignment horizontal="center" vertical="center"/>
      <protection locked="0"/>
    </xf>
    <xf numFmtId="0" fontId="22" fillId="0" borderId="8" xfId="5" applyFont="1" applyBorder="1" applyAlignment="1" applyProtection="1">
      <alignment horizontal="center" vertical="center"/>
      <protection locked="0"/>
    </xf>
    <xf numFmtId="0" fontId="22" fillId="0" borderId="8" xfId="5" applyFont="1" applyFill="1" applyBorder="1" applyAlignment="1" applyProtection="1">
      <alignment horizontal="left" vertical="center"/>
      <protection locked="0"/>
    </xf>
    <xf numFmtId="0" fontId="22" fillId="0" borderId="29" xfId="5" applyFont="1" applyFill="1" applyBorder="1" applyAlignment="1" applyProtection="1">
      <alignment horizontal="left" vertical="center"/>
      <protection locked="0"/>
    </xf>
    <xf numFmtId="0" fontId="22" fillId="0" borderId="37" xfId="5" applyFont="1" applyFill="1" applyBorder="1" applyAlignment="1" applyProtection="1">
      <alignment horizontal="left" vertical="center"/>
      <protection locked="0"/>
    </xf>
    <xf numFmtId="0" fontId="22" fillId="0" borderId="38" xfId="5" applyFont="1" applyFill="1" applyBorder="1" applyAlignment="1" applyProtection="1">
      <alignment horizontal="left" vertical="center"/>
      <protection locked="0"/>
    </xf>
    <xf numFmtId="0" fontId="22" fillId="0" borderId="29" xfId="5" applyFont="1" applyFill="1" applyBorder="1" applyAlignment="1" applyProtection="1">
      <alignment horizontal="left" vertical="center" wrapText="1"/>
      <protection locked="0"/>
    </xf>
    <xf numFmtId="0" fontId="22" fillId="0" borderId="37" xfId="5" applyFont="1" applyFill="1" applyBorder="1" applyAlignment="1" applyProtection="1">
      <alignment horizontal="left" vertical="center" wrapText="1"/>
      <protection locked="0"/>
    </xf>
    <xf numFmtId="0" fontId="22" fillId="0" borderId="53" xfId="5" applyFont="1" applyBorder="1" applyAlignment="1">
      <alignment horizontal="center" vertical="center" textRotation="255"/>
    </xf>
    <xf numFmtId="0" fontId="22" fillId="0" borderId="55" xfId="5" applyFont="1" applyBorder="1" applyAlignment="1">
      <alignment horizontal="center" vertical="center" textRotation="255"/>
    </xf>
    <xf numFmtId="0" fontId="22" fillId="0" borderId="54" xfId="5" applyFont="1" applyBorder="1" applyAlignment="1">
      <alignment horizontal="center" vertical="center" textRotation="255"/>
    </xf>
    <xf numFmtId="0" fontId="20" fillId="0" borderId="0" xfId="8" applyFont="1" applyAlignment="1">
      <alignment horizontal="center" vertical="center"/>
    </xf>
    <xf numFmtId="0" fontId="22" fillId="9" borderId="62" xfId="5" applyFont="1" applyFill="1" applyBorder="1" applyAlignment="1">
      <alignment horizontal="left" vertical="center"/>
    </xf>
    <xf numFmtId="0" fontId="22" fillId="9" borderId="11" xfId="5" applyFont="1" applyFill="1" applyBorder="1" applyAlignment="1">
      <alignment horizontal="left" vertical="center"/>
    </xf>
    <xf numFmtId="0" fontId="22" fillId="9" borderId="75" xfId="5" applyFont="1" applyFill="1" applyBorder="1" applyAlignment="1">
      <alignment horizontal="left" vertical="center"/>
    </xf>
    <xf numFmtId="0" fontId="22" fillId="0" borderId="29" xfId="5" applyFont="1" applyFill="1" applyBorder="1" applyAlignment="1">
      <alignment vertical="center"/>
    </xf>
    <xf numFmtId="0" fontId="22" fillId="0" borderId="37" xfId="5" applyFont="1" applyFill="1" applyBorder="1" applyAlignment="1">
      <alignment vertical="center"/>
    </xf>
    <xf numFmtId="0" fontId="22" fillId="0" borderId="38" xfId="5" applyFont="1" applyFill="1" applyBorder="1" applyAlignment="1">
      <alignment vertical="center"/>
    </xf>
    <xf numFmtId="0" fontId="22" fillId="0" borderId="15" xfId="8" applyFont="1" applyBorder="1" applyAlignment="1">
      <alignment horizontal="center" vertical="center"/>
    </xf>
    <xf numFmtId="0" fontId="22" fillId="0" borderId="2" xfId="5" applyFont="1" applyFill="1">
      <alignment vertical="center"/>
    </xf>
    <xf numFmtId="0" fontId="22" fillId="0" borderId="29" xfId="5" applyFont="1" applyFill="1" applyBorder="1" applyAlignment="1" applyProtection="1">
      <alignment horizontal="center" vertical="center"/>
      <protection locked="0"/>
    </xf>
    <xf numFmtId="0" fontId="22" fillId="0" borderId="37" xfId="5" applyFont="1" applyFill="1" applyBorder="1" applyAlignment="1" applyProtection="1">
      <alignment horizontal="center" vertical="center"/>
      <protection locked="0"/>
    </xf>
    <xf numFmtId="0" fontId="21" fillId="0" borderId="0" xfId="8" applyFont="1" applyAlignment="1">
      <alignment horizontal="center" vertical="center"/>
    </xf>
    <xf numFmtId="0" fontId="21" fillId="0" borderId="21" xfId="8" applyFont="1" applyBorder="1" applyAlignment="1">
      <alignment horizontal="center" vertical="center"/>
    </xf>
    <xf numFmtId="0" fontId="21" fillId="0" borderId="7" xfId="8" applyFont="1" applyBorder="1" applyAlignment="1">
      <alignment horizontal="center" vertical="center"/>
    </xf>
    <xf numFmtId="0" fontId="17" fillId="0" borderId="21" xfId="8" applyFont="1" applyBorder="1" applyAlignment="1">
      <alignment horizontal="center" vertical="center"/>
    </xf>
    <xf numFmtId="0" fontId="21" fillId="0" borderId="46" xfId="8" applyFont="1" applyBorder="1" applyAlignment="1">
      <alignment horizontal="center" vertical="center"/>
    </xf>
    <xf numFmtId="0" fontId="22" fillId="0" borderId="31" xfId="5" applyFont="1" applyBorder="1" applyAlignment="1">
      <alignment horizontal="center" vertical="center"/>
    </xf>
    <xf numFmtId="0" fontId="22" fillId="0" borderId="77" xfId="5" applyFont="1" applyBorder="1" applyAlignment="1">
      <alignment horizontal="center" vertical="center"/>
    </xf>
    <xf numFmtId="0" fontId="22" fillId="0" borderId="0" xfId="5" applyFont="1" applyBorder="1" applyAlignment="1">
      <alignment horizontal="center" vertical="center"/>
    </xf>
    <xf numFmtId="0" fontId="22" fillId="0" borderId="51" xfId="5" applyFont="1" applyBorder="1" applyAlignment="1">
      <alignment horizontal="center" vertical="center"/>
    </xf>
    <xf numFmtId="0" fontId="22" fillId="0" borderId="26" xfId="5" applyFont="1" applyBorder="1" applyAlignment="1">
      <alignment horizontal="center" vertical="center"/>
    </xf>
    <xf numFmtId="0" fontId="22" fillId="0" borderId="52" xfId="5" applyFont="1" applyBorder="1" applyAlignment="1">
      <alignment horizontal="center" vertical="center"/>
    </xf>
    <xf numFmtId="0" fontId="22" fillId="0" borderId="11" xfId="5" applyFont="1" applyFill="1" applyBorder="1" applyAlignment="1">
      <alignment horizontal="left" vertical="center"/>
    </xf>
    <xf numFmtId="0" fontId="22" fillId="9" borderId="29" xfId="5" applyFont="1" applyFill="1" applyBorder="1" applyAlignment="1">
      <alignment horizontal="left" vertical="center"/>
    </xf>
    <xf numFmtId="0" fontId="22" fillId="9" borderId="37" xfId="5" applyFont="1" applyFill="1" applyBorder="1" applyAlignment="1">
      <alignment horizontal="left" vertical="center"/>
    </xf>
    <xf numFmtId="0" fontId="22" fillId="9" borderId="38" xfId="5" applyFont="1" applyFill="1" applyBorder="1" applyAlignment="1">
      <alignment horizontal="left" vertical="center"/>
    </xf>
    <xf numFmtId="0" fontId="18" fillId="0" borderId="15" xfId="8" applyFont="1" applyBorder="1" applyAlignment="1">
      <alignment horizontal="center" vertical="center"/>
    </xf>
    <xf numFmtId="0" fontId="26" fillId="0" borderId="15" xfId="8" applyFont="1" applyBorder="1" applyAlignment="1">
      <alignment horizontal="center" vertical="center"/>
    </xf>
    <xf numFmtId="0" fontId="21" fillId="0" borderId="15" xfId="8" applyFont="1" applyBorder="1" applyAlignment="1">
      <alignment horizontal="center" vertical="center"/>
    </xf>
    <xf numFmtId="0" fontId="21" fillId="0" borderId="81" xfId="8" applyFont="1" applyBorder="1" applyAlignment="1">
      <alignment horizontal="center" vertical="center"/>
    </xf>
    <xf numFmtId="0" fontId="22" fillId="0" borderId="2" xfId="5" applyFont="1" applyAlignment="1">
      <alignment horizontal="center" vertical="center" wrapText="1"/>
    </xf>
    <xf numFmtId="0" fontId="22" fillId="0" borderId="2" xfId="5" applyFont="1" applyAlignment="1">
      <alignment horizontal="center" vertical="center"/>
    </xf>
    <xf numFmtId="178" fontId="22" fillId="0" borderId="2" xfId="5" applyNumberFormat="1" applyFont="1" applyAlignment="1">
      <alignment horizontal="center" vertical="center"/>
    </xf>
    <xf numFmtId="179" fontId="24" fillId="0" borderId="29" xfId="1" applyFont="1" applyFill="1" applyBorder="1" applyAlignment="1" applyProtection="1">
      <alignment horizontal="center" vertical="center" shrinkToFit="1"/>
      <protection locked="0"/>
    </xf>
    <xf numFmtId="179" fontId="24" fillId="0" borderId="37" xfId="1" applyFont="1" applyFill="1" applyBorder="1" applyAlignment="1" applyProtection="1">
      <alignment horizontal="center" vertical="center" shrinkToFit="1"/>
      <protection locked="0"/>
    </xf>
    <xf numFmtId="179" fontId="45" fillId="9" borderId="2" xfId="1" applyFont="1" applyFill="1" applyBorder="1" applyProtection="1">
      <alignment horizontal="right" vertical="center" shrinkToFit="1"/>
    </xf>
    <xf numFmtId="179" fontId="45" fillId="9" borderId="29" xfId="1" applyFont="1" applyFill="1" applyBorder="1" applyProtection="1">
      <alignment horizontal="right" vertical="center" shrinkToFit="1"/>
    </xf>
    <xf numFmtId="179" fontId="24" fillId="0" borderId="48" xfId="1" applyFont="1" applyFill="1" applyBorder="1" applyAlignment="1" applyProtection="1">
      <alignment horizontal="center" vertical="center" shrinkToFit="1"/>
      <protection locked="0"/>
    </xf>
    <xf numFmtId="179" fontId="24" fillId="0" borderId="36" xfId="1" applyFont="1" applyFill="1" applyBorder="1" applyAlignment="1" applyProtection="1">
      <alignment horizontal="center" vertical="center" shrinkToFit="1"/>
      <protection locked="0"/>
    </xf>
    <xf numFmtId="179" fontId="24" fillId="0" borderId="50" xfId="1" applyFont="1" applyFill="1" applyBorder="1" applyAlignment="1" applyProtection="1">
      <alignment horizontal="center" vertical="center" shrinkToFit="1"/>
      <protection locked="0"/>
    </xf>
    <xf numFmtId="0" fontId="22" fillId="0" borderId="0" xfId="8" applyFont="1" applyAlignment="1">
      <alignment horizontal="center" vertical="center"/>
    </xf>
    <xf numFmtId="41" fontId="24" fillId="0" borderId="2" xfId="4" applyFont="1" applyFill="1" applyBorder="1" applyAlignment="1" applyProtection="1">
      <alignment horizontal="center" vertical="center" shrinkToFit="1"/>
    </xf>
    <xf numFmtId="9" fontId="24" fillId="9" borderId="29" xfId="2" applyFont="1" applyFill="1" applyBorder="1" applyAlignment="1" applyProtection="1">
      <alignment horizontal="center" vertical="center" shrinkToFit="1"/>
    </xf>
    <xf numFmtId="9" fontId="24" fillId="9" borderId="37" xfId="2" applyFont="1" applyFill="1" applyBorder="1" applyAlignment="1" applyProtection="1">
      <alignment horizontal="center" vertical="center" shrinkToFit="1"/>
    </xf>
    <xf numFmtId="9" fontId="24" fillId="9" borderId="38" xfId="2" applyFont="1" applyFill="1" applyBorder="1" applyAlignment="1" applyProtection="1">
      <alignment horizontal="center" vertical="center" shrinkToFit="1"/>
    </xf>
    <xf numFmtId="179" fontId="24" fillId="0" borderId="29" xfId="1" applyFont="1" applyFill="1" applyBorder="1" applyAlignment="1" applyProtection="1">
      <alignment horizontal="center" vertical="center" shrinkToFit="1"/>
    </xf>
    <xf numFmtId="179" fontId="24" fillId="0" borderId="37" xfId="1" applyFont="1" applyFill="1" applyBorder="1" applyAlignment="1" applyProtection="1">
      <alignment horizontal="center" vertical="center" shrinkToFit="1"/>
    </xf>
    <xf numFmtId="0" fontId="22" fillId="0" borderId="36" xfId="5" applyFont="1" applyFill="1" applyBorder="1" applyAlignment="1">
      <alignment horizontal="distributed" vertical="center" wrapText="1"/>
    </xf>
    <xf numFmtId="0" fontId="22" fillId="0" borderId="36" xfId="5" applyFont="1" applyFill="1" applyBorder="1" applyAlignment="1">
      <alignment horizontal="distributed" vertical="center"/>
    </xf>
    <xf numFmtId="0" fontId="22" fillId="0" borderId="2" xfId="5" quotePrefix="1" applyFont="1" applyFill="1" applyAlignment="1">
      <alignment horizontal="center" vertical="center"/>
    </xf>
    <xf numFmtId="0" fontId="22" fillId="0" borderId="38" xfId="5" applyFont="1" applyFill="1" applyBorder="1" applyAlignment="1">
      <alignment horizontal="center" vertical="center"/>
    </xf>
    <xf numFmtId="0" fontId="22" fillId="0" borderId="2" xfId="5" applyFont="1" applyFill="1" applyAlignment="1">
      <alignment horizontal="center" vertical="center"/>
    </xf>
    <xf numFmtId="0" fontId="22" fillId="0" borderId="36" xfId="5" applyFont="1" applyBorder="1" applyAlignment="1">
      <alignment horizontal="distributed" vertical="center" wrapText="1"/>
    </xf>
    <xf numFmtId="0" fontId="22" fillId="0" borderId="36" xfId="0" applyFont="1" applyBorder="1">
      <alignment vertical="center"/>
    </xf>
    <xf numFmtId="0" fontId="22" fillId="0" borderId="50" xfId="0" applyFont="1" applyBorder="1">
      <alignment vertical="center"/>
    </xf>
    <xf numFmtId="0" fontId="26" fillId="6" borderId="46" xfId="5" applyFont="1" applyFill="1" applyBorder="1" applyAlignment="1">
      <alignment horizontal="center" vertical="center" wrapText="1" readingOrder="1"/>
    </xf>
    <xf numFmtId="0" fontId="21" fillId="0" borderId="31" xfId="8" applyFont="1" applyBorder="1" applyAlignment="1">
      <alignment horizontal="left" vertical="center" wrapText="1"/>
    </xf>
    <xf numFmtId="0" fontId="21" fillId="0" borderId="80" xfId="8" applyFont="1" applyBorder="1" applyAlignment="1">
      <alignment horizontal="left" vertical="center" wrapText="1"/>
    </xf>
    <xf numFmtId="0" fontId="22" fillId="0" borderId="11" xfId="5" applyFont="1" applyBorder="1" applyAlignment="1">
      <alignment horizontal="center" vertical="center" wrapText="1"/>
    </xf>
    <xf numFmtId="0" fontId="22" fillId="0" borderId="11" xfId="5" applyFont="1" applyBorder="1" applyAlignment="1">
      <alignment horizontal="center" vertical="center"/>
    </xf>
    <xf numFmtId="0" fontId="22" fillId="0" borderId="37" xfId="8" applyFont="1" applyBorder="1" applyAlignment="1">
      <alignment horizontal="center" vertical="center" wrapText="1"/>
    </xf>
    <xf numFmtId="0" fontId="22" fillId="0" borderId="38" xfId="8" applyFont="1" applyBorder="1" applyAlignment="1">
      <alignment horizontal="center" vertical="center" wrapText="1"/>
    </xf>
    <xf numFmtId="0" fontId="18" fillId="0" borderId="8" xfId="5" applyFont="1" applyBorder="1" applyAlignment="1">
      <alignment horizontal="left" vertical="center"/>
    </xf>
    <xf numFmtId="0" fontId="18" fillId="0" borderId="76" xfId="5" applyFont="1" applyBorder="1" applyAlignment="1">
      <alignment horizontal="center" vertical="center"/>
    </xf>
    <xf numFmtId="0" fontId="18" fillId="0" borderId="8" xfId="5" applyFont="1" applyBorder="1" applyAlignment="1">
      <alignment horizontal="center" vertical="center"/>
    </xf>
    <xf numFmtId="0" fontId="22" fillId="0" borderId="78" xfId="5" applyFont="1" applyBorder="1" applyAlignment="1">
      <alignment horizontal="center" vertical="center" wrapText="1"/>
    </xf>
    <xf numFmtId="0" fontId="22" fillId="0" borderId="49" xfId="5" applyFont="1" applyBorder="1" applyAlignment="1">
      <alignment horizontal="center" vertical="center"/>
    </xf>
    <xf numFmtId="0" fontId="22" fillId="0" borderId="11" xfId="5" applyFont="1" applyBorder="1" applyAlignment="1">
      <alignment horizontal="left" vertical="center" wrapText="1"/>
    </xf>
    <xf numFmtId="0" fontId="22" fillId="0" borderId="11" xfId="5" applyFont="1" applyBorder="1" applyAlignment="1">
      <alignment horizontal="left" vertical="center"/>
    </xf>
    <xf numFmtId="0" fontId="22" fillId="0" borderId="75" xfId="5" applyFont="1" applyBorder="1" applyAlignment="1">
      <alignment horizontal="left" vertical="center"/>
    </xf>
    <xf numFmtId="0" fontId="22" fillId="0" borderId="37" xfId="8" applyFont="1" applyBorder="1" applyAlignment="1">
      <alignment horizontal="left" vertical="center" wrapText="1"/>
    </xf>
    <xf numFmtId="0" fontId="22" fillId="0" borderId="37" xfId="8" applyFont="1" applyBorder="1" applyAlignment="1">
      <alignment horizontal="left" vertical="center"/>
    </xf>
    <xf numFmtId="0" fontId="22" fillId="0" borderId="38" xfId="8" applyFont="1" applyBorder="1" applyAlignment="1">
      <alignment horizontal="left" vertical="center"/>
    </xf>
    <xf numFmtId="0" fontId="22" fillId="0" borderId="15" xfId="5" applyFont="1" applyBorder="1" applyAlignment="1">
      <alignment horizontal="distributed" vertical="center"/>
    </xf>
    <xf numFmtId="0" fontId="22" fillId="0" borderId="64" xfId="5" applyFont="1" applyBorder="1" applyAlignment="1">
      <alignment horizontal="distributed" vertical="center"/>
    </xf>
    <xf numFmtId="179" fontId="24" fillId="0" borderId="65" xfId="1" applyFont="1" applyFill="1" applyBorder="1" applyProtection="1">
      <alignment horizontal="right" vertical="center" shrinkToFit="1"/>
      <protection locked="0"/>
    </xf>
    <xf numFmtId="0" fontId="21" fillId="0" borderId="48" xfId="5" applyFont="1" applyBorder="1" applyAlignment="1" applyProtection="1">
      <alignment vertical="center" wrapText="1"/>
      <protection locked="0"/>
    </xf>
    <xf numFmtId="0" fontId="21" fillId="0" borderId="36" xfId="5" applyFont="1" applyBorder="1" applyAlignment="1" applyProtection="1">
      <alignment vertical="center"/>
      <protection locked="0"/>
    </xf>
    <xf numFmtId="0" fontId="21" fillId="0" borderId="49" xfId="5" applyFont="1" applyBorder="1" applyAlignment="1" applyProtection="1">
      <alignment vertical="center"/>
      <protection locked="0"/>
    </xf>
    <xf numFmtId="0" fontId="21" fillId="0" borderId="26" xfId="5" applyFont="1" applyBorder="1" applyAlignment="1" applyProtection="1">
      <alignment vertical="center"/>
      <protection locked="0"/>
    </xf>
    <xf numFmtId="0" fontId="18" fillId="0" borderId="21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8" fillId="0" borderId="11" xfId="0" quotePrefix="1" applyFont="1" applyBorder="1" applyAlignment="1">
      <alignment horizontal="center" vertical="center"/>
    </xf>
    <xf numFmtId="0" fontId="18" fillId="0" borderId="37" xfId="0" quotePrefix="1" applyFont="1" applyBorder="1" applyAlignment="1">
      <alignment horizontal="center" vertical="center"/>
    </xf>
    <xf numFmtId="0" fontId="22" fillId="0" borderId="52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0" fontId="18" fillId="0" borderId="49" xfId="0" quotePrefix="1" applyFont="1" applyBorder="1" applyAlignment="1">
      <alignment horizontal="center" vertical="center"/>
    </xf>
    <xf numFmtId="0" fontId="18" fillId="0" borderId="29" xfId="0" quotePrefix="1" applyFont="1" applyBorder="1" applyAlignment="1">
      <alignment horizontal="center" vertical="center"/>
    </xf>
    <xf numFmtId="0" fontId="22" fillId="0" borderId="75" xfId="0" applyFont="1" applyBorder="1" applyAlignment="1">
      <alignment horizontal="center" vertical="center" wrapText="1"/>
    </xf>
    <xf numFmtId="0" fontId="18" fillId="0" borderId="62" xfId="0" quotePrefix="1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22" fillId="0" borderId="38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/>
    </xf>
    <xf numFmtId="0" fontId="18" fillId="0" borderId="49" xfId="0" applyFont="1" applyBorder="1" applyAlignment="1">
      <alignment horizontal="center" vertical="center"/>
    </xf>
    <xf numFmtId="0" fontId="18" fillId="0" borderId="5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75" xfId="0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18" fillId="0" borderId="78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8" fillId="0" borderId="77" xfId="0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 wrapText="1"/>
    </xf>
    <xf numFmtId="0" fontId="22" fillId="10" borderId="29" xfId="0" applyFont="1" applyFill="1" applyBorder="1" applyAlignment="1" applyProtection="1">
      <alignment horizontal="center" vertical="center"/>
      <protection locked="0"/>
    </xf>
    <xf numFmtId="0" fontId="22" fillId="10" borderId="38" xfId="0" applyFont="1" applyFill="1" applyBorder="1" applyAlignment="1" applyProtection="1">
      <alignment horizontal="center" vertical="center"/>
      <protection locked="0"/>
    </xf>
    <xf numFmtId="41" fontId="22" fillId="0" borderId="29" xfId="4" applyFont="1" applyBorder="1" applyAlignment="1">
      <alignment horizontal="right" vertical="center"/>
    </xf>
    <xf numFmtId="41" fontId="22" fillId="0" borderId="38" xfId="4" applyFont="1" applyBorder="1" applyAlignment="1">
      <alignment horizontal="right" vertical="center"/>
    </xf>
    <xf numFmtId="41" fontId="22" fillId="10" borderId="29" xfId="4" applyFont="1" applyFill="1" applyBorder="1" applyAlignment="1" applyProtection="1">
      <alignment horizontal="center" vertical="center"/>
      <protection locked="0"/>
    </xf>
    <xf numFmtId="41" fontId="22" fillId="10" borderId="38" xfId="4" applyFont="1" applyFill="1" applyBorder="1" applyAlignment="1" applyProtection="1">
      <alignment horizontal="center" vertical="center"/>
      <protection locked="0"/>
    </xf>
    <xf numFmtId="41" fontId="22" fillId="0" borderId="29" xfId="4" applyFont="1" applyBorder="1" applyAlignment="1">
      <alignment horizontal="center" vertical="center"/>
    </xf>
    <xf numFmtId="41" fontId="22" fillId="0" borderId="38" xfId="4" applyFont="1" applyBorder="1" applyAlignment="1">
      <alignment horizontal="center" vertical="center"/>
    </xf>
    <xf numFmtId="0" fontId="22" fillId="0" borderId="36" xfId="0" applyFont="1" applyBorder="1" applyAlignment="1">
      <alignment horizontal="center" vertical="center"/>
    </xf>
    <xf numFmtId="0" fontId="22" fillId="0" borderId="50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22" fillId="0" borderId="48" xfId="0" applyFont="1" applyBorder="1" applyAlignment="1">
      <alignment horizontal="center" vertical="center"/>
    </xf>
    <xf numFmtId="41" fontId="18" fillId="0" borderId="29" xfId="4" applyFont="1" applyBorder="1" applyAlignment="1">
      <alignment horizontal="center" vertical="center"/>
    </xf>
    <xf numFmtId="41" fontId="18" fillId="0" borderId="37" xfId="4" applyFont="1" applyBorder="1" applyAlignment="1">
      <alignment horizontal="center" vertical="center"/>
    </xf>
    <xf numFmtId="41" fontId="18" fillId="0" borderId="38" xfId="4" applyFont="1" applyBorder="1" applyAlignment="1">
      <alignment horizontal="center" vertical="center"/>
    </xf>
    <xf numFmtId="0" fontId="22" fillId="0" borderId="9" xfId="0" applyFont="1" applyBorder="1" applyAlignment="1">
      <alignment horizontal="left" vertical="center"/>
    </xf>
    <xf numFmtId="0" fontId="22" fillId="0" borderId="16" xfId="0" applyFont="1" applyBorder="1" applyAlignment="1">
      <alignment horizontal="left" vertical="center"/>
    </xf>
    <xf numFmtId="0" fontId="22" fillId="0" borderId="76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75" xfId="0" applyFont="1" applyBorder="1" applyAlignment="1">
      <alignment horizontal="left" vertical="center"/>
    </xf>
    <xf numFmtId="0" fontId="22" fillId="0" borderId="59" xfId="0" applyFont="1" applyBorder="1" applyAlignment="1">
      <alignment horizontal="left" vertical="center"/>
    </xf>
    <xf numFmtId="0" fontId="22" fillId="0" borderId="38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18" fillId="0" borderId="16" xfId="0" applyFont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41" fontId="22" fillId="0" borderId="48" xfId="4" applyFont="1" applyBorder="1" applyAlignment="1">
      <alignment horizontal="right" vertical="center"/>
    </xf>
    <xf numFmtId="41" fontId="22" fillId="0" borderId="50" xfId="4" applyFont="1" applyBorder="1" applyAlignment="1">
      <alignment horizontal="right" vertical="center"/>
    </xf>
    <xf numFmtId="41" fontId="22" fillId="0" borderId="48" xfId="4" applyFont="1" applyBorder="1" applyAlignment="1">
      <alignment horizontal="center" vertical="center"/>
    </xf>
    <xf numFmtId="41" fontId="22" fillId="0" borderId="50" xfId="4" applyFont="1" applyBorder="1" applyAlignment="1">
      <alignment horizontal="center" vertical="center"/>
    </xf>
    <xf numFmtId="0" fontId="21" fillId="10" borderId="29" xfId="0" applyFont="1" applyFill="1" applyBorder="1" applyAlignment="1" applyProtection="1">
      <alignment horizontal="center" vertical="center"/>
      <protection locked="0"/>
    </xf>
    <xf numFmtId="0" fontId="21" fillId="10" borderId="38" xfId="0" applyFont="1" applyFill="1" applyBorder="1" applyAlignment="1" applyProtection="1">
      <alignment horizontal="center" vertical="center"/>
      <protection locked="0"/>
    </xf>
    <xf numFmtId="0" fontId="27" fillId="0" borderId="46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/>
    </xf>
    <xf numFmtId="0" fontId="27" fillId="0" borderId="68" xfId="0" applyFont="1" applyBorder="1" applyAlignment="1">
      <alignment horizontal="left" vertical="center" wrapText="1"/>
    </xf>
    <xf numFmtId="0" fontId="27" fillId="0" borderId="46" xfId="0" applyFont="1" applyBorder="1" applyAlignment="1">
      <alignment horizontal="left" vertical="center"/>
    </xf>
    <xf numFmtId="0" fontId="27" fillId="0" borderId="82" xfId="0" applyFont="1" applyBorder="1" applyAlignment="1">
      <alignment horizontal="left" vertical="center"/>
    </xf>
    <xf numFmtId="0" fontId="27" fillId="0" borderId="68" xfId="0" applyFont="1" applyBorder="1" applyAlignment="1">
      <alignment horizontal="center" vertical="center" wrapText="1"/>
    </xf>
    <xf numFmtId="0" fontId="27" fillId="0" borderId="46" xfId="0" applyFont="1" applyBorder="1" applyAlignment="1">
      <alignment horizontal="center" vertical="center" wrapText="1"/>
    </xf>
    <xf numFmtId="0" fontId="18" fillId="0" borderId="59" xfId="0" applyFont="1" applyBorder="1" applyAlignment="1">
      <alignment horizontal="center" vertical="center"/>
    </xf>
    <xf numFmtId="0" fontId="18" fillId="0" borderId="6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41" fontId="18" fillId="0" borderId="76" xfId="4" applyFont="1" applyBorder="1" applyAlignment="1">
      <alignment horizontal="center" vertical="center"/>
    </xf>
    <xf numFmtId="41" fontId="18" fillId="0" borderId="8" xfId="4" applyFont="1" applyBorder="1" applyAlignment="1">
      <alignment horizontal="center" vertical="center"/>
    </xf>
    <xf numFmtId="41" fontId="18" fillId="0" borderId="9" xfId="4" applyFont="1" applyBorder="1" applyAlignment="1">
      <alignment horizontal="center" vertical="center"/>
    </xf>
    <xf numFmtId="0" fontId="18" fillId="0" borderId="75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41" fontId="18" fillId="0" borderId="62" xfId="4" applyFont="1" applyBorder="1" applyAlignment="1">
      <alignment horizontal="center" vertical="center"/>
    </xf>
    <xf numFmtId="41" fontId="18" fillId="0" borderId="11" xfId="4" applyFont="1" applyBorder="1" applyAlignment="1">
      <alignment horizontal="center" vertical="center"/>
    </xf>
    <xf numFmtId="41" fontId="18" fillId="0" borderId="75" xfId="4" applyFont="1" applyBorder="1" applyAlignment="1">
      <alignment horizontal="center" vertical="center"/>
    </xf>
    <xf numFmtId="0" fontId="40" fillId="0" borderId="0" xfId="0" applyFont="1" applyAlignment="1">
      <alignment horizontal="left" vertical="center" wrapText="1" indent="3"/>
    </xf>
    <xf numFmtId="0" fontId="39" fillId="0" borderId="85" xfId="0" applyFont="1" applyBorder="1" applyAlignment="1">
      <alignment horizontal="center" vertical="center" wrapText="1"/>
    </xf>
    <xf numFmtId="0" fontId="39" fillId="0" borderId="86" xfId="0" applyFont="1" applyBorder="1" applyAlignment="1">
      <alignment horizontal="center" vertical="center" wrapText="1"/>
    </xf>
    <xf numFmtId="0" fontId="38" fillId="11" borderId="83" xfId="0" applyFont="1" applyFill="1" applyBorder="1" applyAlignment="1">
      <alignment horizontal="center" vertical="center" wrapText="1"/>
    </xf>
    <xf numFmtId="0" fontId="40" fillId="0" borderId="84" xfId="0" applyFont="1" applyBorder="1" applyAlignment="1">
      <alignment horizontal="left" vertical="center" wrapText="1" indent="1"/>
    </xf>
    <xf numFmtId="0" fontId="40" fillId="0" borderId="0" xfId="0" applyFont="1" applyAlignment="1">
      <alignment horizontal="left" vertical="center" wrapText="1" indent="1"/>
    </xf>
    <xf numFmtId="0" fontId="39" fillId="0" borderId="3" xfId="0" applyFont="1" applyBorder="1" applyAlignment="1">
      <alignment horizontal="center" vertical="center" wrapText="1"/>
    </xf>
    <xf numFmtId="0" fontId="21" fillId="0" borderId="61" xfId="5" applyNumberFormat="1" applyFont="1" applyFill="1" applyBorder="1" applyAlignment="1">
      <alignment horizontal="center" vertical="center"/>
    </xf>
    <xf numFmtId="0" fontId="21" fillId="0" borderId="8" xfId="5" applyNumberFormat="1" applyFont="1" applyFill="1" applyBorder="1" applyAlignment="1">
      <alignment horizontal="center" vertical="center"/>
    </xf>
    <xf numFmtId="0" fontId="21" fillId="0" borderId="61" xfId="5" applyFont="1" applyBorder="1" applyAlignment="1">
      <alignment horizontal="center" vertical="center"/>
    </xf>
    <xf numFmtId="0" fontId="21" fillId="0" borderId="8" xfId="5" applyFont="1" applyBorder="1" applyAlignment="1">
      <alignment horizontal="center" vertical="center"/>
    </xf>
    <xf numFmtId="0" fontId="21" fillId="0" borderId="9" xfId="5" applyFont="1" applyBorder="1" applyAlignment="1">
      <alignment horizontal="center" vertical="center"/>
    </xf>
    <xf numFmtId="0" fontId="21" fillId="0" borderId="11" xfId="5" applyFont="1" applyBorder="1" applyAlignment="1">
      <alignment horizontal="center" vertical="center"/>
    </xf>
    <xf numFmtId="0" fontId="21" fillId="0" borderId="62" xfId="5" applyFont="1" applyFill="1" applyBorder="1" applyAlignment="1">
      <alignment horizontal="center" vertical="center"/>
    </xf>
    <xf numFmtId="0" fontId="21" fillId="0" borderId="11" xfId="5" applyFont="1" applyFill="1" applyBorder="1" applyAlignment="1">
      <alignment horizontal="center" vertical="center"/>
    </xf>
    <xf numFmtId="0" fontId="21" fillId="0" borderId="2" xfId="5" applyFont="1" applyAlignment="1">
      <alignment horizontal="center" vertical="center"/>
    </xf>
    <xf numFmtId="0" fontId="21" fillId="0" borderId="10" xfId="5" applyFont="1" applyBorder="1" applyAlignment="1">
      <alignment horizontal="center" vertical="center"/>
    </xf>
    <xf numFmtId="0" fontId="21" fillId="0" borderId="58" xfId="5" applyFont="1" applyBorder="1" applyAlignment="1">
      <alignment horizontal="center" vertical="center"/>
    </xf>
    <xf numFmtId="0" fontId="21" fillId="0" borderId="59" xfId="5" applyFont="1" applyBorder="1" applyAlignment="1">
      <alignment horizontal="center" vertical="center"/>
    </xf>
    <xf numFmtId="0" fontId="21" fillId="0" borderId="28" xfId="5" applyFont="1" applyFill="1" applyBorder="1" applyAlignment="1">
      <alignment horizontal="center" vertical="center"/>
    </xf>
    <xf numFmtId="0" fontId="21" fillId="0" borderId="37" xfId="5" applyFont="1" applyFill="1" applyBorder="1" applyAlignment="1">
      <alignment horizontal="center" vertical="center"/>
    </xf>
    <xf numFmtId="0" fontId="21" fillId="0" borderId="38" xfId="5" applyFont="1" applyFill="1" applyBorder="1" applyAlignment="1">
      <alignment horizontal="center" vertical="center"/>
    </xf>
    <xf numFmtId="0" fontId="21" fillId="0" borderId="56" xfId="5" applyFont="1" applyBorder="1" applyAlignment="1">
      <alignment horizontal="center" vertical="center"/>
    </xf>
    <xf numFmtId="0" fontId="21" fillId="0" borderId="70" xfId="5" applyFont="1" applyBorder="1" applyAlignment="1">
      <alignment horizontal="center" vertical="center"/>
    </xf>
    <xf numFmtId="49" fontId="21" fillId="0" borderId="56" xfId="5" applyNumberFormat="1" applyFont="1" applyFill="1" applyBorder="1" applyAlignment="1">
      <alignment horizontal="center" vertical="center"/>
    </xf>
    <xf numFmtId="49" fontId="21" fillId="0" borderId="2" xfId="5" quotePrefix="1" applyNumberFormat="1" applyFont="1" applyFill="1" applyAlignment="1">
      <alignment horizontal="center" vertical="center"/>
    </xf>
    <xf numFmtId="49" fontId="21" fillId="0" borderId="53" xfId="5" applyNumberFormat="1" applyFont="1" applyFill="1" applyBorder="1" applyAlignment="1">
      <alignment horizontal="center" vertical="center"/>
    </xf>
    <xf numFmtId="0" fontId="21" fillId="0" borderId="60" xfId="5" applyFont="1" applyBorder="1" applyAlignment="1">
      <alignment horizontal="center" vertical="center"/>
    </xf>
    <xf numFmtId="49" fontId="21" fillId="0" borderId="53" xfId="5" applyNumberFormat="1" applyFont="1" applyBorder="1" applyAlignment="1">
      <alignment horizontal="center" vertical="center"/>
    </xf>
    <xf numFmtId="49" fontId="21" fillId="0" borderId="69" xfId="5" applyNumberFormat="1" applyFont="1" applyBorder="1" applyAlignment="1">
      <alignment horizontal="center" vertical="center"/>
    </xf>
    <xf numFmtId="0" fontId="21" fillId="0" borderId="56" xfId="5" applyFont="1" applyFill="1" applyBorder="1" applyAlignment="1">
      <alignment horizontal="center" vertical="center"/>
    </xf>
    <xf numFmtId="0" fontId="21" fillId="0" borderId="2" xfId="5" applyFont="1" applyFill="1" applyAlignment="1">
      <alignment horizontal="center" vertical="center"/>
    </xf>
    <xf numFmtId="183" fontId="21" fillId="0" borderId="57" xfId="5" applyNumberFormat="1" applyFont="1" applyFill="1" applyBorder="1" applyAlignment="1">
      <alignment horizontal="center" vertical="center"/>
    </xf>
    <xf numFmtId="183" fontId="21" fillId="0" borderId="16" xfId="5" applyNumberFormat="1" applyFont="1" applyFill="1" applyBorder="1" applyAlignment="1">
      <alignment horizontal="center" vertical="center"/>
    </xf>
    <xf numFmtId="183" fontId="21" fillId="0" borderId="53" xfId="5" applyNumberFormat="1" applyFont="1" applyFill="1" applyBorder="1" applyAlignment="1">
      <alignment horizontal="center" vertical="center"/>
    </xf>
    <xf numFmtId="0" fontId="21" fillId="0" borderId="29" xfId="5" applyFont="1" applyBorder="1" applyAlignment="1">
      <alignment horizontal="center" vertical="center"/>
    </xf>
    <xf numFmtId="0" fontId="21" fillId="0" borderId="2" xfId="5" applyNumberFormat="1" applyFont="1" applyFill="1" applyAlignment="1">
      <alignment horizontal="center" vertical="center"/>
    </xf>
    <xf numFmtId="0" fontId="21" fillId="0" borderId="29" xfId="5" applyNumberFormat="1" applyFont="1" applyFill="1" applyBorder="1" applyAlignment="1">
      <alignment horizontal="center" vertical="center"/>
    </xf>
    <xf numFmtId="0" fontId="21" fillId="0" borderId="57" xfId="5" applyFont="1" applyBorder="1" applyAlignment="1">
      <alignment horizontal="center" vertical="center"/>
    </xf>
    <xf numFmtId="0" fontId="21" fillId="0" borderId="16" xfId="5" applyFont="1" applyBorder="1" applyAlignment="1">
      <alignment horizontal="center" vertical="center"/>
    </xf>
    <xf numFmtId="0" fontId="21" fillId="0" borderId="49" xfId="5" applyFont="1" applyFill="1" applyBorder="1" applyAlignment="1">
      <alignment horizontal="center" vertical="center"/>
    </xf>
    <xf numFmtId="0" fontId="21" fillId="0" borderId="26" xfId="5" applyFont="1" applyFill="1" applyBorder="1" applyAlignment="1">
      <alignment horizontal="center" vertical="center"/>
    </xf>
    <xf numFmtId="0" fontId="21" fillId="0" borderId="27" xfId="5" applyFont="1" applyFill="1" applyBorder="1" applyAlignment="1">
      <alignment horizontal="center" vertical="center"/>
    </xf>
    <xf numFmtId="0" fontId="31" fillId="0" borderId="0" xfId="6" applyFont="1" applyAlignment="1">
      <alignment horizontal="center" vertical="center"/>
    </xf>
    <xf numFmtId="0" fontId="21" fillId="0" borderId="35" xfId="5" applyFont="1" applyBorder="1" applyAlignment="1">
      <alignment horizontal="center" vertical="center"/>
    </xf>
    <xf numFmtId="0" fontId="21" fillId="0" borderId="36" xfId="5" applyFont="1" applyBorder="1" applyAlignment="1">
      <alignment horizontal="center" vertical="center"/>
    </xf>
    <xf numFmtId="0" fontId="21" fillId="0" borderId="50" xfId="5" applyFont="1" applyBorder="1" applyAlignment="1">
      <alignment horizontal="center" vertical="center"/>
    </xf>
    <xf numFmtId="0" fontId="21" fillId="0" borderId="25" xfId="5" applyFont="1" applyBorder="1" applyAlignment="1">
      <alignment horizontal="center" vertical="center"/>
    </xf>
    <xf numFmtId="0" fontId="21" fillId="0" borderId="26" xfId="5" applyFont="1" applyBorder="1" applyAlignment="1">
      <alignment horizontal="center" vertical="center"/>
    </xf>
    <xf numFmtId="0" fontId="21" fillId="0" borderId="52" xfId="5" applyFont="1" applyBorder="1" applyAlignment="1">
      <alignment horizontal="center" vertical="center"/>
    </xf>
    <xf numFmtId="0" fontId="21" fillId="0" borderId="0" xfId="6" applyFont="1" applyAlignment="1">
      <alignment horizontal="center" vertical="center"/>
    </xf>
    <xf numFmtId="0" fontId="27" fillId="0" borderId="23" xfId="6" applyFont="1" applyBorder="1" applyAlignment="1">
      <alignment horizontal="left" vertical="center" wrapText="1"/>
    </xf>
    <xf numFmtId="0" fontId="27" fillId="0" borderId="31" xfId="6" applyFont="1" applyBorder="1" applyAlignment="1">
      <alignment horizontal="left" vertical="center"/>
    </xf>
    <xf numFmtId="0" fontId="27" fillId="0" borderId="32" xfId="6" applyFont="1" applyBorder="1" applyAlignment="1">
      <alignment horizontal="left" vertical="center"/>
    </xf>
    <xf numFmtId="0" fontId="27" fillId="0" borderId="13" xfId="6" applyFont="1" applyBorder="1" applyAlignment="1">
      <alignment horizontal="left" vertical="center"/>
    </xf>
    <xf numFmtId="0" fontId="27" fillId="0" borderId="0" xfId="6" applyFont="1" applyAlignment="1">
      <alignment horizontal="left" vertical="center"/>
    </xf>
    <xf numFmtId="0" fontId="27" fillId="0" borderId="1" xfId="6" applyFont="1" applyBorder="1" applyAlignment="1">
      <alignment horizontal="left" vertical="center"/>
    </xf>
    <xf numFmtId="180" fontId="21" fillId="0" borderId="15" xfId="6" applyNumberFormat="1" applyFont="1" applyBorder="1" applyAlignment="1">
      <alignment horizontal="center" vertical="center"/>
    </xf>
    <xf numFmtId="180" fontId="21" fillId="0" borderId="33" xfId="6" applyNumberFormat="1" applyFont="1" applyBorder="1" applyAlignment="1">
      <alignment horizontal="center" vertical="center"/>
    </xf>
    <xf numFmtId="0" fontId="21" fillId="0" borderId="15" xfId="6" applyFont="1" applyBorder="1" applyAlignment="1">
      <alignment horizontal="center" vertical="center"/>
    </xf>
    <xf numFmtId="0" fontId="21" fillId="0" borderId="13" xfId="6" applyFont="1" applyBorder="1" applyAlignment="1">
      <alignment horizontal="center" vertical="center"/>
    </xf>
    <xf numFmtId="0" fontId="21" fillId="0" borderId="10" xfId="5" applyNumberFormat="1" applyFont="1" applyFill="1" applyBorder="1" applyAlignment="1">
      <alignment horizontal="center" vertical="center"/>
    </xf>
    <xf numFmtId="0" fontId="21" fillId="0" borderId="38" xfId="5" applyFont="1" applyBorder="1" applyAlignment="1">
      <alignment horizontal="center" vertical="center"/>
    </xf>
    <xf numFmtId="0" fontId="21" fillId="0" borderId="0" xfId="6" applyFont="1" applyAlignment="1">
      <alignment horizontal="center" vertical="center" wrapText="1"/>
    </xf>
    <xf numFmtId="0" fontId="21" fillId="0" borderId="68" xfId="5" applyFont="1" applyFill="1" applyBorder="1" applyAlignment="1">
      <alignment horizontal="center" vertical="center"/>
    </xf>
    <xf numFmtId="0" fontId="21" fillId="0" borderId="46" xfId="5" applyFont="1" applyFill="1" applyBorder="1" applyAlignment="1">
      <alignment horizontal="center" vertical="center"/>
    </xf>
    <xf numFmtId="0" fontId="21" fillId="0" borderId="7" xfId="5" applyFont="1" applyFill="1" applyBorder="1" applyAlignment="1">
      <alignment horizontal="center" vertical="center"/>
    </xf>
    <xf numFmtId="0" fontId="21" fillId="0" borderId="63" xfId="5" applyFont="1" applyFill="1" applyBorder="1" applyAlignment="1">
      <alignment horizontal="center" vertical="center" shrinkToFit="1"/>
    </xf>
    <xf numFmtId="0" fontId="21" fillId="0" borderId="15" xfId="5" applyFont="1" applyFill="1" applyBorder="1" applyAlignment="1">
      <alignment horizontal="center" vertical="center" shrinkToFit="1"/>
    </xf>
    <xf numFmtId="0" fontId="21" fillId="0" borderId="64" xfId="5" applyFont="1" applyFill="1" applyBorder="1" applyAlignment="1">
      <alignment horizontal="center" vertical="center" shrinkToFit="1"/>
    </xf>
    <xf numFmtId="0" fontId="21" fillId="0" borderId="65" xfId="5" applyFont="1" applyBorder="1" applyAlignment="1">
      <alignment horizontal="center" vertical="center"/>
    </xf>
    <xf numFmtId="0" fontId="21" fillId="0" borderId="65" xfId="5" applyFont="1" applyFill="1" applyBorder="1" applyAlignment="1">
      <alignment horizontal="left" vertical="center" indent="1"/>
    </xf>
    <xf numFmtId="0" fontId="21" fillId="0" borderId="16" xfId="5" applyFont="1" applyFill="1" applyBorder="1" applyAlignment="1">
      <alignment horizontal="center" vertical="center"/>
    </xf>
    <xf numFmtId="0" fontId="21" fillId="0" borderId="18" xfId="5" applyFont="1" applyFill="1" applyBorder="1" applyAlignment="1">
      <alignment horizontal="center" vertical="center"/>
    </xf>
    <xf numFmtId="0" fontId="21" fillId="0" borderId="66" xfId="5" applyFont="1" applyBorder="1" applyAlignment="1">
      <alignment horizontal="center" vertical="center"/>
    </xf>
    <xf numFmtId="0" fontId="21" fillId="0" borderId="67" xfId="5" applyFont="1" applyBorder="1" applyAlignment="1">
      <alignment horizontal="center" vertical="center"/>
    </xf>
    <xf numFmtId="0" fontId="21" fillId="0" borderId="53" xfId="5" applyNumberFormat="1" applyFont="1" applyFill="1" applyBorder="1" applyAlignment="1">
      <alignment horizontal="center" vertical="center"/>
    </xf>
    <xf numFmtId="0" fontId="21" fillId="0" borderId="53" xfId="5" applyNumberFormat="1" applyFont="1" applyBorder="1" applyAlignment="1">
      <alignment horizontal="center" vertical="center"/>
    </xf>
    <xf numFmtId="0" fontId="21" fillId="0" borderId="69" xfId="5" applyNumberFormat="1" applyFont="1" applyBorder="1" applyAlignment="1">
      <alignment horizontal="center" vertical="center"/>
    </xf>
    <xf numFmtId="49" fontId="21" fillId="0" borderId="61" xfId="5" applyNumberFormat="1" applyFont="1" applyFill="1" applyBorder="1" applyAlignment="1">
      <alignment horizontal="center" vertical="center"/>
    </xf>
    <xf numFmtId="0" fontId="21" fillId="0" borderId="65" xfId="5" applyFont="1" applyFill="1" applyBorder="1" applyAlignment="1">
      <alignment vertical="center"/>
    </xf>
    <xf numFmtId="49" fontId="21" fillId="0" borderId="2" xfId="5" applyNumberFormat="1" applyFont="1" applyAlignment="1">
      <alignment horizontal="center" vertical="center"/>
    </xf>
    <xf numFmtId="0" fontId="21" fillId="0" borderId="2" xfId="5" applyNumberFormat="1" applyFont="1" applyAlignment="1">
      <alignment horizontal="center" vertical="center"/>
    </xf>
    <xf numFmtId="0" fontId="21" fillId="0" borderId="10" xfId="5" applyNumberFormat="1" applyFont="1" applyBorder="1" applyAlignment="1">
      <alignment horizontal="center" vertical="center"/>
    </xf>
    <xf numFmtId="0" fontId="21" fillId="0" borderId="2" xfId="5" quotePrefix="1" applyNumberFormat="1" applyFont="1" applyFill="1" applyAlignment="1">
      <alignment horizontal="center" vertical="center"/>
    </xf>
    <xf numFmtId="0" fontId="21" fillId="0" borderId="29" xfId="5" applyNumberFormat="1" applyFont="1" applyBorder="1" applyAlignment="1">
      <alignment horizontal="center" vertical="center"/>
    </xf>
    <xf numFmtId="0" fontId="21" fillId="0" borderId="2" xfId="5" applyFont="1" applyFill="1" applyAlignment="1">
      <alignment horizontal="left" vertical="center" indent="1"/>
    </xf>
    <xf numFmtId="0" fontId="21" fillId="0" borderId="54" xfId="5" applyFont="1" applyFill="1" applyBorder="1" applyAlignment="1">
      <alignment horizontal="left" vertical="center" indent="1"/>
    </xf>
    <xf numFmtId="0" fontId="21" fillId="0" borderId="49" xfId="5" applyFont="1" applyFill="1" applyBorder="1" applyAlignment="1">
      <alignment horizontal="left" vertical="center" indent="1"/>
    </xf>
    <xf numFmtId="0" fontId="27" fillId="0" borderId="15" xfId="6" applyFont="1" applyBorder="1" applyAlignment="1">
      <alignment horizontal="center" vertical="center"/>
    </xf>
    <xf numFmtId="180" fontId="27" fillId="0" borderId="15" xfId="6" applyNumberFormat="1" applyFont="1" applyBorder="1" applyAlignment="1">
      <alignment horizontal="center" vertical="center"/>
    </xf>
    <xf numFmtId="180" fontId="27" fillId="0" borderId="33" xfId="6" applyNumberFormat="1" applyFont="1" applyBorder="1" applyAlignment="1">
      <alignment horizontal="center" vertical="center"/>
    </xf>
    <xf numFmtId="0" fontId="21" fillId="0" borderId="53" xfId="5" applyFont="1" applyBorder="1" applyAlignment="1">
      <alignment horizontal="center" vertical="center"/>
    </xf>
    <xf numFmtId="0" fontId="21" fillId="0" borderId="69" xfId="5" applyFont="1" applyBorder="1" applyAlignment="1">
      <alignment horizontal="center" vertical="center"/>
    </xf>
    <xf numFmtId="0" fontId="21" fillId="0" borderId="8" xfId="5" applyFont="1" applyFill="1" applyBorder="1" applyAlignment="1">
      <alignment horizontal="center" vertical="center"/>
    </xf>
    <xf numFmtId="49" fontId="21" fillId="0" borderId="56" xfId="5" quotePrefix="1" applyNumberFormat="1" applyFont="1" applyFill="1" applyBorder="1" applyAlignment="1">
      <alignment horizontal="center" vertical="center"/>
    </xf>
    <xf numFmtId="0" fontId="21" fillId="0" borderId="2" xfId="5" quotePrefix="1" applyFont="1" applyFill="1" applyAlignment="1">
      <alignment horizontal="center" vertical="center"/>
    </xf>
    <xf numFmtId="0" fontId="21" fillId="0" borderId="53" xfId="5" applyFont="1" applyFill="1" applyBorder="1" applyAlignment="1">
      <alignment horizontal="center" vertical="center"/>
    </xf>
    <xf numFmtId="0" fontId="4" fillId="0" borderId="21" xfId="0" applyFont="1" applyBorder="1" applyAlignment="1">
      <alignment horizontal="distributed" vertical="center"/>
    </xf>
    <xf numFmtId="0" fontId="4" fillId="0" borderId="46" xfId="0" applyFont="1" applyBorder="1" applyAlignment="1">
      <alignment horizontal="distributed" vertical="center"/>
    </xf>
    <xf numFmtId="0" fontId="4" fillId="0" borderId="7" xfId="0" applyFont="1" applyBorder="1" applyAlignment="1">
      <alignment horizontal="distributed" vertical="center"/>
    </xf>
    <xf numFmtId="176" fontId="4" fillId="0" borderId="21" xfId="0" applyNumberFormat="1" applyFont="1" applyBorder="1" applyAlignment="1">
      <alignment horizontal="right" vertical="center"/>
    </xf>
    <xf numFmtId="176" fontId="4" fillId="0" borderId="47" xfId="0" applyNumberFormat="1" applyFont="1" applyBorder="1" applyAlignment="1">
      <alignment horizontal="right" vertical="center"/>
    </xf>
    <xf numFmtId="0" fontId="5" fillId="0" borderId="21" xfId="0" applyFont="1" applyBorder="1" applyAlignment="1" applyProtection="1">
      <alignment horizontal="center" vertical="center"/>
      <protection locked="0"/>
    </xf>
    <xf numFmtId="0" fontId="5" fillId="0" borderId="46" xfId="0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 applyProtection="1">
      <alignment horizontal="center" vertical="center"/>
      <protection locked="0"/>
    </xf>
    <xf numFmtId="177" fontId="4" fillId="0" borderId="21" xfId="0" applyNumberFormat="1" applyFont="1" applyBorder="1" applyAlignment="1">
      <alignment horizontal="right" vertical="center"/>
    </xf>
    <xf numFmtId="177" fontId="4" fillId="0" borderId="47" xfId="0" applyNumberFormat="1" applyFont="1" applyBorder="1" applyAlignment="1">
      <alignment horizontal="right" vertical="center"/>
    </xf>
    <xf numFmtId="0" fontId="9" fillId="0" borderId="0" xfId="0" applyFont="1" applyAlignment="1">
      <alignment horizontal="left" vertical="center" wrapText="1"/>
    </xf>
    <xf numFmtId="0" fontId="6" fillId="0" borderId="73" xfId="0" applyFont="1" applyBorder="1" applyAlignment="1">
      <alignment horizontal="center" vertical="center"/>
    </xf>
    <xf numFmtId="0" fontId="8" fillId="4" borderId="42" xfId="0" applyFont="1" applyFill="1" applyBorder="1" applyAlignment="1">
      <alignment horizontal="center" vertical="center"/>
    </xf>
    <xf numFmtId="0" fontId="8" fillId="4" borderId="43" xfId="0" applyFont="1" applyFill="1" applyBorder="1" applyAlignment="1">
      <alignment horizontal="center" vertical="center"/>
    </xf>
    <xf numFmtId="0" fontId="8" fillId="4" borderId="74" xfId="0" applyFont="1" applyFill="1" applyBorder="1" applyAlignment="1">
      <alignment horizontal="center" vertical="center"/>
    </xf>
    <xf numFmtId="176" fontId="8" fillId="4" borderId="20" xfId="0" applyNumberFormat="1" applyFont="1" applyFill="1" applyBorder="1" applyAlignment="1">
      <alignment horizontal="center" vertical="center"/>
    </xf>
    <xf numFmtId="176" fontId="8" fillId="4" borderId="44" xfId="0" applyNumberFormat="1" applyFont="1" applyFill="1" applyBorder="1" applyAlignment="1">
      <alignment horizontal="center" vertical="center"/>
    </xf>
    <xf numFmtId="9" fontId="4" fillId="0" borderId="21" xfId="0" applyNumberFormat="1" applyFont="1" applyBorder="1" applyAlignment="1">
      <alignment horizontal="right" vertical="center"/>
    </xf>
    <xf numFmtId="9" fontId="4" fillId="0" borderId="47" xfId="0" applyNumberFormat="1" applyFont="1" applyBorder="1" applyAlignment="1">
      <alignment horizontal="right" vertical="center"/>
    </xf>
    <xf numFmtId="0" fontId="4" fillId="3" borderId="21" xfId="0" applyFont="1" applyFill="1" applyBorder="1" applyAlignment="1">
      <alignment horizontal="distributed" vertical="center"/>
    </xf>
    <xf numFmtId="0" fontId="4" fillId="3" borderId="46" xfId="0" applyFont="1" applyFill="1" applyBorder="1" applyAlignment="1">
      <alignment horizontal="distributed" vertical="center"/>
    </xf>
    <xf numFmtId="0" fontId="4" fillId="3" borderId="7" xfId="0" applyFont="1" applyFill="1" applyBorder="1" applyAlignment="1">
      <alignment horizontal="distributed" vertical="center"/>
    </xf>
    <xf numFmtId="176" fontId="4" fillId="3" borderId="21" xfId="0" applyNumberFormat="1" applyFont="1" applyFill="1" applyBorder="1" applyAlignment="1">
      <alignment horizontal="right" vertical="center"/>
    </xf>
    <xf numFmtId="176" fontId="4" fillId="3" borderId="47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0" fontId="33" fillId="0" borderId="0" xfId="0" applyFont="1" applyAlignment="1">
      <alignment horizontal="left" vertical="center" wrapText="1"/>
    </xf>
    <xf numFmtId="0" fontId="4" fillId="0" borderId="22" xfId="0" applyFont="1" applyBorder="1" applyAlignment="1">
      <alignment horizontal="distributed" vertical="center"/>
    </xf>
    <xf numFmtId="0" fontId="4" fillId="0" borderId="41" xfId="0" applyFont="1" applyBorder="1" applyAlignment="1">
      <alignment horizontal="distributed" vertical="center"/>
    </xf>
    <xf numFmtId="0" fontId="4" fillId="0" borderId="71" xfId="0" applyFont="1" applyBorder="1" applyAlignment="1">
      <alignment horizontal="distributed" vertical="center"/>
    </xf>
    <xf numFmtId="176" fontId="4" fillId="0" borderId="22" xfId="4" applyNumberFormat="1" applyFont="1" applyBorder="1" applyAlignment="1">
      <alignment horizontal="right" vertical="center"/>
    </xf>
    <xf numFmtId="176" fontId="4" fillId="0" borderId="72" xfId="4" applyNumberFormat="1" applyFont="1" applyBorder="1" applyAlignment="1">
      <alignment horizontal="right" vertical="center"/>
    </xf>
    <xf numFmtId="0" fontId="13" fillId="0" borderId="0" xfId="0" applyFont="1" applyAlignment="1">
      <alignment horizontal="center" vertical="center"/>
    </xf>
  </cellXfs>
  <cellStyles count="9">
    <cellStyle name="금액" xfId="1" xr:uid="{00000000-0005-0000-0000-000000000000}"/>
    <cellStyle name="백분율" xfId="2" builtinId="5"/>
    <cellStyle name="숫자" xfId="3" xr:uid="{00000000-0005-0000-0000-000002000000}"/>
    <cellStyle name="쉼표 [0]" xfId="4" builtinId="6"/>
    <cellStyle name="테두리(실선)" xfId="5" xr:uid="{00000000-0005-0000-0000-000004000000}"/>
    <cellStyle name="표준" xfId="0" builtinId="0"/>
    <cellStyle name="표준_납부서서식" xfId="6" xr:uid="{00000000-0005-0000-0000-000006000000}"/>
    <cellStyle name="표준_전국세무서" xfId="7" xr:uid="{00000000-0005-0000-0000-000007000000}"/>
    <cellStyle name="표준_증여세 신고서(손원찬)" xfId="8" xr:uid="{00000000-0005-0000-0000-000009000000}"/>
  </cellStyles>
  <dxfs count="2">
    <dxf>
      <font>
        <color theme="0"/>
      </font>
    </dxf>
    <dxf>
      <font>
        <color theme="0"/>
      </font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138267</xdr:colOff>
      <xdr:row>30</xdr:row>
      <xdr:rowOff>313027</xdr:rowOff>
    </xdr:from>
    <xdr:to>
      <xdr:col>32</xdr:col>
      <xdr:colOff>572181</xdr:colOff>
      <xdr:row>33</xdr:row>
      <xdr:rowOff>71694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8874638" y="8178833"/>
          <a:ext cx="4059559" cy="7418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100000"/>
            </a:lnSpc>
          </a:pPr>
          <a:r>
            <a:rPr lang="ko-KR" altLang="en-US" sz="1100" b="1">
              <a:solidFill>
                <a:srgbClr val="FF0000"/>
              </a:solidFill>
            </a:rPr>
            <a:t>증여세 신고 기한</a:t>
          </a:r>
          <a:r>
            <a:rPr lang="en-US" altLang="ko-KR" sz="1100" b="1">
              <a:solidFill>
                <a:srgbClr val="FF0000"/>
              </a:solidFill>
            </a:rPr>
            <a:t>: </a:t>
          </a:r>
        </a:p>
        <a:p>
          <a:pPr algn="l">
            <a:lnSpc>
              <a:spcPct val="100000"/>
            </a:lnSpc>
          </a:pPr>
          <a:r>
            <a:rPr lang="ko-KR" altLang="en-US" sz="1100" b="0">
              <a:solidFill>
                <a:srgbClr val="FF0000"/>
              </a:solidFill>
            </a:rPr>
            <a:t>증여일</a:t>
          </a:r>
          <a:r>
            <a:rPr lang="ko-KR" altLang="en-US" sz="1100" b="0" baseline="0">
              <a:solidFill>
                <a:srgbClr val="FF0000"/>
              </a:solidFill>
            </a:rPr>
            <a:t> 말일로</a:t>
          </a:r>
          <a:r>
            <a:rPr lang="ko-KR" altLang="en-US" sz="1100" b="0">
              <a:solidFill>
                <a:srgbClr val="FF0000"/>
              </a:solidFill>
            </a:rPr>
            <a:t>부터 </a:t>
          </a:r>
          <a:r>
            <a:rPr lang="en-US" altLang="ko-KR" sz="1100" b="0">
              <a:solidFill>
                <a:srgbClr val="FF0000"/>
              </a:solidFill>
            </a:rPr>
            <a:t>3</a:t>
          </a:r>
          <a:r>
            <a:rPr lang="ko-KR" altLang="en-US" sz="1100" b="0">
              <a:solidFill>
                <a:srgbClr val="FF0000"/>
              </a:solidFill>
            </a:rPr>
            <a:t>개월이내 </a:t>
          </a:r>
        </a:p>
      </xdr:txBody>
    </xdr:sp>
    <xdr:clientData fPrintsWithSheet="0"/>
  </xdr:twoCellAnchor>
  <xdr:twoCellAnchor>
    <xdr:from>
      <xdr:col>28</xdr:col>
      <xdr:colOff>486832</xdr:colOff>
      <xdr:row>2</xdr:row>
      <xdr:rowOff>148168</xdr:rowOff>
    </xdr:from>
    <xdr:to>
      <xdr:col>33</xdr:col>
      <xdr:colOff>282221</xdr:colOff>
      <xdr:row>7</xdr:row>
      <xdr:rowOff>127001</xdr:rowOff>
    </xdr:to>
    <xdr:sp macro="" textlink="">
      <xdr:nvSpPr>
        <xdr:cNvPr id="6" name="모서리가 둥근 사각형 설명선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7732888" y="585612"/>
          <a:ext cx="2829277" cy="1079500"/>
        </a:xfrm>
        <a:prstGeom prst="wedgeRoundRectCallout">
          <a:avLst>
            <a:gd name="adj1" fmla="val -47396"/>
            <a:gd name="adj2" fmla="val 66146"/>
            <a:gd name="adj3" fmla="val 16667"/>
          </a:avLst>
        </a:prstGeom>
        <a:solidFill>
          <a:schemeClr val="bg1"/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chemeClr val="tx1"/>
              </a:solidFill>
            </a:rPr>
            <a:t>* </a:t>
          </a:r>
          <a:r>
            <a:rPr lang="ko-KR" altLang="en-US" sz="1400" b="1">
              <a:solidFill>
                <a:schemeClr val="tx1"/>
              </a:solidFill>
            </a:rPr>
            <a:t>첨부 서류 </a:t>
          </a:r>
          <a:endParaRPr lang="en-US" altLang="ko-KR" sz="1400" b="1">
            <a:solidFill>
              <a:schemeClr val="tx1"/>
            </a:solidFill>
          </a:endParaRPr>
        </a:p>
        <a:p>
          <a:pPr algn="l"/>
          <a:r>
            <a:rPr lang="en-US" altLang="ko-KR" sz="1100">
              <a:solidFill>
                <a:schemeClr val="tx1"/>
              </a:solidFill>
            </a:rPr>
            <a:t>1. </a:t>
          </a:r>
          <a:r>
            <a:rPr lang="ko-KR" altLang="en-US" sz="1100">
              <a:solidFill>
                <a:schemeClr val="tx1"/>
              </a:solidFill>
            </a:rPr>
            <a:t>가족관계증명서</a:t>
          </a:r>
          <a:endParaRPr lang="en-US" altLang="ko-KR" sz="1100">
            <a:solidFill>
              <a:schemeClr val="tx1"/>
            </a:solidFill>
          </a:endParaRPr>
        </a:p>
        <a:p>
          <a:pPr algn="l"/>
          <a:r>
            <a:rPr lang="en-US" altLang="ko-KR" sz="1100">
              <a:solidFill>
                <a:schemeClr val="tx1"/>
              </a:solidFill>
            </a:rPr>
            <a:t>2. </a:t>
          </a:r>
          <a:r>
            <a:rPr lang="ko-KR" altLang="en-US" sz="1100">
              <a:solidFill>
                <a:schemeClr val="tx1"/>
              </a:solidFill>
            </a:rPr>
            <a:t>증여 전 주주명부 </a:t>
          </a:r>
          <a:r>
            <a:rPr lang="en-US" altLang="ko-KR" sz="1100">
              <a:solidFill>
                <a:schemeClr val="tx1"/>
              </a:solidFill>
            </a:rPr>
            <a:t>/</a:t>
          </a:r>
          <a:r>
            <a:rPr lang="en-US" altLang="ko-KR" sz="1100" baseline="0">
              <a:solidFill>
                <a:schemeClr val="tx1"/>
              </a:solidFill>
            </a:rPr>
            <a:t> </a:t>
          </a:r>
          <a:r>
            <a:rPr lang="ko-KR" altLang="en-US" sz="1100" baseline="0">
              <a:solidFill>
                <a:schemeClr val="tx1"/>
              </a:solidFill>
            </a:rPr>
            <a:t>증여 후 주주명부 </a:t>
          </a:r>
          <a:endParaRPr lang="ko-KR" altLang="en-US" sz="1100">
            <a:solidFill>
              <a:schemeClr val="tx1"/>
            </a:solidFill>
          </a:endParaRP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38</xdr:col>
      <xdr:colOff>136525</xdr:colOff>
      <xdr:row>14</xdr:row>
      <xdr:rowOff>172720</xdr:rowOff>
    </xdr:from>
    <xdr:to>
      <xdr:col>41</xdr:col>
      <xdr:colOff>130175</xdr:colOff>
      <xdr:row>16</xdr:row>
      <xdr:rowOff>96520</xdr:rowOff>
    </xdr:to>
    <xdr:sp macro="" textlink="">
      <xdr:nvSpPr>
        <xdr:cNvPr id="9331" name="Oval 1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6184900" y="3422650"/>
          <a:ext cx="447675" cy="431800"/>
        </a:xfrm>
        <a:prstGeom prst="ellipse">
          <a:avLst/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absolute">
    <xdr:from>
      <xdr:col>39</xdr:col>
      <xdr:colOff>20320</xdr:colOff>
      <xdr:row>32</xdr:row>
      <xdr:rowOff>190500</xdr:rowOff>
    </xdr:from>
    <xdr:to>
      <xdr:col>42</xdr:col>
      <xdr:colOff>15240</xdr:colOff>
      <xdr:row>34</xdr:row>
      <xdr:rowOff>114300</xdr:rowOff>
    </xdr:to>
    <xdr:sp macro="" textlink="">
      <xdr:nvSpPr>
        <xdr:cNvPr id="5" name="Oval 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6210300" y="7410450"/>
          <a:ext cx="447675" cy="431800"/>
        </a:xfrm>
        <a:prstGeom prst="ellipse">
          <a:avLst/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absolute">
    <xdr:from>
      <xdr:col>39</xdr:col>
      <xdr:colOff>0</xdr:colOff>
      <xdr:row>50</xdr:row>
      <xdr:rowOff>168275</xdr:rowOff>
    </xdr:from>
    <xdr:to>
      <xdr:col>41</xdr:col>
      <xdr:colOff>131445</xdr:colOff>
      <xdr:row>52</xdr:row>
      <xdr:rowOff>92075</xdr:rowOff>
    </xdr:to>
    <xdr:sp macro="" textlink="">
      <xdr:nvSpPr>
        <xdr:cNvPr id="7" name="Oval 1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Arrowheads="1"/>
        </xdr:cNvSpPr>
      </xdr:nvSpPr>
      <xdr:spPr bwMode="auto">
        <a:xfrm>
          <a:off x="6197600" y="11341100"/>
          <a:ext cx="447675" cy="431800"/>
        </a:xfrm>
        <a:prstGeom prst="ellipse">
          <a:avLst/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1019175</xdr:colOff>
      <xdr:row>19</xdr:row>
      <xdr:rowOff>0</xdr:rowOff>
    </xdr:from>
    <xdr:to>
      <xdr:col>15</xdr:col>
      <xdr:colOff>152400</xdr:colOff>
      <xdr:row>25</xdr:row>
      <xdr:rowOff>219075</xdr:rowOff>
    </xdr:to>
    <xdr:sp macro="" textlink="">
      <xdr:nvSpPr>
        <xdr:cNvPr id="12397" name="Rectangle 31">
          <a:extLst>
            <a:ext uri="{FF2B5EF4-FFF2-40B4-BE49-F238E27FC236}">
              <a16:creationId xmlns:a16="http://schemas.microsoft.com/office/drawing/2014/main" id="{00000000-0008-0000-0500-00006D300000}"/>
            </a:ext>
          </a:extLst>
        </xdr:cNvPr>
        <xdr:cNvSpPr>
          <a:spLocks noChangeArrowheads="1"/>
        </xdr:cNvSpPr>
      </xdr:nvSpPr>
      <xdr:spPr bwMode="auto">
        <a:xfrm>
          <a:off x="6953250" y="5200650"/>
          <a:ext cx="2438400" cy="1704975"/>
        </a:xfrm>
        <a:prstGeom prst="rect">
          <a:avLst/>
        </a:prstGeom>
        <a:noFill/>
        <a:ln w="31750">
          <a:solidFill>
            <a:srgbClr val="FF0000"/>
          </a:solidFill>
          <a:miter lim="800000"/>
          <a:headEnd/>
          <a:tailEnd/>
        </a:ln>
      </xdr:spPr>
    </xdr:sp>
    <xdr:clientData/>
  </xdr:twoCellAnchor>
  <xdr:twoCellAnchor editAs="oneCell">
    <xdr:from>
      <xdr:col>10</xdr:col>
      <xdr:colOff>1133475</xdr:colOff>
      <xdr:row>19</xdr:row>
      <xdr:rowOff>171450</xdr:rowOff>
    </xdr:from>
    <xdr:to>
      <xdr:col>15</xdr:col>
      <xdr:colOff>38100</xdr:colOff>
      <xdr:row>25</xdr:row>
      <xdr:rowOff>53340</xdr:rowOff>
    </xdr:to>
    <xdr:pic>
      <xdr:nvPicPr>
        <xdr:cNvPr id="12398" name="Picture 68">
          <a:extLst>
            <a:ext uri="{FF2B5EF4-FFF2-40B4-BE49-F238E27FC236}">
              <a16:creationId xmlns:a16="http://schemas.microsoft.com/office/drawing/2014/main" id="{00000000-0008-0000-0500-00006E3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67550" y="5372100"/>
          <a:ext cx="2209800" cy="13716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9</xdr:col>
      <xdr:colOff>57150</xdr:colOff>
      <xdr:row>43</xdr:row>
      <xdr:rowOff>47625</xdr:rowOff>
    </xdr:to>
    <xdr:pic>
      <xdr:nvPicPr>
        <xdr:cNvPr id="10280" name="Picture 2">
          <a:extLst>
            <a:ext uri="{FF2B5EF4-FFF2-40B4-BE49-F238E27FC236}">
              <a16:creationId xmlns:a16="http://schemas.microsoft.com/office/drawing/2014/main" id="{00000000-0008-0000-0600-000028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42950"/>
          <a:ext cx="6915150" cy="7419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53"/>
  </sheetPr>
  <dimension ref="B1:Q41"/>
  <sheetViews>
    <sheetView showGridLines="0" tabSelected="1" zoomScaleNormal="100" workbookViewId="0">
      <selection activeCell="D3" sqref="D3:F3"/>
    </sheetView>
  </sheetViews>
  <sheetFormatPr defaultColWidth="8.9140625" defaultRowHeight="17" x14ac:dyDescent="0.25"/>
  <cols>
    <col min="1" max="1" width="3.33203125" style="93" customWidth="1"/>
    <col min="2" max="2" width="8.9140625" style="93"/>
    <col min="3" max="3" width="11.08203125" style="94" customWidth="1"/>
    <col min="4" max="5" width="13.6640625" style="94" customWidth="1"/>
    <col min="6" max="6" width="13.6640625" style="93" customWidth="1"/>
    <col min="7" max="12" width="8.9140625" style="93"/>
    <col min="13" max="13" width="30.08203125" style="93" customWidth="1"/>
    <col min="14" max="14" width="19.6640625" style="93" customWidth="1"/>
    <col min="15" max="16384" width="8.9140625" style="93"/>
  </cols>
  <sheetData>
    <row r="1" spans="2:6" ht="38.25" customHeight="1" x14ac:dyDescent="0.25">
      <c r="B1" s="186" t="s">
        <v>153</v>
      </c>
      <c r="C1" s="186"/>
      <c r="D1" s="186"/>
      <c r="E1" s="186"/>
    </row>
    <row r="2" spans="2:6" ht="10.5" customHeight="1" thickBot="1" x14ac:dyDescent="0.3">
      <c r="D2" s="194"/>
      <c r="E2" s="194"/>
    </row>
    <row r="3" spans="2:6" ht="20.149999999999999" customHeight="1" x14ac:dyDescent="0.25">
      <c r="B3" s="198" t="s">
        <v>121</v>
      </c>
      <c r="C3" s="97" t="s">
        <v>122</v>
      </c>
      <c r="D3" s="195" t="s">
        <v>668</v>
      </c>
      <c r="E3" s="196"/>
      <c r="F3" s="197"/>
    </row>
    <row r="4" spans="2:6" ht="20.149999999999999" customHeight="1" x14ac:dyDescent="0.25">
      <c r="B4" s="199"/>
      <c r="C4" s="98" t="s">
        <v>123</v>
      </c>
      <c r="D4" s="189" t="s">
        <v>672</v>
      </c>
      <c r="E4" s="190"/>
      <c r="F4" s="191"/>
    </row>
    <row r="5" spans="2:6" ht="20.149999999999999" customHeight="1" x14ac:dyDescent="0.25">
      <c r="B5" s="199"/>
      <c r="C5" s="98" t="s">
        <v>743</v>
      </c>
      <c r="D5" s="189" t="s">
        <v>744</v>
      </c>
      <c r="E5" s="190"/>
      <c r="F5" s="191"/>
    </row>
    <row r="6" spans="2:6" ht="20.149999999999999" customHeight="1" x14ac:dyDescent="0.25">
      <c r="B6" s="199"/>
      <c r="C6" s="98" t="s">
        <v>124</v>
      </c>
      <c r="D6" s="189" t="s">
        <v>688</v>
      </c>
      <c r="E6" s="190"/>
      <c r="F6" s="191"/>
    </row>
    <row r="7" spans="2:6" ht="20.149999999999999" customHeight="1" x14ac:dyDescent="0.25">
      <c r="B7" s="199"/>
      <c r="C7" s="98" t="s">
        <v>125</v>
      </c>
      <c r="D7" s="189" t="s">
        <v>689</v>
      </c>
      <c r="E7" s="190"/>
      <c r="F7" s="191"/>
    </row>
    <row r="8" spans="2:6" ht="20.149999999999999" customHeight="1" x14ac:dyDescent="0.25">
      <c r="B8" s="199"/>
      <c r="C8" s="98" t="s">
        <v>126</v>
      </c>
      <c r="D8" s="189" t="s">
        <v>858</v>
      </c>
      <c r="E8" s="190"/>
      <c r="F8" s="191"/>
    </row>
    <row r="9" spans="2:6" ht="20.149999999999999" customHeight="1" x14ac:dyDescent="0.25">
      <c r="B9" s="199" t="s">
        <v>142</v>
      </c>
      <c r="C9" s="207"/>
      <c r="D9" s="189" t="s">
        <v>312</v>
      </c>
      <c r="E9" s="190"/>
      <c r="F9" s="191"/>
    </row>
    <row r="10" spans="2:6" ht="20.149999999999999" customHeight="1" thickBot="1" x14ac:dyDescent="0.3">
      <c r="B10" s="209" t="s">
        <v>152</v>
      </c>
      <c r="C10" s="210"/>
      <c r="D10" s="99">
        <f>VLOOKUP(D9,세무서!A2:C115,2,FALSE)</f>
        <v>120</v>
      </c>
      <c r="E10" s="192" t="str">
        <f>VLOOKUP(D9,세무서!A2:C115,3,FALSE)</f>
        <v>181149</v>
      </c>
      <c r="F10" s="193"/>
    </row>
    <row r="11" spans="2:6" ht="20.149999999999999" customHeight="1" x14ac:dyDescent="0.25">
      <c r="B11" s="202" t="s">
        <v>127</v>
      </c>
      <c r="C11" s="100" t="s">
        <v>122</v>
      </c>
      <c r="D11" s="189" t="s">
        <v>670</v>
      </c>
      <c r="E11" s="190"/>
      <c r="F11" s="191"/>
    </row>
    <row r="12" spans="2:6" ht="20.149999999999999" customHeight="1" x14ac:dyDescent="0.25">
      <c r="B12" s="203"/>
      <c r="C12" s="101" t="s">
        <v>123</v>
      </c>
      <c r="D12" s="189" t="s">
        <v>671</v>
      </c>
      <c r="E12" s="190"/>
      <c r="F12" s="191"/>
    </row>
    <row r="13" spans="2:6" ht="20.149999999999999" customHeight="1" x14ac:dyDescent="0.25">
      <c r="B13" s="203"/>
      <c r="C13" s="101" t="s">
        <v>124</v>
      </c>
      <c r="D13" s="189" t="s">
        <v>669</v>
      </c>
      <c r="E13" s="190"/>
      <c r="F13" s="191"/>
    </row>
    <row r="14" spans="2:6" ht="20.149999999999999" customHeight="1" thickBot="1" x14ac:dyDescent="0.3">
      <c r="B14" s="204"/>
      <c r="C14" s="102" t="s">
        <v>125</v>
      </c>
      <c r="D14" s="189" t="s">
        <v>689</v>
      </c>
      <c r="E14" s="190"/>
      <c r="F14" s="191"/>
    </row>
    <row r="15" spans="2:6" ht="20.149999999999999" customHeight="1" x14ac:dyDescent="0.25">
      <c r="B15" s="205" t="s">
        <v>128</v>
      </c>
      <c r="C15" s="206"/>
      <c r="D15" s="189" t="s">
        <v>667</v>
      </c>
      <c r="E15" s="190"/>
      <c r="F15" s="191"/>
    </row>
    <row r="16" spans="2:6" ht="20.149999999999999" customHeight="1" thickBot="1" x14ac:dyDescent="0.3">
      <c r="B16" s="200" t="s">
        <v>129</v>
      </c>
      <c r="C16" s="201"/>
      <c r="D16" s="189" t="s">
        <v>667</v>
      </c>
      <c r="E16" s="190"/>
      <c r="F16" s="191"/>
    </row>
    <row r="17" spans="2:17" ht="20.149999999999999" customHeight="1" x14ac:dyDescent="0.25">
      <c r="B17" s="202" t="s">
        <v>158</v>
      </c>
      <c r="C17" s="100" t="s">
        <v>130</v>
      </c>
      <c r="D17" s="103" t="s">
        <v>80</v>
      </c>
      <c r="E17" s="104" t="s">
        <v>117</v>
      </c>
      <c r="F17" s="95" t="s">
        <v>161</v>
      </c>
      <c r="M17" s="180" t="s">
        <v>848</v>
      </c>
      <c r="N17" s="151"/>
      <c r="O17" s="181"/>
      <c r="P17" s="181"/>
      <c r="Q17" s="181"/>
    </row>
    <row r="18" spans="2:17" ht="20.149999999999999" customHeight="1" x14ac:dyDescent="0.25">
      <c r="B18" s="203"/>
      <c r="C18" s="120">
        <v>45312</v>
      </c>
      <c r="D18" s="110"/>
      <c r="E18" s="111">
        <v>50000000</v>
      </c>
      <c r="F18" s="112" t="s">
        <v>787</v>
      </c>
      <c r="M18" s="151"/>
      <c r="N18" s="151"/>
      <c r="O18" s="181"/>
      <c r="P18" s="181"/>
      <c r="Q18" s="181"/>
    </row>
    <row r="19" spans="2:17" ht="20.149999999999999" customHeight="1" x14ac:dyDescent="0.25">
      <c r="B19" s="203"/>
      <c r="C19" s="120"/>
      <c r="D19" s="113"/>
      <c r="E19" s="111"/>
      <c r="F19" s="112" t="s">
        <v>155</v>
      </c>
      <c r="M19" s="151" t="s">
        <v>847</v>
      </c>
      <c r="N19" s="187">
        <f>(N20+('1. 증여세신고서'!K23-SUM('1. 증여세신고서'!K25:N27))*'1. 증여세신고서'!K31*(1-'1. 증여세신고서'!AE21)-'1. 증여세신고서'!X18)/(1-'1. 증여세신고서'!K31*(1-'1. 증여세신고서'!AE21))</f>
        <v>50000000</v>
      </c>
      <c r="O19" s="181"/>
      <c r="P19" s="181"/>
      <c r="Q19" s="181"/>
    </row>
    <row r="20" spans="2:17" ht="20.149999999999999" customHeight="1" x14ac:dyDescent="0.25">
      <c r="B20" s="203"/>
      <c r="C20" s="120"/>
      <c r="D20" s="113"/>
      <c r="E20" s="111"/>
      <c r="F20" s="112" t="s">
        <v>155</v>
      </c>
      <c r="M20" s="151" t="s">
        <v>846</v>
      </c>
      <c r="N20" s="182">
        <f>증여내용입력!E22</f>
        <v>50000000</v>
      </c>
      <c r="O20" s="181"/>
      <c r="P20" s="181"/>
      <c r="Q20" s="181"/>
    </row>
    <row r="21" spans="2:17" ht="20.149999999999999" customHeight="1" x14ac:dyDescent="0.25">
      <c r="B21" s="203"/>
      <c r="C21" s="120"/>
      <c r="D21" s="113"/>
      <c r="E21" s="111"/>
      <c r="F21" s="112" t="s">
        <v>155</v>
      </c>
    </row>
    <row r="22" spans="2:17" ht="20.149999999999999" customHeight="1" thickBot="1" x14ac:dyDescent="0.3">
      <c r="B22" s="208"/>
      <c r="C22" s="105" t="s">
        <v>156</v>
      </c>
      <c r="D22" s="113"/>
      <c r="E22" s="111">
        <f>SUM(E18:E21)</f>
        <v>50000000</v>
      </c>
      <c r="F22" s="114"/>
    </row>
    <row r="23" spans="2:17" s="96" customFormat="1" ht="20.149999999999999" customHeight="1" x14ac:dyDescent="0.25">
      <c r="B23" s="198" t="s">
        <v>159</v>
      </c>
      <c r="C23" s="97" t="s">
        <v>130</v>
      </c>
      <c r="D23" s="113" t="s">
        <v>80</v>
      </c>
      <c r="E23" s="115" t="s">
        <v>117</v>
      </c>
      <c r="F23" s="112" t="s">
        <v>160</v>
      </c>
    </row>
    <row r="24" spans="2:17" s="96" customFormat="1" ht="20.149999999999999" customHeight="1" x14ac:dyDescent="0.25">
      <c r="B24" s="199"/>
      <c r="C24" s="121"/>
      <c r="D24" s="113"/>
      <c r="E24" s="111"/>
      <c r="F24" s="116"/>
    </row>
    <row r="25" spans="2:17" ht="20.149999999999999" customHeight="1" x14ac:dyDescent="0.25">
      <c r="B25" s="199"/>
      <c r="C25" s="121"/>
      <c r="D25" s="113"/>
      <c r="E25" s="111"/>
      <c r="F25" s="116"/>
    </row>
    <row r="26" spans="2:17" ht="20.149999999999999" customHeight="1" thickBot="1" x14ac:dyDescent="0.3">
      <c r="B26" s="200"/>
      <c r="C26" s="106" t="s">
        <v>157</v>
      </c>
      <c r="D26" s="117"/>
      <c r="E26" s="118">
        <f>SUM(E24:E25)</f>
        <v>0</v>
      </c>
      <c r="F26" s="119">
        <f>SUM(F24:F25)</f>
        <v>0</v>
      </c>
    </row>
    <row r="27" spans="2:17" ht="20.149999999999999" customHeight="1" x14ac:dyDescent="0.25"/>
    <row r="28" spans="2:17" ht="20.149999999999999" customHeight="1" x14ac:dyDescent="0.25"/>
    <row r="29" spans="2:17" ht="20.149999999999999" customHeight="1" x14ac:dyDescent="0.25"/>
    <row r="30" spans="2:17" ht="20.149999999999999" customHeight="1" x14ac:dyDescent="0.25"/>
    <row r="31" spans="2:17" ht="20.149999999999999" customHeight="1" x14ac:dyDescent="0.25"/>
    <row r="32" spans="2:17" ht="25.25" customHeight="1" x14ac:dyDescent="0.25"/>
    <row r="33" ht="25.25" customHeight="1" x14ac:dyDescent="0.25"/>
    <row r="34" ht="25.25" customHeight="1" x14ac:dyDescent="0.25"/>
    <row r="35" ht="25.25" customHeight="1" x14ac:dyDescent="0.25"/>
    <row r="36" ht="25.25" customHeight="1" x14ac:dyDescent="0.25"/>
    <row r="37" ht="25.25" customHeight="1" x14ac:dyDescent="0.25"/>
    <row r="38" ht="25.25" customHeight="1" x14ac:dyDescent="0.25"/>
    <row r="39" ht="25.25" customHeight="1" x14ac:dyDescent="0.25"/>
    <row r="40" ht="25.25" customHeight="1" x14ac:dyDescent="0.25"/>
    <row r="41" ht="25.25" customHeight="1" x14ac:dyDescent="0.25"/>
  </sheetData>
  <sheetProtection algorithmName="SHA-512" hashValue="fnqPEchhLjnfoD+4czlZww71QZ10wLEmFh9DjPoNOiTH4aILzUXNE+2ziOTz6HQqHzlKV4h125JXp5h7oVKoXA==" saltValue="P2Nu/uHGAz8RHNURbwDBlQ==" spinCount="100000" sheet="1" selectLockedCells="1"/>
  <mergeCells count="23">
    <mergeCell ref="B23:B26"/>
    <mergeCell ref="B16:C16"/>
    <mergeCell ref="B11:B14"/>
    <mergeCell ref="B15:C15"/>
    <mergeCell ref="B9:C9"/>
    <mergeCell ref="B17:B22"/>
    <mergeCell ref="B10:C10"/>
    <mergeCell ref="D2:E2"/>
    <mergeCell ref="D3:F3"/>
    <mergeCell ref="D4:F4"/>
    <mergeCell ref="B3:B8"/>
    <mergeCell ref="D6:F6"/>
    <mergeCell ref="D7:F7"/>
    <mergeCell ref="D8:F8"/>
    <mergeCell ref="D5:F5"/>
    <mergeCell ref="D9:F9"/>
    <mergeCell ref="D14:F14"/>
    <mergeCell ref="D15:F15"/>
    <mergeCell ref="D16:F16"/>
    <mergeCell ref="E10:F10"/>
    <mergeCell ref="D11:F11"/>
    <mergeCell ref="D12:F12"/>
    <mergeCell ref="D13:F13"/>
  </mergeCells>
  <phoneticPr fontId="2" type="noConversion"/>
  <dataValidations count="6">
    <dataValidation type="list" allowBlank="1" showInputMessage="1" showErrorMessage="1" sqref="D15" xr:uid="{00000000-0002-0000-0000-000000000000}">
      <formula1>세대생략여부</formula1>
    </dataValidation>
    <dataValidation type="list" allowBlank="1" showInputMessage="1" showErrorMessage="1" sqref="D16" xr:uid="{00000000-0002-0000-0000-000001000000}">
      <formula1>예정신고여부</formula1>
    </dataValidation>
    <dataValidation type="list" allowBlank="1" showInputMessage="1" showErrorMessage="1" sqref="D8" xr:uid="{00000000-0002-0000-0000-000002000000}">
      <formula1>증여자와의관계</formula1>
    </dataValidation>
    <dataValidation type="list" allowBlank="1" showInputMessage="1" showErrorMessage="1" sqref="D9" xr:uid="{00000000-0002-0000-0000-000003000000}">
      <formula1>관할세무서</formula1>
    </dataValidation>
    <dataValidation type="list" allowBlank="1" showInputMessage="1" showErrorMessage="1" sqref="F18:F21" xr:uid="{00000000-0002-0000-0000-000004000000}">
      <formula1>증여재산</formula1>
    </dataValidation>
    <dataValidation type="list" allowBlank="1" showInputMessage="1" showErrorMessage="1" sqref="D5:F5" xr:uid="{9E960438-4990-4525-A9DC-2AD6556F82E9}">
      <formula1>"거주자, 비거주자"</formula1>
    </dataValidation>
  </dataValidations>
  <pageMargins left="0.74803149606299213" right="0.74803149606299213" top="0.19685039370078741" bottom="0.19685039370078741" header="0.51181102362204722" footer="0.51181102362204722"/>
  <pageSetup paperSize="9" scale="85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27">
    <pageSetUpPr fitToPage="1"/>
  </sheetPr>
  <dimension ref="A2:AL44"/>
  <sheetViews>
    <sheetView showGridLines="0" showZeros="0" topLeftCell="B1" zoomScale="97" zoomScaleNormal="93" zoomScalePageLayoutView="17" workbookViewId="0">
      <selection activeCell="X26" sqref="X26:AB26"/>
    </sheetView>
  </sheetViews>
  <sheetFormatPr defaultColWidth="8" defaultRowHeight="17" x14ac:dyDescent="0.25"/>
  <cols>
    <col min="1" max="1" width="2.33203125" style="37" customWidth="1"/>
    <col min="2" max="2" width="3.6640625" style="37" customWidth="1"/>
    <col min="3" max="4" width="3.1640625" style="37" customWidth="1"/>
    <col min="5" max="5" width="3.83203125" style="37" customWidth="1"/>
    <col min="6" max="10" width="3.4140625" style="37" customWidth="1"/>
    <col min="11" max="13" width="3.1640625" style="37" customWidth="1"/>
    <col min="14" max="14" width="7.4140625" style="37" customWidth="1"/>
    <col min="15" max="15" width="4.08203125" style="37" customWidth="1"/>
    <col min="16" max="22" width="3.1640625" style="37" customWidth="1"/>
    <col min="23" max="23" width="5.58203125" style="37" customWidth="1"/>
    <col min="24" max="24" width="4.1640625" style="37" customWidth="1"/>
    <col min="25" max="25" width="5.1640625" style="37" customWidth="1"/>
    <col min="26" max="28" width="3.6640625" style="37" customWidth="1"/>
    <col min="29" max="29" width="8" style="37" customWidth="1"/>
    <col min="30" max="30" width="18.1640625" style="37" customWidth="1"/>
    <col min="31" max="34" width="8" style="37"/>
    <col min="35" max="36" width="4.08203125" style="37" customWidth="1"/>
    <col min="37" max="37" width="34.6640625" style="37" customWidth="1"/>
    <col min="38" max="38" width="16" style="37" customWidth="1"/>
    <col min="39" max="16384" width="8" style="37"/>
  </cols>
  <sheetData>
    <row r="2" spans="1:38" x14ac:dyDescent="0.25">
      <c r="A2" s="37" t="s">
        <v>476</v>
      </c>
      <c r="B2" s="37" t="s">
        <v>677</v>
      </c>
    </row>
    <row r="3" spans="1:38" ht="25.25" customHeight="1" x14ac:dyDescent="0.25">
      <c r="B3" s="301" t="s">
        <v>176</v>
      </c>
      <c r="C3" s="301"/>
      <c r="D3" s="301"/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1"/>
      <c r="Y3" s="301"/>
      <c r="Z3" s="301"/>
      <c r="AA3" s="301"/>
      <c r="AB3" s="301"/>
    </row>
    <row r="4" spans="1:38" s="38" customFormat="1" ht="17.25" customHeight="1" x14ac:dyDescent="0.25">
      <c r="B4" s="313" t="s">
        <v>679</v>
      </c>
      <c r="C4" s="314"/>
      <c r="D4" s="315" t="s">
        <v>680</v>
      </c>
      <c r="E4" s="316"/>
      <c r="F4" s="314"/>
      <c r="G4" s="131"/>
      <c r="H4" s="131"/>
      <c r="I4" s="312" t="s">
        <v>477</v>
      </c>
      <c r="J4" s="312"/>
      <c r="K4" s="312"/>
      <c r="L4" s="312"/>
      <c r="M4" s="312"/>
      <c r="N4" s="312"/>
      <c r="O4" s="312"/>
      <c r="P4" s="312"/>
      <c r="Q4" s="312"/>
      <c r="R4" s="312"/>
      <c r="S4" s="312"/>
      <c r="T4" s="312"/>
      <c r="U4" s="312"/>
      <c r="V4" s="131"/>
      <c r="W4" s="131"/>
      <c r="X4" s="131"/>
      <c r="Y4" s="131"/>
      <c r="Z4" s="131"/>
      <c r="AA4" s="131"/>
      <c r="AB4" s="131"/>
    </row>
    <row r="5" spans="1:38" s="38" customFormat="1" ht="17.25" customHeight="1" x14ac:dyDescent="0.25">
      <c r="B5" s="312" t="s">
        <v>678</v>
      </c>
      <c r="C5" s="312"/>
      <c r="D5" s="312"/>
      <c r="E5" s="312"/>
      <c r="F5" s="312"/>
      <c r="G5" s="312"/>
      <c r="H5" s="312"/>
      <c r="I5" s="312"/>
      <c r="J5" s="312"/>
      <c r="K5" s="312"/>
      <c r="L5" s="312"/>
      <c r="M5" s="312"/>
      <c r="N5" s="312"/>
      <c r="O5" s="312"/>
      <c r="P5" s="312"/>
      <c r="Q5" s="312"/>
      <c r="R5" s="312"/>
      <c r="S5" s="312"/>
      <c r="T5" s="312"/>
      <c r="U5" s="312"/>
      <c r="V5" s="312"/>
      <c r="W5" s="312"/>
      <c r="X5" s="312"/>
      <c r="Y5" s="312"/>
      <c r="Z5" s="312"/>
      <c r="AA5" s="312"/>
      <c r="AB5" s="127"/>
    </row>
    <row r="6" spans="1:38" s="38" customFormat="1" ht="13.5" customHeight="1" x14ac:dyDescent="0.25"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08" t="s">
        <v>480</v>
      </c>
      <c r="AB6" s="308"/>
      <c r="AI6" s="37"/>
      <c r="AJ6" s="37"/>
    </row>
    <row r="7" spans="1:38" ht="17.149999999999999" customHeight="1" x14ac:dyDescent="0.25">
      <c r="B7" s="317" t="s">
        <v>177</v>
      </c>
      <c r="C7" s="318"/>
      <c r="D7" s="265" t="s">
        <v>681</v>
      </c>
      <c r="E7" s="266"/>
      <c r="F7" s="267"/>
      <c r="G7" s="302" t="str">
        <f>증여내용입력!D3</f>
        <v>김자녀</v>
      </c>
      <c r="H7" s="303"/>
      <c r="I7" s="303"/>
      <c r="J7" s="304"/>
      <c r="K7" s="305" t="s">
        <v>682</v>
      </c>
      <c r="L7" s="306"/>
      <c r="M7" s="306"/>
      <c r="N7" s="307"/>
      <c r="O7" s="309" t="str">
        <f>증여내용입력!D4</f>
        <v>1301111-3000000</v>
      </c>
      <c r="P7" s="309"/>
      <c r="Q7" s="309"/>
      <c r="R7" s="309"/>
      <c r="S7" s="309"/>
      <c r="T7" s="305" t="s">
        <v>683</v>
      </c>
      <c r="U7" s="306"/>
      <c r="V7" s="306"/>
      <c r="W7" s="307"/>
      <c r="X7" s="152" t="str">
        <f>IF(증여내용입력!D5="거주자","[✔]","[   ]")</f>
        <v>[✔]</v>
      </c>
      <c r="Y7" s="154" t="s">
        <v>745</v>
      </c>
      <c r="Z7" s="153" t="str">
        <f>IF(증여내용입력!D5="비거주자","[✔]","[   ]")</f>
        <v>[   ]</v>
      </c>
      <c r="AA7" s="323" t="s">
        <v>746</v>
      </c>
      <c r="AB7" s="323"/>
    </row>
    <row r="8" spans="1:38" ht="17.149999999999999" customHeight="1" x14ac:dyDescent="0.25">
      <c r="B8" s="319"/>
      <c r="C8" s="320"/>
      <c r="D8" s="265" t="s">
        <v>684</v>
      </c>
      <c r="E8" s="266"/>
      <c r="F8" s="267"/>
      <c r="G8" s="258" t="str">
        <f>증여내용입력!D6</f>
        <v>서울시 강남구 OOO</v>
      </c>
      <c r="H8" s="259"/>
      <c r="I8" s="259"/>
      <c r="J8" s="259"/>
      <c r="K8" s="259"/>
      <c r="L8" s="259"/>
      <c r="M8" s="259"/>
      <c r="N8" s="259"/>
      <c r="O8" s="259"/>
      <c r="P8" s="259"/>
      <c r="Q8" s="259"/>
      <c r="R8" s="259"/>
      <c r="S8" s="260"/>
      <c r="T8" s="305" t="s">
        <v>685</v>
      </c>
      <c r="U8" s="306"/>
      <c r="V8" s="306"/>
      <c r="W8" s="307"/>
      <c r="X8" s="310"/>
      <c r="Y8" s="311"/>
      <c r="Z8" s="311"/>
      <c r="AA8" s="311"/>
      <c r="AB8" s="311"/>
    </row>
    <row r="9" spans="1:38" ht="17.149999999999999" customHeight="1" x14ac:dyDescent="0.25">
      <c r="B9" s="321"/>
      <c r="C9" s="322"/>
      <c r="D9" s="265" t="s">
        <v>686</v>
      </c>
      <c r="E9" s="266"/>
      <c r="F9" s="267"/>
      <c r="G9" s="128" t="s">
        <v>687</v>
      </c>
      <c r="H9" s="129"/>
      <c r="I9" s="259"/>
      <c r="J9" s="259"/>
      <c r="K9" s="259"/>
      <c r="L9" s="259"/>
      <c r="M9" s="132"/>
      <c r="N9" s="132" t="s">
        <v>690</v>
      </c>
      <c r="O9" s="259" t="str">
        <f>증여내용입력!D7</f>
        <v>010-0000-0000</v>
      </c>
      <c r="P9" s="259"/>
      <c r="Q9" s="259"/>
      <c r="R9" s="259"/>
      <c r="S9" s="260"/>
      <c r="T9" s="258" t="s">
        <v>691</v>
      </c>
      <c r="U9" s="259"/>
      <c r="V9" s="259"/>
      <c r="W9" s="260"/>
      <c r="X9" s="263" t="str">
        <f>증여내용입력!D8</f>
        <v>배우자</v>
      </c>
      <c r="Y9" s="264"/>
      <c r="Z9" s="264"/>
      <c r="AA9" s="264"/>
      <c r="AB9" s="264"/>
    </row>
    <row r="10" spans="1:38" ht="17.149999999999999" customHeight="1" x14ac:dyDescent="0.25">
      <c r="B10" s="268" t="s">
        <v>178</v>
      </c>
      <c r="C10" s="269"/>
      <c r="D10" s="265" t="s">
        <v>692</v>
      </c>
      <c r="E10" s="266"/>
      <c r="F10" s="267"/>
      <c r="G10" s="324" t="str">
        <f>증여내용입력!D11</f>
        <v>김부모</v>
      </c>
      <c r="H10" s="325"/>
      <c r="I10" s="325"/>
      <c r="J10" s="326"/>
      <c r="K10" s="305" t="s">
        <v>693</v>
      </c>
      <c r="L10" s="306"/>
      <c r="M10" s="306"/>
      <c r="N10" s="307"/>
      <c r="O10" s="258" t="str">
        <f>증여내용입력!D12</f>
        <v>690211-1000000</v>
      </c>
      <c r="P10" s="259"/>
      <c r="Q10" s="259"/>
      <c r="R10" s="259"/>
      <c r="S10" s="260"/>
      <c r="T10" s="258" t="s">
        <v>694</v>
      </c>
      <c r="U10" s="259"/>
      <c r="V10" s="259"/>
      <c r="W10" s="260"/>
      <c r="X10" s="261">
        <f>증여내용입력!C18</f>
        <v>45312</v>
      </c>
      <c r="Y10" s="262"/>
      <c r="Z10" s="262"/>
      <c r="AA10" s="262"/>
      <c r="AB10" s="262"/>
    </row>
    <row r="11" spans="1:38" ht="17.149999999999999" customHeight="1" x14ac:dyDescent="0.25">
      <c r="B11" s="270"/>
      <c r="C11" s="271"/>
      <c r="D11" s="224" t="s">
        <v>695</v>
      </c>
      <c r="E11" s="225"/>
      <c r="F11" s="226"/>
      <c r="G11" s="224" t="str">
        <f>증여내용입력!D13</f>
        <v>서울시 000</v>
      </c>
      <c r="H11" s="225"/>
      <c r="I11" s="225"/>
      <c r="J11" s="225"/>
      <c r="K11" s="225"/>
      <c r="L11" s="225"/>
      <c r="M11" s="225"/>
      <c r="N11" s="225"/>
      <c r="O11" s="225"/>
      <c r="P11" s="225"/>
      <c r="Q11" s="225"/>
      <c r="R11" s="225"/>
      <c r="S11" s="226"/>
      <c r="T11" s="230" t="s">
        <v>696</v>
      </c>
      <c r="U11" s="231"/>
      <c r="V11" s="231"/>
      <c r="W11" s="232"/>
      <c r="X11" s="276" t="s">
        <v>697</v>
      </c>
      <c r="Y11" s="277"/>
      <c r="Z11" s="277"/>
      <c r="AA11" s="277"/>
      <c r="AB11" s="277"/>
    </row>
    <row r="12" spans="1:38" ht="16.5" customHeight="1" x14ac:dyDescent="0.25">
      <c r="B12" s="272"/>
      <c r="C12" s="273"/>
      <c r="D12" s="227"/>
      <c r="E12" s="228"/>
      <c r="F12" s="229"/>
      <c r="G12" s="227"/>
      <c r="H12" s="228"/>
      <c r="I12" s="228"/>
      <c r="J12" s="228"/>
      <c r="K12" s="228"/>
      <c r="L12" s="228"/>
      <c r="M12" s="228"/>
      <c r="N12" s="228"/>
      <c r="O12" s="228"/>
      <c r="P12" s="228"/>
      <c r="Q12" s="228"/>
      <c r="R12" s="228"/>
      <c r="S12" s="229"/>
      <c r="T12" s="233"/>
      <c r="U12" s="234"/>
      <c r="V12" s="234"/>
      <c r="W12" s="235"/>
      <c r="X12" s="278" t="s">
        <v>690</v>
      </c>
      <c r="Y12" s="279"/>
      <c r="Z12" s="234" t="str">
        <f>증여내용입력!D14</f>
        <v>010-0000-0000</v>
      </c>
      <c r="AA12" s="234"/>
      <c r="AB12" s="234"/>
    </row>
    <row r="13" spans="1:38" ht="16.5" customHeight="1" x14ac:dyDescent="0.25">
      <c r="B13" s="280" t="s">
        <v>698</v>
      </c>
      <c r="C13" s="269"/>
      <c r="D13" s="283" t="s">
        <v>699</v>
      </c>
      <c r="E13" s="284"/>
      <c r="F13" s="285"/>
      <c r="G13" s="283"/>
      <c r="H13" s="284"/>
      <c r="I13" s="284"/>
      <c r="J13" s="285"/>
      <c r="K13" s="286" t="s">
        <v>700</v>
      </c>
      <c r="L13" s="286"/>
      <c r="M13" s="286"/>
      <c r="N13" s="286"/>
      <c r="O13" s="283"/>
      <c r="P13" s="284"/>
      <c r="Q13" s="284"/>
      <c r="R13" s="284"/>
      <c r="S13" s="285"/>
      <c r="T13" s="293" t="s">
        <v>703</v>
      </c>
      <c r="U13" s="294"/>
      <c r="V13" s="294"/>
      <c r="W13" s="295"/>
      <c r="X13" s="296"/>
      <c r="Y13" s="297"/>
      <c r="Z13" s="297"/>
      <c r="AA13" s="297"/>
      <c r="AB13" s="297"/>
    </row>
    <row r="14" spans="1:38" ht="16.5" customHeight="1" x14ac:dyDescent="0.25">
      <c r="B14" s="281"/>
      <c r="C14" s="282"/>
      <c r="D14" s="287" t="s">
        <v>701</v>
      </c>
      <c r="E14" s="288"/>
      <c r="F14" s="289"/>
      <c r="G14" s="290" t="s">
        <v>702</v>
      </c>
      <c r="H14" s="291"/>
      <c r="I14" s="288"/>
      <c r="J14" s="288"/>
      <c r="K14" s="288"/>
      <c r="L14" s="288"/>
      <c r="M14" s="288"/>
      <c r="N14" s="288"/>
      <c r="O14" s="288" t="s">
        <v>690</v>
      </c>
      <c r="P14" s="288"/>
      <c r="Q14" s="288"/>
      <c r="R14" s="288"/>
      <c r="S14" s="288"/>
      <c r="T14" s="292"/>
      <c r="U14" s="292"/>
      <c r="V14" s="292"/>
      <c r="W14" s="292"/>
      <c r="X14" s="292"/>
      <c r="Y14" s="292"/>
      <c r="Z14" s="292"/>
      <c r="AA14" s="292"/>
      <c r="AB14" s="292"/>
    </row>
    <row r="15" spans="1:38" ht="8.25" customHeight="1" x14ac:dyDescent="0.25">
      <c r="B15" s="133"/>
      <c r="C15" s="133"/>
      <c r="D15" s="136"/>
      <c r="E15" s="134"/>
      <c r="F15" s="134"/>
      <c r="G15" s="137"/>
      <c r="H15" s="130"/>
      <c r="I15" s="130"/>
      <c r="J15" s="130"/>
      <c r="K15" s="130"/>
      <c r="L15" s="130"/>
      <c r="M15" s="130"/>
      <c r="N15" s="130"/>
      <c r="O15" s="134"/>
      <c r="P15" s="134"/>
      <c r="Q15" s="134"/>
      <c r="R15" s="134"/>
      <c r="S15" s="134"/>
      <c r="T15" s="135"/>
      <c r="U15" s="135"/>
      <c r="V15" s="135"/>
      <c r="W15" s="135"/>
      <c r="X15" s="135"/>
      <c r="Y15" s="135"/>
      <c r="Z15" s="135"/>
      <c r="AA15" s="135"/>
      <c r="AB15" s="135"/>
      <c r="AJ15" s="175"/>
    </row>
    <row r="16" spans="1:38" ht="17.149999999999999" customHeight="1" x14ac:dyDescent="0.25">
      <c r="B16" s="257" t="s">
        <v>179</v>
      </c>
      <c r="C16" s="238"/>
      <c r="D16" s="238"/>
      <c r="E16" s="238"/>
      <c r="F16" s="238"/>
      <c r="G16" s="238"/>
      <c r="H16" s="238"/>
      <c r="I16" s="238"/>
      <c r="J16" s="238"/>
      <c r="K16" s="238" t="s">
        <v>180</v>
      </c>
      <c r="L16" s="238"/>
      <c r="M16" s="238"/>
      <c r="N16" s="238"/>
      <c r="O16" s="238" t="s">
        <v>179</v>
      </c>
      <c r="P16" s="238"/>
      <c r="Q16" s="238"/>
      <c r="R16" s="238"/>
      <c r="S16" s="238"/>
      <c r="T16" s="238"/>
      <c r="U16" s="238"/>
      <c r="V16" s="238"/>
      <c r="W16" s="238"/>
      <c r="X16" s="238" t="s">
        <v>180</v>
      </c>
      <c r="Y16" s="238"/>
      <c r="Z16" s="238"/>
      <c r="AA16" s="238"/>
      <c r="AB16" s="239"/>
      <c r="AK16" s="122"/>
      <c r="AL16" s="123"/>
    </row>
    <row r="17" spans="2:38" ht="30.5" customHeight="1" x14ac:dyDescent="0.25">
      <c r="B17" s="43" t="s">
        <v>704</v>
      </c>
      <c r="C17" s="242" t="s">
        <v>168</v>
      </c>
      <c r="D17" s="242"/>
      <c r="E17" s="242"/>
      <c r="F17" s="242"/>
      <c r="G17" s="242"/>
      <c r="H17" s="242"/>
      <c r="I17" s="242"/>
      <c r="J17" s="243"/>
      <c r="K17" s="214">
        <f>증여내용입력!E22</f>
        <v>50000000</v>
      </c>
      <c r="L17" s="215"/>
      <c r="M17" s="215"/>
      <c r="N17" s="215"/>
      <c r="O17" s="298" t="s">
        <v>174</v>
      </c>
      <c r="P17" s="43" t="s">
        <v>489</v>
      </c>
      <c r="Q17" s="211" t="s">
        <v>852</v>
      </c>
      <c r="R17" s="212"/>
      <c r="S17" s="212"/>
      <c r="T17" s="212"/>
      <c r="U17" s="212"/>
      <c r="V17" s="212"/>
      <c r="W17" s="213"/>
      <c r="X17" s="274">
        <f>SUM(X18:AB21)</f>
        <v>0</v>
      </c>
      <c r="Y17" s="274"/>
      <c r="Z17" s="274"/>
      <c r="AA17" s="274"/>
      <c r="AB17" s="275"/>
      <c r="AI17" s="122"/>
      <c r="AJ17" s="123"/>
      <c r="AK17" s="124"/>
      <c r="AL17" s="125"/>
    </row>
    <row r="18" spans="2:38" ht="25.5" customHeight="1" x14ac:dyDescent="0.25">
      <c r="B18" s="138" t="s">
        <v>705</v>
      </c>
      <c r="C18" s="242" t="s">
        <v>676</v>
      </c>
      <c r="D18" s="242"/>
      <c r="E18" s="242"/>
      <c r="F18" s="242"/>
      <c r="G18" s="242"/>
      <c r="H18" s="242"/>
      <c r="I18" s="242"/>
      <c r="J18" s="243"/>
      <c r="K18" s="338"/>
      <c r="L18" s="339"/>
      <c r="M18" s="339"/>
      <c r="N18" s="340"/>
      <c r="O18" s="299"/>
      <c r="P18" s="140" t="s">
        <v>490</v>
      </c>
      <c r="Q18" s="211" t="s">
        <v>710</v>
      </c>
      <c r="R18" s="212"/>
      <c r="S18" s="212"/>
      <c r="T18" s="212"/>
      <c r="U18" s="212"/>
      <c r="V18" s="212"/>
      <c r="W18" s="213"/>
      <c r="X18" s="274">
        <f>증여내용입력!F26</f>
        <v>0</v>
      </c>
      <c r="Y18" s="274"/>
      <c r="Z18" s="274"/>
      <c r="AA18" s="274"/>
      <c r="AB18" s="275"/>
      <c r="AI18" s="124"/>
      <c r="AJ18" s="125"/>
      <c r="AK18" s="125"/>
      <c r="AL18" s="125"/>
    </row>
    <row r="19" spans="2:38" ht="25.5" customHeight="1" x14ac:dyDescent="0.25">
      <c r="B19" s="244" t="s">
        <v>181</v>
      </c>
      <c r="C19" s="245"/>
      <c r="D19" s="139" t="s">
        <v>706</v>
      </c>
      <c r="E19" s="250" t="s">
        <v>711</v>
      </c>
      <c r="F19" s="250"/>
      <c r="G19" s="250"/>
      <c r="H19" s="250"/>
      <c r="I19" s="250"/>
      <c r="J19" s="251"/>
      <c r="K19" s="252"/>
      <c r="L19" s="253"/>
      <c r="M19" s="253"/>
      <c r="N19" s="253"/>
      <c r="O19" s="299"/>
      <c r="P19" s="139" t="s">
        <v>492</v>
      </c>
      <c r="Q19" s="211" t="s">
        <v>709</v>
      </c>
      <c r="R19" s="236"/>
      <c r="S19" s="236"/>
      <c r="T19" s="236"/>
      <c r="U19" s="236"/>
      <c r="V19" s="236"/>
      <c r="W19" s="237"/>
      <c r="X19" s="256"/>
      <c r="Y19" s="256"/>
      <c r="Z19" s="256"/>
      <c r="AA19" s="256"/>
      <c r="AB19" s="252"/>
      <c r="AI19" s="125"/>
      <c r="AJ19" s="125"/>
      <c r="AK19" s="125"/>
      <c r="AL19" s="125"/>
    </row>
    <row r="20" spans="2:38" ht="25.5" customHeight="1" x14ac:dyDescent="0.25">
      <c r="B20" s="246"/>
      <c r="C20" s="247"/>
      <c r="D20" s="40" t="s">
        <v>707</v>
      </c>
      <c r="E20" s="250" t="s">
        <v>712</v>
      </c>
      <c r="F20" s="250"/>
      <c r="G20" s="250"/>
      <c r="H20" s="250"/>
      <c r="I20" s="250"/>
      <c r="J20" s="251"/>
      <c r="K20" s="252"/>
      <c r="L20" s="253"/>
      <c r="M20" s="253"/>
      <c r="N20" s="253"/>
      <c r="O20" s="299"/>
      <c r="P20" s="140" t="s">
        <v>493</v>
      </c>
      <c r="Q20" s="211" t="s">
        <v>714</v>
      </c>
      <c r="R20" s="236"/>
      <c r="S20" s="236"/>
      <c r="T20" s="236"/>
      <c r="U20" s="236"/>
      <c r="V20" s="236"/>
      <c r="W20" s="237"/>
      <c r="X20" s="274">
        <f>K34*VLOOKUP(증여내용입력!D16,자료!A17:B19,2,FALSE)</f>
        <v>0</v>
      </c>
      <c r="Y20" s="274"/>
      <c r="Z20" s="274"/>
      <c r="AA20" s="274"/>
      <c r="AB20" s="275"/>
      <c r="AI20" s="125"/>
      <c r="AJ20" s="125"/>
      <c r="AK20" s="125"/>
      <c r="AL20" s="125"/>
    </row>
    <row r="21" spans="2:38" ht="25.5" customHeight="1" x14ac:dyDescent="0.25">
      <c r="B21" s="248"/>
      <c r="C21" s="249"/>
      <c r="D21" s="40" t="s">
        <v>708</v>
      </c>
      <c r="E21" s="250" t="s">
        <v>713</v>
      </c>
      <c r="F21" s="250"/>
      <c r="G21" s="250"/>
      <c r="H21" s="250"/>
      <c r="I21" s="250"/>
      <c r="J21" s="251"/>
      <c r="K21" s="252"/>
      <c r="L21" s="253"/>
      <c r="M21" s="253"/>
      <c r="N21" s="253"/>
      <c r="O21" s="300"/>
      <c r="P21" s="140" t="s">
        <v>494</v>
      </c>
      <c r="Q21" s="236" t="s">
        <v>175</v>
      </c>
      <c r="R21" s="236"/>
      <c r="S21" s="236"/>
      <c r="T21" s="236"/>
      <c r="U21" s="236"/>
      <c r="V21" s="236"/>
      <c r="W21" s="237"/>
      <c r="X21" s="256"/>
      <c r="Y21" s="256"/>
      <c r="Z21" s="256"/>
      <c r="AA21" s="256"/>
      <c r="AB21" s="252"/>
      <c r="AC21" s="341"/>
      <c r="AD21" s="341"/>
      <c r="AE21" s="188"/>
      <c r="AI21" s="125"/>
      <c r="AJ21" s="125"/>
      <c r="AK21" s="125"/>
      <c r="AL21" s="125"/>
    </row>
    <row r="22" spans="2:38" ht="25.5" customHeight="1" x14ac:dyDescent="0.25">
      <c r="B22" s="43" t="s">
        <v>717</v>
      </c>
      <c r="C22" s="242" t="s">
        <v>185</v>
      </c>
      <c r="D22" s="242"/>
      <c r="E22" s="242"/>
      <c r="F22" s="242"/>
      <c r="G22" s="242"/>
      <c r="H22" s="242"/>
      <c r="I22" s="242"/>
      <c r="J22" s="243"/>
      <c r="K22" s="252"/>
      <c r="L22" s="253"/>
      <c r="M22" s="253"/>
      <c r="N22" s="254"/>
      <c r="O22" s="142" t="s">
        <v>495</v>
      </c>
      <c r="P22" s="240" t="s">
        <v>491</v>
      </c>
      <c r="Q22" s="240"/>
      <c r="R22" s="240"/>
      <c r="S22" s="240"/>
      <c r="T22" s="240"/>
      <c r="U22" s="240"/>
      <c r="V22" s="240"/>
      <c r="W22" s="241"/>
      <c r="X22" s="256"/>
      <c r="Y22" s="256"/>
      <c r="Z22" s="256"/>
      <c r="AA22" s="256"/>
      <c r="AB22" s="252"/>
      <c r="AI22" s="125"/>
      <c r="AJ22" s="125"/>
    </row>
    <row r="23" spans="2:38" ht="25.5" customHeight="1" x14ac:dyDescent="0.25">
      <c r="B23" s="141" t="s">
        <v>718</v>
      </c>
      <c r="C23" s="353" t="s">
        <v>845</v>
      </c>
      <c r="D23" s="354"/>
      <c r="E23" s="354"/>
      <c r="F23" s="354"/>
      <c r="G23" s="354"/>
      <c r="H23" s="354"/>
      <c r="I23" s="354"/>
      <c r="J23" s="355"/>
      <c r="K23" s="214">
        <f>증여내용입력!E26</f>
        <v>0</v>
      </c>
      <c r="L23" s="215"/>
      <c r="M23" s="215"/>
      <c r="N23" s="215"/>
      <c r="O23" s="142" t="s">
        <v>496</v>
      </c>
      <c r="P23" s="240" t="s">
        <v>715</v>
      </c>
      <c r="Q23" s="240"/>
      <c r="R23" s="240"/>
      <c r="S23" s="240"/>
      <c r="T23" s="240"/>
      <c r="U23" s="240"/>
      <c r="V23" s="240"/>
      <c r="W23" s="241"/>
      <c r="X23" s="256"/>
      <c r="Y23" s="256"/>
      <c r="Z23" s="256"/>
      <c r="AA23" s="256"/>
      <c r="AB23" s="252"/>
    </row>
    <row r="24" spans="2:38" ht="25.5" customHeight="1" x14ac:dyDescent="0.25">
      <c r="B24" s="43" t="s">
        <v>719</v>
      </c>
      <c r="C24" s="250" t="s">
        <v>716</v>
      </c>
      <c r="D24" s="242"/>
      <c r="E24" s="242"/>
      <c r="F24" s="242"/>
      <c r="G24" s="242"/>
      <c r="H24" s="242"/>
      <c r="I24" s="242"/>
      <c r="J24" s="243"/>
      <c r="K24" s="255">
        <f>K17-K18-K19-K20-K21-K22+K23</f>
        <v>50000000</v>
      </c>
      <c r="L24" s="255"/>
      <c r="M24" s="255"/>
      <c r="N24" s="255"/>
      <c r="O24" s="142" t="s">
        <v>732</v>
      </c>
      <c r="P24" s="240" t="s">
        <v>733</v>
      </c>
      <c r="Q24" s="240"/>
      <c r="R24" s="240"/>
      <c r="S24" s="240"/>
      <c r="T24" s="240"/>
      <c r="U24" s="240"/>
      <c r="V24" s="240"/>
      <c r="W24" s="241"/>
      <c r="X24" s="334"/>
      <c r="Y24" s="335"/>
      <c r="Z24" s="335"/>
      <c r="AA24" s="335"/>
      <c r="AB24" s="335"/>
      <c r="AK24" s="126"/>
    </row>
    <row r="25" spans="2:38" ht="30" customHeight="1" x14ac:dyDescent="0.25">
      <c r="B25" s="244" t="s">
        <v>169</v>
      </c>
      <c r="C25" s="245"/>
      <c r="D25" s="42" t="s">
        <v>720</v>
      </c>
      <c r="E25" s="242" t="s">
        <v>723</v>
      </c>
      <c r="F25" s="242"/>
      <c r="G25" s="242"/>
      <c r="H25" s="242"/>
      <c r="I25" s="242"/>
      <c r="J25" s="242"/>
      <c r="K25" s="274">
        <f>IF(증여내용입력!D5="비거주자",0,IF(증여내용입력!D8="배우자",MIN(K24,VLOOKUP(증여내용입력!D8,증여공제액,2,FALSE)),0))</f>
        <v>50000000</v>
      </c>
      <c r="L25" s="274"/>
      <c r="M25" s="274"/>
      <c r="N25" s="274"/>
      <c r="O25" s="144" t="s">
        <v>497</v>
      </c>
      <c r="P25" s="348" t="s">
        <v>853</v>
      </c>
      <c r="Q25" s="349"/>
      <c r="R25" s="349"/>
      <c r="S25" s="349"/>
      <c r="T25" s="240"/>
      <c r="U25" s="240"/>
      <c r="V25" s="240"/>
      <c r="W25" s="241"/>
      <c r="X25" s="346">
        <f>K34+K35-K36-X17+X22+X23+X24</f>
        <v>0</v>
      </c>
      <c r="Y25" s="347"/>
      <c r="Z25" s="347"/>
      <c r="AA25" s="347"/>
      <c r="AB25" s="347"/>
    </row>
    <row r="26" spans="2:38" ht="25.5" customHeight="1" x14ac:dyDescent="0.25">
      <c r="B26" s="246"/>
      <c r="C26" s="247"/>
      <c r="D26" s="40" t="s">
        <v>721</v>
      </c>
      <c r="E26" s="242" t="s">
        <v>170</v>
      </c>
      <c r="F26" s="242"/>
      <c r="G26" s="242"/>
      <c r="H26" s="242"/>
      <c r="I26" s="242"/>
      <c r="J26" s="242"/>
      <c r="K26" s="336">
        <f>IF(OR(증여내용입력!D8="배우자",증여내용입력!D8="기타친족"),0,MIN(K24,VLOOKUP(증여내용입력!D8,증여공제액,2,FALSE)))</f>
        <v>0</v>
      </c>
      <c r="L26" s="336"/>
      <c r="M26" s="336"/>
      <c r="N26" s="337"/>
      <c r="O26" s="350" t="s">
        <v>735</v>
      </c>
      <c r="P26" s="350"/>
      <c r="Q26" s="350"/>
      <c r="R26" s="350"/>
      <c r="S26" s="350"/>
      <c r="T26" s="264" t="s">
        <v>734</v>
      </c>
      <c r="U26" s="264"/>
      <c r="V26" s="264"/>
      <c r="W26" s="351"/>
      <c r="X26" s="256"/>
      <c r="Y26" s="256"/>
      <c r="Z26" s="256"/>
      <c r="AA26" s="256"/>
      <c r="AB26" s="252"/>
      <c r="AI26" s="126"/>
    </row>
    <row r="27" spans="2:38" ht="25.5" customHeight="1" x14ac:dyDescent="0.25">
      <c r="B27" s="246"/>
      <c r="C27" s="247"/>
      <c r="D27" s="40" t="s">
        <v>722</v>
      </c>
      <c r="E27" s="242" t="s">
        <v>724</v>
      </c>
      <c r="F27" s="242"/>
      <c r="G27" s="242"/>
      <c r="H27" s="242"/>
      <c r="I27" s="242"/>
      <c r="J27" s="242"/>
      <c r="K27" s="274">
        <f>IF(증여내용입력!D5="비거주자",0,IF(증여내용입력!D8="기타친족",MIN(K24,VLOOKUP(증여내용입력!D8,증여공제액,2,FALSE)),0))</f>
        <v>0</v>
      </c>
      <c r="L27" s="274"/>
      <c r="M27" s="274"/>
      <c r="N27" s="274"/>
      <c r="O27" s="143" t="s">
        <v>498</v>
      </c>
      <c r="P27" s="236" t="s">
        <v>182</v>
      </c>
      <c r="Q27" s="236"/>
      <c r="R27" s="236"/>
      <c r="S27" s="237"/>
      <c r="T27" s="263"/>
      <c r="U27" s="264"/>
      <c r="V27" s="264"/>
      <c r="W27" s="351"/>
      <c r="X27" s="256"/>
      <c r="Y27" s="256"/>
      <c r="Z27" s="256"/>
      <c r="AA27" s="256"/>
      <c r="AB27" s="252"/>
    </row>
    <row r="28" spans="2:38" ht="25.5" customHeight="1" x14ac:dyDescent="0.25">
      <c r="B28" s="43" t="s">
        <v>481</v>
      </c>
      <c r="C28" s="250" t="s">
        <v>725</v>
      </c>
      <c r="D28" s="242"/>
      <c r="E28" s="242"/>
      <c r="F28" s="242"/>
      <c r="G28" s="242"/>
      <c r="H28" s="242"/>
      <c r="I28" s="242"/>
      <c r="J28" s="243"/>
      <c r="K28" s="256"/>
      <c r="L28" s="256"/>
      <c r="M28" s="256"/>
      <c r="N28" s="256"/>
      <c r="O28" s="352" t="s">
        <v>183</v>
      </c>
      <c r="P28" s="142" t="s">
        <v>736</v>
      </c>
      <c r="Q28" s="236" t="s">
        <v>184</v>
      </c>
      <c r="R28" s="236"/>
      <c r="S28" s="236"/>
      <c r="T28" s="331"/>
      <c r="U28" s="332"/>
      <c r="V28" s="332"/>
      <c r="W28" s="332"/>
      <c r="X28" s="252"/>
      <c r="Y28" s="253"/>
      <c r="Z28" s="253"/>
      <c r="AA28" s="253"/>
      <c r="AB28" s="253"/>
    </row>
    <row r="29" spans="2:38" ht="25.5" customHeight="1" x14ac:dyDescent="0.25">
      <c r="B29" s="43" t="s">
        <v>482</v>
      </c>
      <c r="C29" s="242" t="s">
        <v>171</v>
      </c>
      <c r="D29" s="242"/>
      <c r="E29" s="242"/>
      <c r="F29" s="242"/>
      <c r="G29" s="242"/>
      <c r="H29" s="242"/>
      <c r="I29" s="242"/>
      <c r="J29" s="243"/>
      <c r="K29" s="256"/>
      <c r="L29" s="256"/>
      <c r="M29" s="256"/>
      <c r="N29" s="256"/>
      <c r="O29" s="352"/>
      <c r="P29" s="41" t="s">
        <v>737</v>
      </c>
      <c r="Q29" s="236" t="s">
        <v>478</v>
      </c>
      <c r="R29" s="236"/>
      <c r="S29" s="236"/>
      <c r="T29" s="333"/>
      <c r="U29" s="333"/>
      <c r="V29" s="333"/>
      <c r="W29" s="333"/>
      <c r="X29" s="274">
        <f>X25</f>
        <v>0</v>
      </c>
      <c r="Y29" s="274"/>
      <c r="Z29" s="274"/>
      <c r="AA29" s="274"/>
      <c r="AB29" s="275"/>
    </row>
    <row r="30" spans="2:38" ht="25.5" customHeight="1" x14ac:dyDescent="0.25">
      <c r="B30" s="43" t="s">
        <v>483</v>
      </c>
      <c r="C30" s="242" t="s">
        <v>726</v>
      </c>
      <c r="D30" s="242"/>
      <c r="E30" s="242"/>
      <c r="F30" s="242"/>
      <c r="G30" s="242"/>
      <c r="H30" s="242"/>
      <c r="I30" s="242"/>
      <c r="J30" s="243"/>
      <c r="K30" s="255">
        <f>K24-K25-K26-K27-K28-K29</f>
        <v>0</v>
      </c>
      <c r="L30" s="255"/>
      <c r="M30" s="255"/>
      <c r="N30" s="255"/>
      <c r="O30" s="216" t="s">
        <v>850</v>
      </c>
      <c r="P30" s="217"/>
      <c r="Q30" s="217"/>
      <c r="R30" s="217"/>
      <c r="S30" s="217"/>
      <c r="T30" s="217"/>
      <c r="U30" s="217"/>
      <c r="V30" s="217"/>
      <c r="W30" s="217"/>
      <c r="X30" s="217"/>
      <c r="Y30" s="217"/>
      <c r="Z30" s="217"/>
      <c r="AA30" s="217"/>
      <c r="AB30" s="217"/>
      <c r="AD30" s="183"/>
    </row>
    <row r="31" spans="2:38" ht="25.5" customHeight="1" x14ac:dyDescent="0.25">
      <c r="B31" s="43" t="s">
        <v>484</v>
      </c>
      <c r="C31" s="242" t="s">
        <v>172</v>
      </c>
      <c r="D31" s="242"/>
      <c r="E31" s="242"/>
      <c r="F31" s="242"/>
      <c r="G31" s="242"/>
      <c r="H31" s="242"/>
      <c r="I31" s="242"/>
      <c r="J31" s="243"/>
      <c r="K31" s="343">
        <f>IF(K30&lt;=500000, ,IF(K30&gt;3000000000,50%,IF(K30&gt;1000000000,40%,IF(K30&gt;500000000,0.3,IF(K30&gt;100000000,0.2,IF(K30&gt;0,0.1,0))))))</f>
        <v>0</v>
      </c>
      <c r="L31" s="344"/>
      <c r="M31" s="344"/>
      <c r="N31" s="345"/>
      <c r="O31" s="218"/>
      <c r="P31" s="219"/>
      <c r="Q31" s="219"/>
      <c r="R31" s="219"/>
      <c r="S31" s="219"/>
      <c r="T31" s="219"/>
      <c r="U31" s="219"/>
      <c r="V31" s="219"/>
      <c r="W31" s="219"/>
      <c r="X31" s="219"/>
      <c r="Y31" s="219"/>
      <c r="Z31" s="219"/>
      <c r="AA31" s="219"/>
      <c r="AB31" s="219"/>
    </row>
    <row r="32" spans="2:38" ht="25.5" customHeight="1" x14ac:dyDescent="0.25">
      <c r="B32" s="43" t="s">
        <v>727</v>
      </c>
      <c r="C32" s="242" t="s">
        <v>173</v>
      </c>
      <c r="D32" s="242"/>
      <c r="E32" s="242"/>
      <c r="F32" s="242"/>
      <c r="G32" s="242"/>
      <c r="H32" s="242"/>
      <c r="I32" s="242"/>
      <c r="J32" s="243"/>
      <c r="K32" s="255">
        <f>ROUNDDOWN(IF(K30&lt;500000,0,IF(K30&lt;=100000000,K30*0.1,IF(K30&lt;=500000000,K30*0.2-10000000,IF(K30&lt;=1000000000,K30*0.3-60000000,IF(K30&lt;=3000000000,K30*0.4-160000000,K30*0.5-460000000))))),-1)</f>
        <v>0</v>
      </c>
      <c r="L32" s="255"/>
      <c r="M32" s="255"/>
      <c r="N32" s="255"/>
      <c r="O32" s="222">
        <f>EOMONTH(증여일,3)</f>
        <v>45412</v>
      </c>
      <c r="P32" s="223"/>
      <c r="Q32" s="223"/>
      <c r="R32" s="223"/>
      <c r="S32" s="223"/>
      <c r="T32" s="223"/>
      <c r="U32" s="223"/>
      <c r="V32" s="223"/>
      <c r="W32" s="223"/>
      <c r="X32" s="223"/>
      <c r="Y32" s="223"/>
      <c r="Z32" s="223"/>
      <c r="AA32" s="223"/>
      <c r="AB32" s="223"/>
    </row>
    <row r="33" spans="1:36" ht="25.5" customHeight="1" x14ac:dyDescent="0.25">
      <c r="B33" s="43" t="s">
        <v>485</v>
      </c>
      <c r="C33" s="250" t="s">
        <v>728</v>
      </c>
      <c r="D33" s="242"/>
      <c r="E33" s="242"/>
      <c r="F33" s="242"/>
      <c r="G33" s="242"/>
      <c r="H33" s="242"/>
      <c r="I33" s="242"/>
      <c r="J33" s="243"/>
      <c r="K33" s="342">
        <f>K32*VLOOKUP(증여내용입력!D15,자료!A11:B14,2,FALSE)</f>
        <v>0</v>
      </c>
      <c r="L33" s="342"/>
      <c r="M33" s="342"/>
      <c r="N33" s="342"/>
      <c r="O33" s="220" t="s">
        <v>854</v>
      </c>
      <c r="P33" s="221"/>
      <c r="Q33" s="221"/>
      <c r="R33" s="221"/>
      <c r="S33" s="221"/>
      <c r="T33" s="221"/>
      <c r="U33" s="221"/>
      <c r="V33" s="221"/>
      <c r="W33" s="221"/>
      <c r="X33" s="221"/>
      <c r="Y33" s="221"/>
      <c r="Z33" s="221"/>
      <c r="AA33" s="221"/>
      <c r="AB33" s="221"/>
    </row>
    <row r="34" spans="1:36" ht="25.5" customHeight="1" x14ac:dyDescent="0.25">
      <c r="B34" s="43" t="s">
        <v>486</v>
      </c>
      <c r="C34" s="242" t="s">
        <v>729</v>
      </c>
      <c r="D34" s="242"/>
      <c r="E34" s="242"/>
      <c r="F34" s="242"/>
      <c r="G34" s="242"/>
      <c r="H34" s="242"/>
      <c r="I34" s="242"/>
      <c r="J34" s="243"/>
      <c r="K34" s="274">
        <f>K32+K33</f>
        <v>0</v>
      </c>
      <c r="L34" s="274"/>
      <c r="M34" s="274"/>
      <c r="N34" s="274"/>
      <c r="O34" s="377" t="s">
        <v>851</v>
      </c>
      <c r="P34" s="378"/>
      <c r="Q34" s="378"/>
      <c r="R34" s="378"/>
      <c r="S34" s="378"/>
      <c r="T34" s="378"/>
      <c r="U34" s="378"/>
      <c r="V34" s="378"/>
      <c r="W34" s="378"/>
      <c r="X34" s="378"/>
      <c r="Y34" s="378"/>
      <c r="Z34" s="378"/>
      <c r="AA34" s="378"/>
      <c r="AB34" s="378"/>
    </row>
    <row r="35" spans="1:36" ht="25.5" customHeight="1" x14ac:dyDescent="0.25">
      <c r="B35" s="179" t="s">
        <v>487</v>
      </c>
      <c r="C35" s="242" t="s">
        <v>730</v>
      </c>
      <c r="D35" s="242"/>
      <c r="E35" s="242"/>
      <c r="F35" s="242"/>
      <c r="G35" s="242"/>
      <c r="H35" s="242"/>
      <c r="I35" s="242"/>
      <c r="J35" s="243"/>
      <c r="K35" s="256"/>
      <c r="L35" s="256"/>
      <c r="M35" s="256"/>
      <c r="N35" s="256"/>
      <c r="O35" s="379"/>
      <c r="P35" s="380"/>
      <c r="Q35" s="380"/>
      <c r="R35" s="380"/>
      <c r="S35" s="380"/>
      <c r="T35" s="380"/>
      <c r="U35" s="380"/>
      <c r="V35" s="380"/>
      <c r="W35" s="380"/>
      <c r="X35" s="380"/>
      <c r="Y35" s="380"/>
      <c r="Z35" s="380"/>
      <c r="AA35" s="380"/>
      <c r="AB35" s="380"/>
    </row>
    <row r="36" spans="1:36" ht="25.5" customHeight="1" x14ac:dyDescent="0.25">
      <c r="B36" s="145" t="s">
        <v>488</v>
      </c>
      <c r="C36" s="374" t="s">
        <v>731</v>
      </c>
      <c r="D36" s="374"/>
      <c r="E36" s="374"/>
      <c r="F36" s="374"/>
      <c r="G36" s="374"/>
      <c r="H36" s="374"/>
      <c r="I36" s="374"/>
      <c r="J36" s="375"/>
      <c r="K36" s="376"/>
      <c r="L36" s="376"/>
      <c r="M36" s="376"/>
      <c r="N36" s="376"/>
      <c r="O36" s="364"/>
      <c r="P36" s="365"/>
      <c r="Q36" s="365"/>
      <c r="R36" s="365"/>
      <c r="S36" s="365"/>
      <c r="T36" s="363" t="s">
        <v>740</v>
      </c>
      <c r="U36" s="363"/>
      <c r="V36" s="363"/>
      <c r="W36" s="363"/>
      <c r="X36" s="363"/>
      <c r="Y36" s="363"/>
      <c r="Z36" s="363"/>
      <c r="AA36" s="363"/>
      <c r="AB36" s="363"/>
    </row>
    <row r="37" spans="1:36" ht="7.5" customHeight="1" x14ac:dyDescent="0.25">
      <c r="B37" s="146"/>
      <c r="C37" s="147"/>
      <c r="D37" s="147"/>
      <c r="E37" s="147"/>
      <c r="F37" s="147"/>
      <c r="G37" s="147"/>
      <c r="H37" s="147"/>
      <c r="I37" s="147"/>
      <c r="J37" s="147"/>
      <c r="K37" s="148"/>
      <c r="L37" s="148"/>
      <c r="M37" s="148"/>
      <c r="N37" s="149"/>
      <c r="O37" s="150"/>
      <c r="P37" s="150"/>
      <c r="Q37" s="150"/>
      <c r="R37" s="150"/>
      <c r="S37" s="150"/>
      <c r="T37" s="150"/>
      <c r="U37" s="150"/>
      <c r="V37" s="150"/>
      <c r="W37" s="150"/>
      <c r="X37" s="150"/>
      <c r="Y37" s="150"/>
      <c r="Z37" s="150"/>
      <c r="AA37" s="150"/>
      <c r="AB37" s="150"/>
    </row>
    <row r="38" spans="1:36" ht="30" customHeight="1" x14ac:dyDescent="0.25">
      <c r="B38" s="359" t="s">
        <v>738</v>
      </c>
      <c r="C38" s="360"/>
      <c r="D38" s="360"/>
      <c r="E38" s="257"/>
      <c r="F38" s="368" t="s">
        <v>741</v>
      </c>
      <c r="G38" s="369"/>
      <c r="H38" s="369"/>
      <c r="I38" s="369"/>
      <c r="J38" s="369"/>
      <c r="K38" s="369"/>
      <c r="L38" s="369"/>
      <c r="M38" s="369"/>
      <c r="N38" s="369"/>
      <c r="O38" s="369"/>
      <c r="P38" s="369"/>
      <c r="Q38" s="369"/>
      <c r="R38" s="369"/>
      <c r="S38" s="369"/>
      <c r="T38" s="369"/>
      <c r="U38" s="369"/>
      <c r="V38" s="369"/>
      <c r="W38" s="369"/>
      <c r="X38" s="370"/>
      <c r="Y38" s="366" t="s">
        <v>502</v>
      </c>
      <c r="Z38" s="317"/>
      <c r="AA38" s="317"/>
      <c r="AB38" s="317"/>
    </row>
    <row r="39" spans="1:36" s="151" customFormat="1" ht="29.25" customHeight="1" x14ac:dyDescent="0.25">
      <c r="B39" s="361" t="s">
        <v>739</v>
      </c>
      <c r="C39" s="361"/>
      <c r="D39" s="361"/>
      <c r="E39" s="362"/>
      <c r="F39" s="371" t="s">
        <v>742</v>
      </c>
      <c r="G39" s="372"/>
      <c r="H39" s="372"/>
      <c r="I39" s="372"/>
      <c r="J39" s="372"/>
      <c r="K39" s="372"/>
      <c r="L39" s="372"/>
      <c r="M39" s="372"/>
      <c r="N39" s="372"/>
      <c r="O39" s="372"/>
      <c r="P39" s="372"/>
      <c r="Q39" s="372"/>
      <c r="R39" s="372"/>
      <c r="S39" s="372"/>
      <c r="T39" s="372"/>
      <c r="U39" s="372"/>
      <c r="V39" s="372"/>
      <c r="W39" s="372"/>
      <c r="X39" s="373"/>
      <c r="Y39" s="367"/>
      <c r="Z39" s="321"/>
      <c r="AA39" s="321"/>
      <c r="AB39" s="321"/>
      <c r="AI39" s="37"/>
      <c r="AJ39" s="37"/>
    </row>
    <row r="40" spans="1:36" ht="6" customHeight="1" x14ac:dyDescent="0.25"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</row>
    <row r="41" spans="1:36" ht="28.5" customHeight="1" x14ac:dyDescent="0.25">
      <c r="B41" s="356" t="s">
        <v>499</v>
      </c>
      <c r="C41" s="356"/>
      <c r="D41" s="356"/>
      <c r="E41" s="356"/>
      <c r="F41" s="356"/>
      <c r="G41" s="356"/>
      <c r="H41" s="356"/>
      <c r="I41" s="356"/>
      <c r="J41" s="356"/>
      <c r="K41" s="356"/>
      <c r="L41" s="356"/>
      <c r="M41" s="356"/>
      <c r="N41" s="356"/>
      <c r="O41" s="356"/>
      <c r="P41" s="356"/>
      <c r="Q41" s="356"/>
      <c r="R41" s="356"/>
      <c r="S41" s="356"/>
      <c r="T41" s="356"/>
      <c r="U41" s="356"/>
      <c r="V41" s="356"/>
      <c r="W41" s="356"/>
      <c r="X41" s="356"/>
      <c r="Y41" s="356"/>
      <c r="Z41" s="356"/>
      <c r="AA41" s="356"/>
      <c r="AB41" s="356"/>
    </row>
    <row r="42" spans="1:36" ht="27" customHeight="1" x14ac:dyDescent="0.25">
      <c r="A42" s="108"/>
      <c r="B42" s="357" t="s">
        <v>500</v>
      </c>
      <c r="C42" s="357"/>
      <c r="D42" s="357"/>
      <c r="E42" s="357"/>
      <c r="F42" s="357"/>
      <c r="G42" s="357"/>
      <c r="H42" s="357"/>
      <c r="I42" s="357"/>
      <c r="J42" s="357"/>
      <c r="K42" s="357"/>
      <c r="L42" s="357"/>
      <c r="M42" s="357"/>
      <c r="N42" s="357"/>
      <c r="O42" s="357"/>
      <c r="P42" s="357"/>
      <c r="Q42" s="357"/>
      <c r="R42" s="357"/>
      <c r="S42" s="357"/>
      <c r="T42" s="357"/>
      <c r="U42" s="357"/>
      <c r="V42" s="357"/>
      <c r="W42" s="357"/>
      <c r="X42" s="357"/>
      <c r="Y42" s="357"/>
      <c r="Z42" s="357"/>
      <c r="AA42" s="357"/>
      <c r="AB42" s="358"/>
    </row>
    <row r="43" spans="1:36" ht="18" customHeight="1" x14ac:dyDescent="0.25">
      <c r="A43" s="108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327" t="s">
        <v>501</v>
      </c>
      <c r="R43" s="327"/>
      <c r="S43" s="327"/>
      <c r="T43" s="328" t="str">
        <f>G7</f>
        <v>김자녀</v>
      </c>
      <c r="U43" s="328"/>
      <c r="V43" s="328"/>
      <c r="W43" s="328"/>
      <c r="X43" s="329" t="s">
        <v>186</v>
      </c>
      <c r="Y43" s="329"/>
      <c r="Z43" s="329"/>
      <c r="AA43" s="329"/>
      <c r="AB43" s="330"/>
    </row>
    <row r="44" spans="1:36" ht="15.75" customHeight="1" x14ac:dyDescent="0.25">
      <c r="A44" s="108"/>
      <c r="AB44" s="109"/>
    </row>
  </sheetData>
  <sheetProtection algorithmName="SHA-512" hashValue="rZ/NvI4TGtO0ama3AUUPwoFddDag8i259FAlOUnSyk9tFe1qCJIsZaY1VXX5CuatZFfw7aT89Jl3X81LhXkOwA==" saltValue="MbbKOK2LxUa1Wl1M88Pczg==" spinCount="100000" sheet="1" selectLockedCells="1"/>
  <mergeCells count="143">
    <mergeCell ref="C23:J23"/>
    <mergeCell ref="C28:J28"/>
    <mergeCell ref="K28:N28"/>
    <mergeCell ref="C22:J22"/>
    <mergeCell ref="B41:AB41"/>
    <mergeCell ref="B42:AB42"/>
    <mergeCell ref="B38:E38"/>
    <mergeCell ref="B39:E39"/>
    <mergeCell ref="T36:AB36"/>
    <mergeCell ref="O36:S36"/>
    <mergeCell ref="Y38:AB39"/>
    <mergeCell ref="F38:X38"/>
    <mergeCell ref="F39:X39"/>
    <mergeCell ref="C36:J36"/>
    <mergeCell ref="K36:N36"/>
    <mergeCell ref="Q28:S28"/>
    <mergeCell ref="Q29:S29"/>
    <mergeCell ref="O34:AB35"/>
    <mergeCell ref="K27:N27"/>
    <mergeCell ref="B25:C27"/>
    <mergeCell ref="K25:N25"/>
    <mergeCell ref="E26:J26"/>
    <mergeCell ref="E27:J27"/>
    <mergeCell ref="AC21:AD21"/>
    <mergeCell ref="X19:AB19"/>
    <mergeCell ref="Q19:W19"/>
    <mergeCell ref="C32:J32"/>
    <mergeCell ref="K32:N32"/>
    <mergeCell ref="C33:J33"/>
    <mergeCell ref="K33:N33"/>
    <mergeCell ref="C34:J34"/>
    <mergeCell ref="K34:N34"/>
    <mergeCell ref="C29:J29"/>
    <mergeCell ref="K29:N29"/>
    <mergeCell ref="C30:J30"/>
    <mergeCell ref="K30:N30"/>
    <mergeCell ref="C31:J31"/>
    <mergeCell ref="K31:N31"/>
    <mergeCell ref="P22:W22"/>
    <mergeCell ref="E25:J25"/>
    <mergeCell ref="X25:AB25"/>
    <mergeCell ref="P25:W25"/>
    <mergeCell ref="O26:S26"/>
    <mergeCell ref="T26:W26"/>
    <mergeCell ref="P27:S27"/>
    <mergeCell ref="T27:W27"/>
    <mergeCell ref="O28:O29"/>
    <mergeCell ref="X18:AB18"/>
    <mergeCell ref="Q20:W20"/>
    <mergeCell ref="Q43:S43"/>
    <mergeCell ref="T43:W43"/>
    <mergeCell ref="X43:AB43"/>
    <mergeCell ref="C17:J17"/>
    <mergeCell ref="K17:N17"/>
    <mergeCell ref="X17:AB17"/>
    <mergeCell ref="X22:AB22"/>
    <mergeCell ref="X27:AB27"/>
    <mergeCell ref="T28:W28"/>
    <mergeCell ref="X28:AB28"/>
    <mergeCell ref="T29:W29"/>
    <mergeCell ref="X29:AB29"/>
    <mergeCell ref="X23:AB23"/>
    <mergeCell ref="X24:AB24"/>
    <mergeCell ref="X26:AB26"/>
    <mergeCell ref="K26:N26"/>
    <mergeCell ref="K18:N18"/>
    <mergeCell ref="K20:N20"/>
    <mergeCell ref="E21:J21"/>
    <mergeCell ref="C35:J35"/>
    <mergeCell ref="K35:N35"/>
    <mergeCell ref="K21:N21"/>
    <mergeCell ref="O17:O21"/>
    <mergeCell ref="B3:AB3"/>
    <mergeCell ref="G7:J7"/>
    <mergeCell ref="D7:F7"/>
    <mergeCell ref="D8:F8"/>
    <mergeCell ref="K7:N7"/>
    <mergeCell ref="T7:W7"/>
    <mergeCell ref="T8:W8"/>
    <mergeCell ref="AA6:AB6"/>
    <mergeCell ref="O7:S7"/>
    <mergeCell ref="X8:AB8"/>
    <mergeCell ref="B5:AA5"/>
    <mergeCell ref="I4:U4"/>
    <mergeCell ref="B4:C4"/>
    <mergeCell ref="D4:F4"/>
    <mergeCell ref="B7:C9"/>
    <mergeCell ref="D9:F9"/>
    <mergeCell ref="T9:W9"/>
    <mergeCell ref="O9:S9"/>
    <mergeCell ref="AA7:AB7"/>
    <mergeCell ref="I9:L9"/>
    <mergeCell ref="G8:S8"/>
    <mergeCell ref="K10:N10"/>
    <mergeCell ref="G10:J10"/>
    <mergeCell ref="B16:J16"/>
    <mergeCell ref="O10:S10"/>
    <mergeCell ref="T10:W10"/>
    <mergeCell ref="X10:AB10"/>
    <mergeCell ref="X9:AB9"/>
    <mergeCell ref="D10:F10"/>
    <mergeCell ref="B10:C12"/>
    <mergeCell ref="X20:AB20"/>
    <mergeCell ref="X11:Y11"/>
    <mergeCell ref="X12:Y12"/>
    <mergeCell ref="Z11:AB11"/>
    <mergeCell ref="Z12:AB12"/>
    <mergeCell ref="B13:C14"/>
    <mergeCell ref="D13:F13"/>
    <mergeCell ref="K13:N13"/>
    <mergeCell ref="O13:S13"/>
    <mergeCell ref="G13:J13"/>
    <mergeCell ref="D14:F14"/>
    <mergeCell ref="G14:H14"/>
    <mergeCell ref="I14:N14"/>
    <mergeCell ref="O14:S14"/>
    <mergeCell ref="T14:AB14"/>
    <mergeCell ref="T13:W13"/>
    <mergeCell ref="X13:AB13"/>
    <mergeCell ref="Q17:W17"/>
    <mergeCell ref="K23:N23"/>
    <mergeCell ref="O30:AB31"/>
    <mergeCell ref="O33:AB33"/>
    <mergeCell ref="O32:AB32"/>
    <mergeCell ref="D11:F12"/>
    <mergeCell ref="G11:S12"/>
    <mergeCell ref="T11:W12"/>
    <mergeCell ref="Q21:W21"/>
    <mergeCell ref="X16:AB16"/>
    <mergeCell ref="P24:W24"/>
    <mergeCell ref="P23:W23"/>
    <mergeCell ref="Q18:W18"/>
    <mergeCell ref="C18:J18"/>
    <mergeCell ref="B19:C21"/>
    <mergeCell ref="E19:J19"/>
    <mergeCell ref="K19:N19"/>
    <mergeCell ref="E20:J20"/>
    <mergeCell ref="K22:N22"/>
    <mergeCell ref="C24:J24"/>
    <mergeCell ref="K24:N24"/>
    <mergeCell ref="X21:AB21"/>
    <mergeCell ref="O16:W16"/>
    <mergeCell ref="K16:N16"/>
  </mergeCells>
  <phoneticPr fontId="12" type="noConversion"/>
  <printOptions horizontalCentered="1"/>
  <pageMargins left="0.59055118110236227" right="0.59055118110236227" top="0.78740157480314965" bottom="0.39370078740157483" header="0" footer="0"/>
  <pageSetup paperSize="9" scale="78" orientation="portrait" blackAndWhite="1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5B56-2A04-4883-AE65-5FA36AA8EB5F}">
  <sheetPr>
    <pageSetUpPr fitToPage="1"/>
  </sheetPr>
  <dimension ref="B2:T27"/>
  <sheetViews>
    <sheetView showGridLines="0" showRowColHeaders="0" topLeftCell="A9" workbookViewId="0">
      <selection activeCell="O8" sqref="O8:P8"/>
    </sheetView>
  </sheetViews>
  <sheetFormatPr defaultColWidth="8.9140625" defaultRowHeight="17" x14ac:dyDescent="0.25"/>
  <cols>
    <col min="1" max="1" width="3.33203125" style="93" customWidth="1"/>
    <col min="2" max="2" width="2.58203125" style="93" customWidth="1"/>
    <col min="3" max="3" width="7.4140625" style="93" customWidth="1"/>
    <col min="4" max="4" width="2.6640625" style="93" customWidth="1"/>
    <col min="5" max="5" width="8.4140625" style="93" customWidth="1"/>
    <col min="6" max="6" width="2.9140625" style="93" customWidth="1"/>
    <col min="7" max="7" width="5" style="93" customWidth="1"/>
    <col min="8" max="8" width="7.6640625" style="93" customWidth="1"/>
    <col min="9" max="9" width="8.9140625" style="93"/>
    <col min="10" max="10" width="14.33203125" style="93" customWidth="1"/>
    <col min="11" max="11" width="2.08203125" style="93" customWidth="1"/>
    <col min="12" max="12" width="13.08203125" style="93" customWidth="1"/>
    <col min="13" max="13" width="2.33203125" style="93" customWidth="1"/>
    <col min="14" max="14" width="6.6640625" style="93" customWidth="1"/>
    <col min="15" max="15" width="2.1640625" style="93" customWidth="1"/>
    <col min="16" max="16" width="6" style="93" customWidth="1"/>
    <col min="17" max="17" width="2.4140625" style="93" customWidth="1"/>
    <col min="18" max="18" width="8.08203125" style="93" customWidth="1"/>
    <col min="19" max="19" width="2.08203125" style="93" customWidth="1"/>
    <col min="20" max="20" width="8.58203125" style="93" customWidth="1"/>
    <col min="21" max="16384" width="8.9140625" style="93"/>
  </cols>
  <sheetData>
    <row r="2" spans="2:20" x14ac:dyDescent="0.25">
      <c r="B2" s="93" t="s">
        <v>747</v>
      </c>
    </row>
    <row r="3" spans="2:20" ht="31.5" customHeight="1" x14ac:dyDescent="0.25">
      <c r="J3" s="155" t="s">
        <v>849</v>
      </c>
    </row>
    <row r="4" spans="2:20" ht="17.25" customHeight="1" x14ac:dyDescent="0.25">
      <c r="B4" s="381" t="s">
        <v>748</v>
      </c>
      <c r="C4" s="382"/>
      <c r="D4" s="383" t="s">
        <v>749</v>
      </c>
      <c r="E4" s="382"/>
      <c r="F4" s="156"/>
      <c r="I4" s="155"/>
      <c r="J4" s="155"/>
    </row>
    <row r="5" spans="2:20" ht="11.25" customHeight="1" x14ac:dyDescent="0.25">
      <c r="B5" s="158"/>
      <c r="C5" s="158"/>
      <c r="D5" s="159"/>
      <c r="E5" s="158"/>
      <c r="F5" s="158"/>
      <c r="G5" s="160"/>
      <c r="H5" s="160"/>
      <c r="I5" s="161"/>
      <c r="J5" s="161"/>
      <c r="K5" s="160"/>
      <c r="L5" s="160"/>
      <c r="M5" s="160"/>
      <c r="N5" s="160"/>
      <c r="O5" s="160"/>
      <c r="P5" s="160"/>
      <c r="Q5" s="160"/>
      <c r="R5" s="160"/>
      <c r="S5" s="160"/>
      <c r="T5" s="160"/>
    </row>
    <row r="6" spans="2:20" x14ac:dyDescent="0.25">
      <c r="B6" s="384" t="s">
        <v>750</v>
      </c>
      <c r="C6" s="386" t="s">
        <v>762</v>
      </c>
      <c r="D6" s="388" t="s">
        <v>751</v>
      </c>
      <c r="E6" s="390" t="s">
        <v>763</v>
      </c>
      <c r="F6" s="401" t="s">
        <v>752</v>
      </c>
      <c r="G6" s="402"/>
      <c r="H6" s="402"/>
      <c r="I6" s="402"/>
      <c r="J6" s="403"/>
      <c r="K6" s="388" t="s">
        <v>753</v>
      </c>
      <c r="L6" s="390" t="s">
        <v>764</v>
      </c>
      <c r="M6" s="388" t="s">
        <v>754</v>
      </c>
      <c r="N6" s="390" t="s">
        <v>755</v>
      </c>
      <c r="O6" s="388" t="s">
        <v>756</v>
      </c>
      <c r="P6" s="399" t="s">
        <v>757</v>
      </c>
      <c r="Q6" s="391" t="s">
        <v>758</v>
      </c>
      <c r="R6" s="386" t="s">
        <v>759</v>
      </c>
      <c r="S6" s="391" t="s">
        <v>760</v>
      </c>
      <c r="T6" s="394" t="s">
        <v>765</v>
      </c>
    </row>
    <row r="7" spans="2:20" ht="27.75" customHeight="1" x14ac:dyDescent="0.25">
      <c r="B7" s="385"/>
      <c r="C7" s="387"/>
      <c r="D7" s="389"/>
      <c r="E7" s="387"/>
      <c r="F7" s="404" t="s">
        <v>766</v>
      </c>
      <c r="G7" s="387"/>
      <c r="H7" s="157" t="s">
        <v>767</v>
      </c>
      <c r="I7" s="396"/>
      <c r="J7" s="397"/>
      <c r="K7" s="392"/>
      <c r="L7" s="387"/>
      <c r="M7" s="392"/>
      <c r="N7" s="393"/>
      <c r="O7" s="392"/>
      <c r="P7" s="393"/>
      <c r="Q7" s="392"/>
      <c r="R7" s="393"/>
      <c r="S7" s="392"/>
      <c r="T7" s="395"/>
    </row>
    <row r="8" spans="2:20" x14ac:dyDescent="0.25">
      <c r="B8" s="393" t="str">
        <f>VLOOKUP(증여내용입력!F18,자료!A36:D40,3,FALSE)</f>
        <v>A11</v>
      </c>
      <c r="C8" s="398"/>
      <c r="D8" s="400">
        <f>VLOOKUP(증여내용입력!F18,자료!A42:D46,3,FALSE)</f>
        <v>10</v>
      </c>
      <c r="E8" s="393"/>
      <c r="F8" s="405" t="s">
        <v>791</v>
      </c>
      <c r="G8" s="406"/>
      <c r="H8" s="168"/>
      <c r="I8" s="405" t="s">
        <v>855</v>
      </c>
      <c r="J8" s="406"/>
      <c r="K8" s="434" t="s">
        <v>856</v>
      </c>
      <c r="L8" s="435"/>
      <c r="M8" s="411">
        <f>Q8/O8</f>
        <v>2500</v>
      </c>
      <c r="N8" s="412"/>
      <c r="O8" s="409">
        <v>20000</v>
      </c>
      <c r="P8" s="410"/>
      <c r="Q8" s="407">
        <f>증여내용입력!E18</f>
        <v>50000000</v>
      </c>
      <c r="R8" s="408"/>
      <c r="S8" s="400" t="str">
        <f>VLOOKUP(증여내용입력!F18,자료!A42:D46,4,FALSE)</f>
        <v>08</v>
      </c>
      <c r="T8" s="395"/>
    </row>
    <row r="9" spans="2:20" x14ac:dyDescent="0.25">
      <c r="B9" s="387">
        <f>VLOOKUP(증여내용입력!F19,자료!A36:D40,3,FALSE)</f>
        <v>0</v>
      </c>
      <c r="C9" s="415"/>
      <c r="D9" s="404">
        <f>VLOOKUP(증여내용입력!F19,자료!A42:D46,3,FALSE)</f>
        <v>0</v>
      </c>
      <c r="E9" s="387"/>
      <c r="F9" s="400" t="s">
        <v>761</v>
      </c>
      <c r="G9" s="393"/>
      <c r="H9" s="168"/>
      <c r="I9" s="400"/>
      <c r="J9" s="393"/>
      <c r="K9" s="400"/>
      <c r="L9" s="393"/>
      <c r="M9" s="411"/>
      <c r="N9" s="412"/>
      <c r="O9" s="411"/>
      <c r="P9" s="412"/>
      <c r="Q9" s="407"/>
      <c r="R9" s="408"/>
      <c r="S9" s="400">
        <f>VLOOKUP(증여내용입력!F19,자료!A42:D46,4,FALSE)</f>
        <v>0</v>
      </c>
      <c r="T9" s="395"/>
    </row>
    <row r="10" spans="2:20" x14ac:dyDescent="0.25">
      <c r="B10" s="387">
        <f>VLOOKUP(증여내용입력!F20,자료!A36:D40,3,FALSE)</f>
        <v>0</v>
      </c>
      <c r="C10" s="415"/>
      <c r="D10" s="404">
        <f>VLOOKUP(증여내용입력!F20,자료!A42:D46,3,FALSE)</f>
        <v>0</v>
      </c>
      <c r="E10" s="387"/>
      <c r="F10" s="400" t="s">
        <v>761</v>
      </c>
      <c r="G10" s="393"/>
      <c r="H10" s="168"/>
      <c r="I10" s="400"/>
      <c r="J10" s="393"/>
      <c r="K10" s="400"/>
      <c r="L10" s="393"/>
      <c r="M10" s="411"/>
      <c r="N10" s="412"/>
      <c r="O10" s="411"/>
      <c r="P10" s="412"/>
      <c r="Q10" s="407"/>
      <c r="R10" s="408"/>
      <c r="S10" s="400">
        <f>VLOOKUP(증여내용입력!F20,자료!A42:D46,4,FALSE)</f>
        <v>0</v>
      </c>
      <c r="T10" s="395"/>
    </row>
    <row r="11" spans="2:20" x14ac:dyDescent="0.25">
      <c r="B11" s="387">
        <f>VLOOKUP(증여내용입력!F21,자료!A36:D40,3,FALSE)</f>
        <v>0</v>
      </c>
      <c r="C11" s="415"/>
      <c r="D11" s="404">
        <f>VLOOKUP(증여내용입력!F21,자료!A42:D46,3,FALSE)</f>
        <v>0</v>
      </c>
      <c r="E11" s="387"/>
      <c r="F11" s="400" t="s">
        <v>761</v>
      </c>
      <c r="G11" s="393"/>
      <c r="H11" s="168"/>
      <c r="I11" s="400"/>
      <c r="J11" s="393"/>
      <c r="K11" s="400"/>
      <c r="L11" s="393"/>
      <c r="M11" s="411"/>
      <c r="N11" s="412"/>
      <c r="O11" s="411"/>
      <c r="P11" s="412"/>
      <c r="Q11" s="407"/>
      <c r="R11" s="408"/>
      <c r="S11" s="400">
        <f>VLOOKUP(증여내용입력!F21,자료!A42:D46,4,FALSE)</f>
        <v>0</v>
      </c>
      <c r="T11" s="395"/>
    </row>
    <row r="12" spans="2:20" x14ac:dyDescent="0.25">
      <c r="B12" s="393"/>
      <c r="C12" s="398"/>
      <c r="D12" s="400"/>
      <c r="E12" s="393"/>
      <c r="F12" s="400" t="s">
        <v>761</v>
      </c>
      <c r="G12" s="393"/>
      <c r="H12" s="168"/>
      <c r="I12" s="400"/>
      <c r="J12" s="393"/>
      <c r="K12" s="400"/>
      <c r="L12" s="393"/>
      <c r="M12" s="411"/>
      <c r="N12" s="412"/>
      <c r="O12" s="411"/>
      <c r="P12" s="412"/>
      <c r="Q12" s="407"/>
      <c r="R12" s="408"/>
      <c r="S12" s="400"/>
      <c r="T12" s="395"/>
    </row>
    <row r="13" spans="2:20" x14ac:dyDescent="0.25">
      <c r="B13" s="393"/>
      <c r="C13" s="398"/>
      <c r="D13" s="400"/>
      <c r="E13" s="393"/>
      <c r="F13" s="400" t="s">
        <v>761</v>
      </c>
      <c r="G13" s="393"/>
      <c r="H13" s="168"/>
      <c r="I13" s="400"/>
      <c r="J13" s="393"/>
      <c r="K13" s="400"/>
      <c r="L13" s="393"/>
      <c r="M13" s="411"/>
      <c r="N13" s="412"/>
      <c r="O13" s="411"/>
      <c r="P13" s="412"/>
      <c r="Q13" s="407"/>
      <c r="R13" s="408"/>
      <c r="S13" s="400"/>
      <c r="T13" s="395"/>
    </row>
    <row r="14" spans="2:20" x14ac:dyDescent="0.25">
      <c r="B14" s="393"/>
      <c r="C14" s="398"/>
      <c r="D14" s="400"/>
      <c r="E14" s="393"/>
      <c r="F14" s="400" t="s">
        <v>761</v>
      </c>
      <c r="G14" s="393"/>
      <c r="H14" s="168"/>
      <c r="I14" s="400"/>
      <c r="J14" s="393"/>
      <c r="K14" s="400"/>
      <c r="L14" s="393"/>
      <c r="M14" s="411"/>
      <c r="N14" s="412"/>
      <c r="O14" s="411"/>
      <c r="P14" s="412"/>
      <c r="Q14" s="407"/>
      <c r="R14" s="408"/>
      <c r="S14" s="400"/>
      <c r="T14" s="395"/>
    </row>
    <row r="15" spans="2:20" x14ac:dyDescent="0.25">
      <c r="B15" s="393"/>
      <c r="C15" s="398"/>
      <c r="D15" s="400"/>
      <c r="E15" s="393"/>
      <c r="F15" s="400" t="s">
        <v>761</v>
      </c>
      <c r="G15" s="393"/>
      <c r="H15" s="168"/>
      <c r="I15" s="400"/>
      <c r="J15" s="393"/>
      <c r="K15" s="400"/>
      <c r="L15" s="393"/>
      <c r="M15" s="411"/>
      <c r="N15" s="412"/>
      <c r="O15" s="411"/>
      <c r="P15" s="412"/>
      <c r="Q15" s="407"/>
      <c r="R15" s="408"/>
      <c r="S15" s="400"/>
      <c r="T15" s="395"/>
    </row>
    <row r="16" spans="2:20" x14ac:dyDescent="0.25">
      <c r="B16" s="393"/>
      <c r="C16" s="398"/>
      <c r="D16" s="400"/>
      <c r="E16" s="393"/>
      <c r="F16" s="400" t="s">
        <v>761</v>
      </c>
      <c r="G16" s="393"/>
      <c r="H16" s="168"/>
      <c r="I16" s="400"/>
      <c r="J16" s="393"/>
      <c r="K16" s="400"/>
      <c r="L16" s="393"/>
      <c r="M16" s="411"/>
      <c r="N16" s="412"/>
      <c r="O16" s="411"/>
      <c r="P16" s="412"/>
      <c r="Q16" s="407"/>
      <c r="R16" s="408"/>
      <c r="S16" s="400"/>
      <c r="T16" s="395"/>
    </row>
    <row r="17" spans="2:20" x14ac:dyDescent="0.25">
      <c r="B17" s="413"/>
      <c r="C17" s="414"/>
      <c r="D17" s="416"/>
      <c r="E17" s="414"/>
      <c r="F17" s="400" t="s">
        <v>761</v>
      </c>
      <c r="G17" s="393"/>
      <c r="H17" s="169"/>
      <c r="I17" s="416"/>
      <c r="J17" s="414"/>
      <c r="K17" s="416"/>
      <c r="L17" s="414"/>
      <c r="M17" s="432"/>
      <c r="N17" s="433"/>
      <c r="O17" s="432"/>
      <c r="P17" s="433"/>
      <c r="Q17" s="430"/>
      <c r="R17" s="431"/>
      <c r="S17" s="422"/>
      <c r="T17" s="423"/>
    </row>
    <row r="18" spans="2:20" ht="6.75" customHeight="1" x14ac:dyDescent="0.25">
      <c r="B18" s="163"/>
      <c r="C18" s="163"/>
      <c r="D18" s="163"/>
      <c r="E18" s="163"/>
      <c r="F18" s="163"/>
      <c r="G18" s="163"/>
      <c r="H18" s="163"/>
      <c r="I18" s="163"/>
      <c r="J18" s="163"/>
      <c r="K18" s="163"/>
      <c r="L18" s="163"/>
      <c r="M18" s="163"/>
      <c r="N18" s="163"/>
      <c r="O18" s="163"/>
      <c r="P18" s="163"/>
      <c r="Q18" s="162"/>
      <c r="R18" s="162"/>
      <c r="S18" s="163"/>
      <c r="T18" s="163"/>
    </row>
    <row r="19" spans="2:20" x14ac:dyDescent="0.25">
      <c r="B19" s="449" t="s">
        <v>781</v>
      </c>
      <c r="C19" s="443"/>
      <c r="D19" s="164" t="s">
        <v>768</v>
      </c>
      <c r="E19" s="424" t="s">
        <v>0</v>
      </c>
      <c r="F19" s="425"/>
      <c r="G19" s="425"/>
      <c r="H19" s="425"/>
      <c r="I19" s="425"/>
      <c r="J19" s="452">
        <f>'1. 증여세신고서'!K17</f>
        <v>50000000</v>
      </c>
      <c r="K19" s="453"/>
      <c r="L19" s="453"/>
      <c r="M19" s="453"/>
      <c r="N19" s="453"/>
      <c r="O19" s="453"/>
      <c r="P19" s="454"/>
      <c r="Q19" s="443"/>
      <c r="R19" s="443"/>
      <c r="S19" s="443"/>
      <c r="T19" s="444"/>
    </row>
    <row r="20" spans="2:20" x14ac:dyDescent="0.25">
      <c r="B20" s="450"/>
      <c r="C20" s="445"/>
      <c r="D20" s="165" t="s">
        <v>769</v>
      </c>
      <c r="E20" s="426" t="s">
        <v>770</v>
      </c>
      <c r="F20" s="427"/>
      <c r="G20" s="427"/>
      <c r="H20" s="427"/>
      <c r="I20" s="427"/>
      <c r="J20" s="417">
        <f>'1. 증여세신고서'!K18</f>
        <v>0</v>
      </c>
      <c r="K20" s="418"/>
      <c r="L20" s="418"/>
      <c r="M20" s="418"/>
      <c r="N20" s="418"/>
      <c r="O20" s="418"/>
      <c r="P20" s="419"/>
      <c r="Q20" s="445"/>
      <c r="R20" s="445"/>
      <c r="S20" s="445"/>
      <c r="T20" s="392"/>
    </row>
    <row r="21" spans="2:20" x14ac:dyDescent="0.25">
      <c r="B21" s="450"/>
      <c r="C21" s="445"/>
      <c r="D21" s="415" t="s">
        <v>771</v>
      </c>
      <c r="E21" s="398"/>
      <c r="F21" s="166" t="s">
        <v>772</v>
      </c>
      <c r="G21" s="426" t="s">
        <v>775</v>
      </c>
      <c r="H21" s="427"/>
      <c r="I21" s="427"/>
      <c r="J21" s="417">
        <f>'1. 증여세신고서'!K19</f>
        <v>0</v>
      </c>
      <c r="K21" s="418"/>
      <c r="L21" s="418"/>
      <c r="M21" s="418"/>
      <c r="N21" s="418"/>
      <c r="O21" s="418"/>
      <c r="P21" s="419"/>
      <c r="Q21" s="445"/>
      <c r="R21" s="445"/>
      <c r="S21" s="445"/>
      <c r="T21" s="392"/>
    </row>
    <row r="22" spans="2:20" x14ac:dyDescent="0.25">
      <c r="B22" s="450"/>
      <c r="C22" s="445"/>
      <c r="D22" s="398"/>
      <c r="E22" s="398"/>
      <c r="F22" s="166" t="s">
        <v>773</v>
      </c>
      <c r="G22" s="426" t="s">
        <v>776</v>
      </c>
      <c r="H22" s="427"/>
      <c r="I22" s="427"/>
      <c r="J22" s="417">
        <f>'1. 증여세신고서'!K20</f>
        <v>0</v>
      </c>
      <c r="K22" s="418"/>
      <c r="L22" s="418"/>
      <c r="M22" s="418"/>
      <c r="N22" s="418"/>
      <c r="O22" s="418"/>
      <c r="P22" s="419"/>
      <c r="Q22" s="445"/>
      <c r="R22" s="445"/>
      <c r="S22" s="445"/>
      <c r="T22" s="392"/>
    </row>
    <row r="23" spans="2:20" x14ac:dyDescent="0.25">
      <c r="B23" s="450"/>
      <c r="C23" s="445"/>
      <c r="D23" s="398"/>
      <c r="E23" s="398"/>
      <c r="F23" s="166" t="s">
        <v>774</v>
      </c>
      <c r="G23" s="426" t="s">
        <v>777</v>
      </c>
      <c r="H23" s="427"/>
      <c r="I23" s="427"/>
      <c r="J23" s="417">
        <f>'1. 증여세신고서'!K21</f>
        <v>0</v>
      </c>
      <c r="K23" s="418"/>
      <c r="L23" s="418"/>
      <c r="M23" s="418"/>
      <c r="N23" s="418"/>
      <c r="O23" s="418"/>
      <c r="P23" s="419"/>
      <c r="Q23" s="445"/>
      <c r="R23" s="445"/>
      <c r="S23" s="445"/>
      <c r="T23" s="392"/>
    </row>
    <row r="24" spans="2:20" x14ac:dyDescent="0.25">
      <c r="B24" s="450"/>
      <c r="C24" s="445"/>
      <c r="D24" s="165" t="s">
        <v>778</v>
      </c>
      <c r="E24" s="426" t="s">
        <v>780</v>
      </c>
      <c r="F24" s="427"/>
      <c r="G24" s="427"/>
      <c r="H24" s="427"/>
      <c r="I24" s="427"/>
      <c r="J24" s="417">
        <f>'1. 증여세신고서'!K23</f>
        <v>0</v>
      </c>
      <c r="K24" s="418"/>
      <c r="L24" s="418"/>
      <c r="M24" s="418"/>
      <c r="N24" s="418"/>
      <c r="O24" s="418"/>
      <c r="P24" s="419"/>
      <c r="Q24" s="445"/>
      <c r="R24" s="445"/>
      <c r="S24" s="445"/>
      <c r="T24" s="392"/>
    </row>
    <row r="25" spans="2:20" x14ac:dyDescent="0.25">
      <c r="B25" s="451"/>
      <c r="C25" s="428"/>
      <c r="D25" s="167" t="s">
        <v>779</v>
      </c>
      <c r="E25" s="420" t="s">
        <v>156</v>
      </c>
      <c r="F25" s="421"/>
      <c r="G25" s="421"/>
      <c r="H25" s="421"/>
      <c r="I25" s="421"/>
      <c r="J25" s="446">
        <f>'1. 증여세신고서'!K24</f>
        <v>50000000</v>
      </c>
      <c r="K25" s="447"/>
      <c r="L25" s="447"/>
      <c r="M25" s="447"/>
      <c r="N25" s="447"/>
      <c r="O25" s="447"/>
      <c r="P25" s="448"/>
      <c r="Q25" s="428"/>
      <c r="R25" s="428"/>
      <c r="S25" s="428"/>
      <c r="T25" s="429"/>
    </row>
    <row r="26" spans="2:20" ht="8.25" customHeight="1" x14ac:dyDescent="0.25">
      <c r="B26" s="163"/>
      <c r="C26" s="163"/>
      <c r="D26" s="163"/>
      <c r="E26" s="163"/>
      <c r="F26" s="163"/>
      <c r="G26" s="163"/>
      <c r="H26" s="163"/>
      <c r="I26" s="163"/>
      <c r="J26" s="163"/>
      <c r="K26" s="163"/>
      <c r="L26" s="163"/>
      <c r="M26" s="163"/>
      <c r="N26" s="163"/>
      <c r="O26" s="163"/>
      <c r="P26" s="163"/>
      <c r="Q26" s="163"/>
      <c r="R26" s="163"/>
      <c r="S26" s="163"/>
      <c r="T26" s="163"/>
    </row>
    <row r="27" spans="2:20" ht="26.25" customHeight="1" x14ac:dyDescent="0.25">
      <c r="B27" s="436" t="s">
        <v>782</v>
      </c>
      <c r="C27" s="436"/>
      <c r="D27" s="436"/>
      <c r="E27" s="437"/>
      <c r="F27" s="438" t="s">
        <v>784</v>
      </c>
      <c r="G27" s="439"/>
      <c r="H27" s="439"/>
      <c r="I27" s="439"/>
      <c r="J27" s="439"/>
      <c r="K27" s="439"/>
      <c r="L27" s="439"/>
      <c r="M27" s="439"/>
      <c r="N27" s="439"/>
      <c r="O27" s="439"/>
      <c r="P27" s="439"/>
      <c r="Q27" s="439"/>
      <c r="R27" s="440"/>
      <c r="S27" s="441" t="s">
        <v>783</v>
      </c>
      <c r="T27" s="442"/>
    </row>
  </sheetData>
  <sheetProtection algorithmName="SHA-512" hashValue="3HiK/KcGhAvOxrEYYe+1CuM7wZgexxgc2TQwQmJ/LJX8z/GqjQ0Pgzhw7uH/PRMKqt/MPN4rBMg/s5BqWrSJ8g==" saltValue="dEL7JrAUfE6p5HlmNgLx5w==" spinCount="100000" sheet="1" objects="1" scenarios="1" selectLockedCells="1"/>
  <mergeCells count="142">
    <mergeCell ref="B27:E27"/>
    <mergeCell ref="F27:R27"/>
    <mergeCell ref="S27:T27"/>
    <mergeCell ref="S19:T19"/>
    <mergeCell ref="S20:T20"/>
    <mergeCell ref="S21:T21"/>
    <mergeCell ref="S22:T22"/>
    <mergeCell ref="S23:T23"/>
    <mergeCell ref="S24:T24"/>
    <mergeCell ref="J25:P25"/>
    <mergeCell ref="Q19:R19"/>
    <mergeCell ref="Q20:R20"/>
    <mergeCell ref="Q21:R21"/>
    <mergeCell ref="Q22:R22"/>
    <mergeCell ref="Q23:R23"/>
    <mergeCell ref="Q24:R24"/>
    <mergeCell ref="Q25:R25"/>
    <mergeCell ref="B19:C25"/>
    <mergeCell ref="J19:P19"/>
    <mergeCell ref="J20:P20"/>
    <mergeCell ref="J21:P21"/>
    <mergeCell ref="J22:P22"/>
    <mergeCell ref="J23:P23"/>
    <mergeCell ref="E24:I24"/>
    <mergeCell ref="M11:N11"/>
    <mergeCell ref="K8:L8"/>
    <mergeCell ref="K12:L12"/>
    <mergeCell ref="K13:L13"/>
    <mergeCell ref="K14:L14"/>
    <mergeCell ref="I8:J8"/>
    <mergeCell ref="I9:J9"/>
    <mergeCell ref="I10:J10"/>
    <mergeCell ref="I11:J11"/>
    <mergeCell ref="I12:J12"/>
    <mergeCell ref="I13:J13"/>
    <mergeCell ref="I14:J14"/>
    <mergeCell ref="M12:N12"/>
    <mergeCell ref="M13:N13"/>
    <mergeCell ref="M14:N14"/>
    <mergeCell ref="E25:I25"/>
    <mergeCell ref="S17:T17"/>
    <mergeCell ref="E19:I19"/>
    <mergeCell ref="E20:I20"/>
    <mergeCell ref="D21:E23"/>
    <mergeCell ref="G21:I21"/>
    <mergeCell ref="G22:I22"/>
    <mergeCell ref="G23:I23"/>
    <mergeCell ref="S25:T25"/>
    <mergeCell ref="Q17:R17"/>
    <mergeCell ref="O17:P17"/>
    <mergeCell ref="M17:N17"/>
    <mergeCell ref="K15:L15"/>
    <mergeCell ref="K16:L16"/>
    <mergeCell ref="K17:L17"/>
    <mergeCell ref="J24:P24"/>
    <mergeCell ref="F16:G16"/>
    <mergeCell ref="F17:G17"/>
    <mergeCell ref="I15:J15"/>
    <mergeCell ref="I16:J16"/>
    <mergeCell ref="I17:J17"/>
    <mergeCell ref="Q15:R15"/>
    <mergeCell ref="Q16:R16"/>
    <mergeCell ref="Q9:R9"/>
    <mergeCell ref="Q10:R10"/>
    <mergeCell ref="Q11:R11"/>
    <mergeCell ref="Q12:R12"/>
    <mergeCell ref="Q13:R13"/>
    <mergeCell ref="Q14:R14"/>
    <mergeCell ref="S9:T9"/>
    <mergeCell ref="S10:T10"/>
    <mergeCell ref="S11:T11"/>
    <mergeCell ref="S12:T12"/>
    <mergeCell ref="S13:T13"/>
    <mergeCell ref="S14:T14"/>
    <mergeCell ref="S15:T15"/>
    <mergeCell ref="S16:T16"/>
    <mergeCell ref="O9:P9"/>
    <mergeCell ref="O10:P10"/>
    <mergeCell ref="O11:P11"/>
    <mergeCell ref="O12:P12"/>
    <mergeCell ref="O13:P13"/>
    <mergeCell ref="O14:P14"/>
    <mergeCell ref="B15:C15"/>
    <mergeCell ref="B16:C16"/>
    <mergeCell ref="K9:L9"/>
    <mergeCell ref="K10:L10"/>
    <mergeCell ref="K11:L11"/>
    <mergeCell ref="F15:G15"/>
    <mergeCell ref="O15:P15"/>
    <mergeCell ref="O16:P16"/>
    <mergeCell ref="M15:N15"/>
    <mergeCell ref="M16:N16"/>
    <mergeCell ref="F9:G9"/>
    <mergeCell ref="F10:G10"/>
    <mergeCell ref="F11:G11"/>
    <mergeCell ref="F12:G12"/>
    <mergeCell ref="F13:G13"/>
    <mergeCell ref="F14:G14"/>
    <mergeCell ref="M9:N9"/>
    <mergeCell ref="M10:N10"/>
    <mergeCell ref="B17:C17"/>
    <mergeCell ref="D8:E8"/>
    <mergeCell ref="D9:E9"/>
    <mergeCell ref="D10:E10"/>
    <mergeCell ref="D11:E11"/>
    <mergeCell ref="D12:E12"/>
    <mergeCell ref="D13:E13"/>
    <mergeCell ref="D14:E14"/>
    <mergeCell ref="B9:C9"/>
    <mergeCell ref="B10:C10"/>
    <mergeCell ref="B11:C11"/>
    <mergeCell ref="B12:C12"/>
    <mergeCell ref="B13:C13"/>
    <mergeCell ref="B14:C14"/>
    <mergeCell ref="D15:E15"/>
    <mergeCell ref="D16:E16"/>
    <mergeCell ref="D17:E17"/>
    <mergeCell ref="T6:T7"/>
    <mergeCell ref="I7:J7"/>
    <mergeCell ref="B8:C8"/>
    <mergeCell ref="K6:K7"/>
    <mergeCell ref="L6:L7"/>
    <mergeCell ref="M6:M7"/>
    <mergeCell ref="N6:N7"/>
    <mergeCell ref="O6:O7"/>
    <mergeCell ref="P6:P7"/>
    <mergeCell ref="S8:T8"/>
    <mergeCell ref="F6:J6"/>
    <mergeCell ref="F7:G7"/>
    <mergeCell ref="F8:G8"/>
    <mergeCell ref="Q8:R8"/>
    <mergeCell ref="O8:P8"/>
    <mergeCell ref="M8:N8"/>
    <mergeCell ref="B4:C4"/>
    <mergeCell ref="D4:E4"/>
    <mergeCell ref="B6:B7"/>
    <mergeCell ref="C6:C7"/>
    <mergeCell ref="D6:D7"/>
    <mergeCell ref="E6:E7"/>
    <mergeCell ref="Q6:Q7"/>
    <mergeCell ref="R6:R7"/>
    <mergeCell ref="S6:S7"/>
  </mergeCells>
  <phoneticPr fontId="2" type="noConversion"/>
  <conditionalFormatting sqref="B9:E17">
    <cfRule type="cellIs" dxfId="1" priority="2" operator="equal">
      <formula>0</formula>
    </cfRule>
  </conditionalFormatting>
  <conditionalFormatting sqref="S9:T11">
    <cfRule type="cellIs" dxfId="0" priority="1" operator="equal">
      <formula>0</formula>
    </cfRule>
  </conditionalFormatting>
  <pageMargins left="0.25" right="0.25" top="0.75" bottom="0.75" header="0.3" footer="0.3"/>
  <pageSetup paperSize="9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59272-F646-4978-9FDC-45E786B6281A}">
  <dimension ref="B1:O19"/>
  <sheetViews>
    <sheetView showGridLines="0" showRowColHeaders="0" workbookViewId="0">
      <selection activeCell="J34" sqref="J34"/>
    </sheetView>
  </sheetViews>
  <sheetFormatPr defaultRowHeight="14" x14ac:dyDescent="0.25"/>
  <cols>
    <col min="1" max="1" width="4.08203125" customWidth="1"/>
    <col min="3" max="3" width="10.4140625" customWidth="1"/>
    <col min="4" max="5" width="10.6640625" customWidth="1"/>
    <col min="6" max="6" width="10.33203125" customWidth="1"/>
    <col min="7" max="7" width="10.08203125" customWidth="1"/>
    <col min="8" max="8" width="13.08203125" customWidth="1"/>
    <col min="9" max="9" width="12.1640625" customWidth="1"/>
    <col min="10" max="10" width="15.33203125" customWidth="1"/>
    <col min="11" max="11" width="11.58203125" customWidth="1"/>
  </cols>
  <sheetData>
    <row r="1" spans="2:15" ht="14.5" thickBot="1" x14ac:dyDescent="0.3"/>
    <row r="2" spans="2:15" ht="14.5" thickTop="1" x14ac:dyDescent="0.25">
      <c r="B2" s="458" t="s">
        <v>794</v>
      </c>
      <c r="C2" s="458"/>
      <c r="D2" s="458"/>
      <c r="E2" s="458"/>
      <c r="F2" s="458"/>
      <c r="G2" s="458"/>
      <c r="H2" s="458"/>
      <c r="I2" s="458"/>
      <c r="J2" s="458"/>
      <c r="K2" s="458"/>
      <c r="L2" s="458"/>
      <c r="M2" s="458"/>
      <c r="N2" s="458"/>
      <c r="O2" s="458"/>
    </row>
    <row r="3" spans="2:15" x14ac:dyDescent="0.25">
      <c r="B3" s="459" t="s">
        <v>830</v>
      </c>
      <c r="C3" s="459"/>
      <c r="D3" s="459"/>
      <c r="E3" s="459"/>
      <c r="F3" s="459"/>
      <c r="G3" s="459"/>
      <c r="H3" s="459"/>
      <c r="I3" s="459"/>
      <c r="J3" s="459"/>
      <c r="K3" s="459"/>
      <c r="L3" s="459"/>
      <c r="M3" s="459"/>
      <c r="N3" s="459"/>
      <c r="O3" s="459"/>
    </row>
    <row r="4" spans="2:15" ht="21" customHeight="1" x14ac:dyDescent="0.25">
      <c r="B4" s="461" t="s">
        <v>795</v>
      </c>
      <c r="C4" s="461" t="s">
        <v>796</v>
      </c>
      <c r="D4" s="456" t="s">
        <v>811</v>
      </c>
      <c r="E4" s="461" t="s">
        <v>797</v>
      </c>
      <c r="F4" s="456" t="s">
        <v>812</v>
      </c>
      <c r="G4" s="456" t="s">
        <v>813</v>
      </c>
      <c r="H4" s="456" t="s">
        <v>814</v>
      </c>
      <c r="I4" s="456" t="s">
        <v>815</v>
      </c>
      <c r="J4" s="456" t="s">
        <v>816</v>
      </c>
      <c r="K4" s="456" t="s">
        <v>817</v>
      </c>
    </row>
    <row r="5" spans="2:15" ht="21" customHeight="1" x14ac:dyDescent="0.25">
      <c r="B5" s="461"/>
      <c r="C5" s="461"/>
      <c r="D5" s="457"/>
      <c r="E5" s="461"/>
      <c r="F5" s="457"/>
      <c r="G5" s="457"/>
      <c r="H5" s="457"/>
      <c r="I5" s="457"/>
      <c r="J5" s="457"/>
      <c r="K5" s="457"/>
    </row>
    <row r="6" spans="2:15" x14ac:dyDescent="0.25">
      <c r="B6" s="172" t="s">
        <v>798</v>
      </c>
      <c r="C6" s="172" t="s">
        <v>789</v>
      </c>
      <c r="D6" s="172" t="s">
        <v>799</v>
      </c>
      <c r="E6" s="172" t="s">
        <v>800</v>
      </c>
      <c r="F6" s="172" t="s">
        <v>801</v>
      </c>
      <c r="G6" s="172" t="s">
        <v>802</v>
      </c>
      <c r="H6" s="172" t="s">
        <v>803</v>
      </c>
      <c r="I6" s="172" t="s">
        <v>804</v>
      </c>
      <c r="J6" s="172" t="s">
        <v>805</v>
      </c>
      <c r="K6" s="172" t="s">
        <v>806</v>
      </c>
    </row>
    <row r="7" spans="2:15" x14ac:dyDescent="0.25">
      <c r="B7" s="171"/>
      <c r="C7" s="171"/>
      <c r="D7" s="171"/>
      <c r="E7" s="171"/>
      <c r="F7" s="171"/>
      <c r="G7" s="171"/>
      <c r="H7" s="171"/>
      <c r="I7" s="171"/>
      <c r="J7" s="171"/>
      <c r="K7" s="171"/>
    </row>
    <row r="8" spans="2:15" x14ac:dyDescent="0.25">
      <c r="B8" s="460" t="s">
        <v>831</v>
      </c>
      <c r="C8" s="460"/>
      <c r="D8" s="460"/>
      <c r="E8" s="460"/>
      <c r="F8" s="460"/>
      <c r="G8" s="460"/>
      <c r="H8" s="460"/>
      <c r="I8" s="460"/>
      <c r="J8" s="460"/>
      <c r="K8" s="460"/>
      <c r="L8" s="460"/>
      <c r="M8" s="460"/>
      <c r="N8" s="460"/>
      <c r="O8" s="460"/>
    </row>
    <row r="9" spans="2:15" ht="28.5" x14ac:dyDescent="0.25">
      <c r="B9" s="172" t="s">
        <v>795</v>
      </c>
      <c r="C9" s="172" t="s">
        <v>785</v>
      </c>
      <c r="D9" s="172" t="s">
        <v>818</v>
      </c>
      <c r="E9" s="172" t="s">
        <v>819</v>
      </c>
      <c r="F9" s="172" t="s">
        <v>820</v>
      </c>
      <c r="G9" s="172" t="s">
        <v>821</v>
      </c>
      <c r="H9" s="172" t="s">
        <v>822</v>
      </c>
      <c r="I9" s="172" t="s">
        <v>823</v>
      </c>
      <c r="J9" s="172" t="s">
        <v>824</v>
      </c>
      <c r="K9" s="172" t="s">
        <v>825</v>
      </c>
      <c r="L9" s="172" t="s">
        <v>827</v>
      </c>
      <c r="M9" s="172" t="s">
        <v>828</v>
      </c>
      <c r="N9" s="172" t="s">
        <v>829</v>
      </c>
      <c r="O9" s="172" t="s">
        <v>807</v>
      </c>
    </row>
    <row r="10" spans="2:15" x14ac:dyDescent="0.25">
      <c r="B10" s="172" t="s">
        <v>798</v>
      </c>
      <c r="C10" s="172">
        <v>1</v>
      </c>
      <c r="D10" s="172">
        <v>2</v>
      </c>
      <c r="E10" s="172">
        <v>3</v>
      </c>
      <c r="F10" s="172">
        <v>4</v>
      </c>
      <c r="G10" s="172">
        <v>5</v>
      </c>
      <c r="H10" s="172">
        <v>6</v>
      </c>
      <c r="I10" s="172">
        <v>7</v>
      </c>
      <c r="J10" s="172">
        <v>8</v>
      </c>
      <c r="K10" s="172">
        <v>9</v>
      </c>
      <c r="L10" s="172">
        <v>10</v>
      </c>
      <c r="M10" s="172">
        <v>11</v>
      </c>
      <c r="N10" s="172">
        <v>12</v>
      </c>
      <c r="O10" s="172">
        <v>13</v>
      </c>
    </row>
    <row r="11" spans="2:15" x14ac:dyDescent="0.25">
      <c r="B11" s="460" t="s">
        <v>808</v>
      </c>
      <c r="C11" s="460"/>
      <c r="D11" s="460"/>
      <c r="E11" s="460"/>
      <c r="F11" s="460"/>
      <c r="G11" s="460"/>
      <c r="H11" s="460"/>
      <c r="I11" s="460"/>
      <c r="J11" s="460"/>
      <c r="K11" s="460"/>
      <c r="L11" s="460"/>
      <c r="M11" s="460"/>
      <c r="N11" s="460"/>
      <c r="O11" s="460"/>
    </row>
    <row r="12" spans="2:15" ht="21" customHeight="1" x14ac:dyDescent="0.25">
      <c r="B12" s="460" t="s">
        <v>832</v>
      </c>
      <c r="C12" s="460"/>
      <c r="D12" s="460"/>
      <c r="E12" s="460"/>
      <c r="F12" s="460"/>
      <c r="G12" s="460"/>
      <c r="H12" s="460"/>
      <c r="I12" s="460"/>
      <c r="J12" s="460"/>
      <c r="K12" s="460"/>
      <c r="L12" s="460"/>
      <c r="M12" s="460"/>
      <c r="N12" s="460"/>
      <c r="O12" s="460"/>
    </row>
    <row r="13" spans="2:15" x14ac:dyDescent="0.25">
      <c r="B13" s="455" t="s">
        <v>809</v>
      </c>
      <c r="C13" s="455"/>
      <c r="D13" s="455"/>
      <c r="E13" s="455"/>
      <c r="F13" s="455"/>
      <c r="G13" s="455"/>
      <c r="H13" s="455"/>
      <c r="I13" s="455"/>
      <c r="J13" s="455"/>
      <c r="K13" s="455"/>
      <c r="L13" s="455"/>
      <c r="M13" s="455"/>
      <c r="N13" s="455"/>
      <c r="O13" s="455"/>
    </row>
    <row r="14" spans="2:15" ht="21" customHeight="1" x14ac:dyDescent="0.25">
      <c r="B14" s="455" t="s">
        <v>826</v>
      </c>
      <c r="C14" s="455"/>
      <c r="D14" s="455"/>
      <c r="E14" s="455"/>
      <c r="F14" s="455"/>
      <c r="G14" s="455"/>
      <c r="H14" s="455"/>
      <c r="I14" s="455"/>
      <c r="J14" s="455"/>
      <c r="K14" s="455"/>
      <c r="L14" s="455"/>
      <c r="M14" s="455"/>
      <c r="N14" s="455"/>
      <c r="O14" s="455"/>
    </row>
    <row r="15" spans="2:15" ht="28.5" customHeight="1" x14ac:dyDescent="0.25">
      <c r="B15" s="460" t="s">
        <v>833</v>
      </c>
      <c r="C15" s="460"/>
      <c r="D15" s="460"/>
      <c r="E15" s="460"/>
      <c r="F15" s="460"/>
      <c r="G15" s="460"/>
      <c r="H15" s="460"/>
      <c r="I15" s="460"/>
      <c r="J15" s="460"/>
      <c r="K15" s="460"/>
      <c r="L15" s="460"/>
      <c r="M15" s="460"/>
      <c r="N15" s="460"/>
      <c r="O15" s="460"/>
    </row>
    <row r="16" spans="2:15" ht="19.5" customHeight="1" x14ac:dyDescent="0.25">
      <c r="B16" s="460" t="s">
        <v>834</v>
      </c>
      <c r="C16" s="460"/>
      <c r="D16" s="460"/>
      <c r="E16" s="460"/>
      <c r="F16" s="460"/>
      <c r="G16" s="460"/>
      <c r="H16" s="460"/>
      <c r="I16" s="460"/>
      <c r="J16" s="460"/>
      <c r="K16" s="460"/>
      <c r="L16" s="460"/>
      <c r="M16" s="460"/>
      <c r="N16" s="460"/>
      <c r="O16" s="460"/>
    </row>
    <row r="17" spans="2:15" ht="47.5" x14ac:dyDescent="0.25">
      <c r="B17" s="172" t="s">
        <v>810</v>
      </c>
      <c r="C17" s="172" t="s">
        <v>835</v>
      </c>
      <c r="D17" s="172" t="s">
        <v>836</v>
      </c>
      <c r="E17" s="172" t="s">
        <v>837</v>
      </c>
      <c r="F17" s="172" t="s">
        <v>838</v>
      </c>
      <c r="G17" s="172" t="s">
        <v>839</v>
      </c>
      <c r="H17" s="172" t="s">
        <v>840</v>
      </c>
      <c r="I17" s="172" t="s">
        <v>842</v>
      </c>
      <c r="J17" s="172" t="s">
        <v>841</v>
      </c>
    </row>
    <row r="18" spans="2:15" x14ac:dyDescent="0.25">
      <c r="B18" s="172" t="s">
        <v>798</v>
      </c>
      <c r="C18" s="172">
        <v>1</v>
      </c>
      <c r="D18" s="172">
        <v>2</v>
      </c>
      <c r="E18" s="172">
        <v>3</v>
      </c>
      <c r="F18" s="172">
        <v>4</v>
      </c>
      <c r="G18" s="172">
        <v>5</v>
      </c>
      <c r="H18" s="172">
        <v>6</v>
      </c>
      <c r="I18" s="172">
        <v>7</v>
      </c>
      <c r="J18" s="172">
        <v>8</v>
      </c>
      <c r="K18" s="173"/>
    </row>
    <row r="19" spans="2:15" ht="14.5" thickBot="1" x14ac:dyDescent="0.3">
      <c r="B19" s="174"/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</row>
  </sheetData>
  <mergeCells count="19">
    <mergeCell ref="B15:O15"/>
    <mergeCell ref="B16:O16"/>
    <mergeCell ref="B4:B5"/>
    <mergeCell ref="C4:C5"/>
    <mergeCell ref="E4:E5"/>
    <mergeCell ref="D4:D5"/>
    <mergeCell ref="F4:F5"/>
    <mergeCell ref="G4:G5"/>
    <mergeCell ref="H4:H5"/>
    <mergeCell ref="B8:O8"/>
    <mergeCell ref="B11:O11"/>
    <mergeCell ref="B12:O12"/>
    <mergeCell ref="B13:O13"/>
    <mergeCell ref="B14:O14"/>
    <mergeCell ref="I4:I5"/>
    <mergeCell ref="J4:J5"/>
    <mergeCell ref="K4:K5"/>
    <mergeCell ref="B2:O2"/>
    <mergeCell ref="B3:O3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9">
    <pageSetUpPr fitToPage="1"/>
  </sheetPr>
  <dimension ref="B2:AS54"/>
  <sheetViews>
    <sheetView showGridLines="0" showRowColHeaders="0" showZeros="0" topLeftCell="A21" workbookViewId="0">
      <selection activeCell="J7" sqref="J7:M7"/>
    </sheetView>
  </sheetViews>
  <sheetFormatPr defaultColWidth="8" defaultRowHeight="14.5" x14ac:dyDescent="0.25"/>
  <cols>
    <col min="1" max="7" width="2.33203125" style="64" customWidth="1"/>
    <col min="8" max="20" width="2.08203125" style="64" customWidth="1"/>
    <col min="21" max="30" width="1.9140625" style="64" customWidth="1"/>
    <col min="31" max="40" width="2.08203125" style="64" customWidth="1"/>
    <col min="41" max="43" width="1.9140625" style="64" customWidth="1"/>
    <col min="44" max="44" width="8" style="64" customWidth="1"/>
    <col min="45" max="45" width="7.9140625" style="64" customWidth="1"/>
    <col min="46" max="16384" width="8" style="64"/>
  </cols>
  <sheetData>
    <row r="2" spans="2:45" x14ac:dyDescent="0.25">
      <c r="B2" s="64" t="s">
        <v>673</v>
      </c>
    </row>
    <row r="3" spans="2:45" ht="17.5" x14ac:dyDescent="0.25">
      <c r="B3" s="498" t="s">
        <v>34</v>
      </c>
      <c r="C3" s="498"/>
      <c r="D3" s="498"/>
      <c r="E3" s="498"/>
      <c r="F3" s="498"/>
      <c r="G3" s="498"/>
      <c r="H3" s="498"/>
      <c r="I3" s="498"/>
      <c r="J3" s="498"/>
      <c r="K3" s="498"/>
      <c r="L3" s="498"/>
      <c r="M3" s="498"/>
      <c r="N3" s="498"/>
      <c r="O3" s="498"/>
      <c r="P3" s="498"/>
      <c r="Q3" s="498"/>
      <c r="R3" s="498"/>
      <c r="S3" s="498"/>
      <c r="T3" s="498"/>
      <c r="U3" s="498"/>
      <c r="V3" s="498"/>
      <c r="W3" s="498"/>
      <c r="X3" s="498"/>
      <c r="Y3" s="498"/>
      <c r="Z3" s="498"/>
      <c r="AA3" s="498"/>
      <c r="AB3" s="498"/>
      <c r="AC3" s="498"/>
      <c r="AD3" s="498"/>
      <c r="AE3" s="498"/>
      <c r="AF3" s="498"/>
      <c r="AG3" s="498"/>
      <c r="AH3" s="498"/>
      <c r="AI3" s="498"/>
      <c r="AJ3" s="498"/>
      <c r="AK3" s="498"/>
      <c r="AL3" s="498"/>
      <c r="AM3" s="498"/>
      <c r="AN3" s="498"/>
      <c r="AO3" s="498"/>
      <c r="AP3" s="498"/>
      <c r="AQ3" s="498"/>
    </row>
    <row r="4" spans="2:45" ht="10.25" customHeight="1" x14ac:dyDescent="0.25">
      <c r="AQ4" s="65" t="s">
        <v>35</v>
      </c>
    </row>
    <row r="5" spans="2:45" ht="20.149999999999999" customHeight="1" x14ac:dyDescent="0.25">
      <c r="B5" s="472" t="s">
        <v>36</v>
      </c>
      <c r="C5" s="473"/>
      <c r="D5" s="473"/>
      <c r="E5" s="473"/>
      <c r="F5" s="473"/>
      <c r="G5" s="473"/>
      <c r="H5" s="473"/>
      <c r="I5" s="473"/>
      <c r="J5" s="478"/>
      <c r="K5" s="478"/>
      <c r="L5" s="478"/>
      <c r="M5" s="478"/>
      <c r="N5" s="478"/>
      <c r="O5" s="478"/>
      <c r="P5" s="478"/>
      <c r="Q5" s="478"/>
      <c r="R5" s="478"/>
      <c r="S5" s="478"/>
      <c r="T5" s="478"/>
      <c r="U5" s="478"/>
      <c r="V5" s="478"/>
      <c r="W5" s="478"/>
      <c r="X5" s="478"/>
      <c r="Y5" s="473" t="s">
        <v>37</v>
      </c>
      <c r="Z5" s="473"/>
      <c r="AA5" s="473"/>
      <c r="AB5" s="473"/>
      <c r="AC5" s="473"/>
      <c r="AD5" s="473"/>
      <c r="AE5" s="473" t="s">
        <v>38</v>
      </c>
      <c r="AF5" s="473"/>
      <c r="AG5" s="473"/>
      <c r="AH5" s="473"/>
      <c r="AI5" s="473"/>
      <c r="AJ5" s="473"/>
      <c r="AK5" s="473"/>
      <c r="AL5" s="473"/>
      <c r="AM5" s="473"/>
      <c r="AN5" s="473"/>
      <c r="AO5" s="473"/>
      <c r="AP5" s="473"/>
      <c r="AQ5" s="482"/>
    </row>
    <row r="6" spans="2:45" ht="20.149999999999999" customHeight="1" x14ac:dyDescent="0.25">
      <c r="B6" s="477" t="s">
        <v>39</v>
      </c>
      <c r="C6" s="470"/>
      <c r="D6" s="470"/>
      <c r="E6" s="470"/>
      <c r="F6" s="470"/>
      <c r="G6" s="470" t="s">
        <v>40</v>
      </c>
      <c r="H6" s="470"/>
      <c r="I6" s="490"/>
      <c r="J6" s="472" t="s">
        <v>41</v>
      </c>
      <c r="K6" s="473"/>
      <c r="L6" s="473"/>
      <c r="M6" s="473"/>
      <c r="N6" s="473" t="s">
        <v>42</v>
      </c>
      <c r="O6" s="473"/>
      <c r="P6" s="473"/>
      <c r="Q6" s="473"/>
      <c r="R6" s="473" t="s">
        <v>43</v>
      </c>
      <c r="S6" s="473"/>
      <c r="T6" s="473"/>
      <c r="U6" s="473"/>
      <c r="V6" s="473"/>
      <c r="W6" s="473"/>
      <c r="X6" s="482"/>
      <c r="Y6" s="517"/>
      <c r="Z6" s="470"/>
      <c r="AA6" s="470"/>
      <c r="AB6" s="470"/>
      <c r="AC6" s="470"/>
      <c r="AD6" s="470"/>
      <c r="AE6" s="470"/>
      <c r="AF6" s="470"/>
      <c r="AG6" s="470"/>
      <c r="AH6" s="470"/>
      <c r="AI6" s="470"/>
      <c r="AJ6" s="470"/>
      <c r="AK6" s="470"/>
      <c r="AL6" s="470"/>
      <c r="AM6" s="470"/>
      <c r="AN6" s="470"/>
      <c r="AO6" s="470"/>
      <c r="AP6" s="470"/>
      <c r="AQ6" s="471"/>
    </row>
    <row r="7" spans="2:45" ht="20.149999999999999" customHeight="1" x14ac:dyDescent="0.25">
      <c r="B7" s="479" t="s">
        <v>44</v>
      </c>
      <c r="C7" s="480"/>
      <c r="D7" s="480"/>
      <c r="E7" s="480"/>
      <c r="F7" s="480"/>
      <c r="G7" s="491">
        <f>증여내용입력!D10</f>
        <v>120</v>
      </c>
      <c r="H7" s="491"/>
      <c r="I7" s="492"/>
      <c r="J7" s="487">
        <f>AK14</f>
        <v>45412</v>
      </c>
      <c r="K7" s="488"/>
      <c r="L7" s="489"/>
      <c r="M7" s="489"/>
      <c r="N7" s="481" t="s">
        <v>45</v>
      </c>
      <c r="O7" s="481"/>
      <c r="P7" s="481"/>
      <c r="Q7" s="481"/>
      <c r="R7" s="481" t="s">
        <v>154</v>
      </c>
      <c r="S7" s="481"/>
      <c r="T7" s="481"/>
      <c r="U7" s="483"/>
      <c r="V7" s="483"/>
      <c r="W7" s="483"/>
      <c r="X7" s="484"/>
      <c r="Y7" s="462" t="str">
        <f>증여내용입력!D9</f>
        <v>삼성</v>
      </c>
      <c r="Z7" s="463"/>
      <c r="AA7" s="463"/>
      <c r="AB7" s="66" t="s">
        <v>46</v>
      </c>
      <c r="AC7" s="66"/>
      <c r="AD7" s="67"/>
      <c r="AE7" s="491" t="str">
        <f>증여내용입력!E10</f>
        <v>181149</v>
      </c>
      <c r="AF7" s="491"/>
      <c r="AG7" s="491"/>
      <c r="AH7" s="491"/>
      <c r="AI7" s="491"/>
      <c r="AJ7" s="491"/>
      <c r="AK7" s="491"/>
      <c r="AL7" s="491"/>
      <c r="AM7" s="491"/>
      <c r="AN7" s="491"/>
      <c r="AO7" s="491"/>
      <c r="AP7" s="491"/>
      <c r="AQ7" s="516"/>
    </row>
    <row r="8" spans="2:45" ht="20.149999999999999" customHeight="1" x14ac:dyDescent="0.25">
      <c r="B8" s="477" t="s">
        <v>47</v>
      </c>
      <c r="C8" s="470"/>
      <c r="D8" s="470"/>
      <c r="E8" s="470"/>
      <c r="F8" s="470"/>
      <c r="G8" s="495" t="str">
        <f>증여내용입력!D3</f>
        <v>김자녀</v>
      </c>
      <c r="H8" s="496"/>
      <c r="I8" s="496"/>
      <c r="J8" s="496"/>
      <c r="K8" s="497"/>
      <c r="L8" s="529" t="s">
        <v>48</v>
      </c>
      <c r="M8" s="530"/>
      <c r="N8" s="530"/>
      <c r="O8" s="530"/>
      <c r="P8" s="530"/>
      <c r="Q8" s="530"/>
      <c r="R8" s="530"/>
      <c r="S8" s="530"/>
      <c r="T8" s="530"/>
      <c r="U8" s="519" t="str">
        <f>증여내용입력!D4</f>
        <v>1301111-3000000</v>
      </c>
      <c r="V8" s="520"/>
      <c r="W8" s="520"/>
      <c r="X8" s="520"/>
      <c r="Y8" s="520"/>
      <c r="Z8" s="520"/>
      <c r="AA8" s="520"/>
      <c r="AB8" s="520"/>
      <c r="AC8" s="520"/>
      <c r="AD8" s="521"/>
      <c r="AE8" s="517" t="s">
        <v>49</v>
      </c>
      <c r="AF8" s="470"/>
      <c r="AG8" s="470"/>
      <c r="AH8" s="470"/>
      <c r="AI8" s="470" t="s">
        <v>50</v>
      </c>
      <c r="AJ8" s="470"/>
      <c r="AK8" s="470"/>
      <c r="AL8" s="470"/>
      <c r="AM8" s="470"/>
      <c r="AN8" s="470"/>
      <c r="AO8" s="470" t="s">
        <v>51</v>
      </c>
      <c r="AP8" s="470"/>
      <c r="AQ8" s="471"/>
    </row>
    <row r="9" spans="2:45" ht="20.149999999999999" customHeight="1" x14ac:dyDescent="0.25">
      <c r="B9" s="493" t="s">
        <v>52</v>
      </c>
      <c r="C9" s="494"/>
      <c r="D9" s="494"/>
      <c r="E9" s="494"/>
      <c r="F9" s="494"/>
      <c r="G9" s="522" t="str">
        <f>증여내용입력!D6</f>
        <v>서울시 강남구 OOO</v>
      </c>
      <c r="H9" s="523"/>
      <c r="I9" s="523"/>
      <c r="J9" s="523"/>
      <c r="K9" s="523"/>
      <c r="L9" s="523"/>
      <c r="M9" s="523"/>
      <c r="N9" s="523"/>
      <c r="O9" s="523"/>
      <c r="P9" s="523"/>
      <c r="Q9" s="523"/>
      <c r="R9" s="523"/>
      <c r="S9" s="523"/>
      <c r="T9" s="524"/>
      <c r="U9" s="525" t="s">
        <v>53</v>
      </c>
      <c r="V9" s="525"/>
      <c r="W9" s="525"/>
      <c r="X9" s="526" t="str">
        <f>증여내용입력!D7</f>
        <v>010-0000-0000</v>
      </c>
      <c r="Y9" s="526"/>
      <c r="Z9" s="526"/>
      <c r="AA9" s="526"/>
      <c r="AB9" s="526"/>
      <c r="AC9" s="526"/>
      <c r="AD9" s="526"/>
      <c r="AE9" s="494" t="s">
        <v>54</v>
      </c>
      <c r="AF9" s="494"/>
      <c r="AG9" s="494"/>
      <c r="AH9" s="494"/>
      <c r="AI9" s="527">
        <f>YEAR(AK14)</f>
        <v>2024</v>
      </c>
      <c r="AJ9" s="527"/>
      <c r="AK9" s="527"/>
      <c r="AL9" s="527"/>
      <c r="AM9" s="527"/>
      <c r="AN9" s="527"/>
      <c r="AO9" s="527"/>
      <c r="AP9" s="527"/>
      <c r="AQ9" s="528"/>
      <c r="AS9" s="68"/>
    </row>
    <row r="10" spans="2:45" ht="20.149999999999999" customHeight="1" x14ac:dyDescent="0.25"/>
    <row r="11" spans="2:45" ht="20.149999999999999" customHeight="1" x14ac:dyDescent="0.25">
      <c r="B11" s="472" t="s">
        <v>55</v>
      </c>
      <c r="C11" s="473"/>
      <c r="D11" s="473"/>
      <c r="E11" s="473"/>
      <c r="F11" s="473"/>
      <c r="G11" s="473"/>
      <c r="H11" s="468">
        <f>YEAR(증여내용입력!C18)</f>
        <v>2024</v>
      </c>
      <c r="I11" s="469"/>
      <c r="J11" s="469"/>
      <c r="K11" s="469"/>
      <c r="L11" s="69" t="s">
        <v>56</v>
      </c>
      <c r="M11" s="69"/>
      <c r="N11" s="69"/>
      <c r="O11" s="467"/>
      <c r="P11" s="467"/>
      <c r="Q11" s="467"/>
      <c r="R11" s="69" t="s">
        <v>57</v>
      </c>
      <c r="S11" s="69"/>
      <c r="T11" s="70"/>
      <c r="U11" s="71"/>
      <c r="V11" s="506" t="s">
        <v>58</v>
      </c>
      <c r="W11" s="507"/>
      <c r="X11" s="507"/>
      <c r="Y11" s="507"/>
      <c r="Z11" s="507"/>
      <c r="AA11" s="507"/>
      <c r="AB11" s="507"/>
      <c r="AC11" s="507"/>
      <c r="AD11" s="507"/>
      <c r="AE11" s="507"/>
      <c r="AF11" s="507"/>
      <c r="AG11" s="507"/>
      <c r="AH11" s="507"/>
      <c r="AI11" s="507"/>
      <c r="AJ11" s="507"/>
      <c r="AK11" s="507"/>
      <c r="AL11" s="507"/>
      <c r="AM11" s="507"/>
      <c r="AN11" s="507"/>
      <c r="AO11" s="507"/>
      <c r="AP11" s="507"/>
      <c r="AQ11" s="508"/>
    </row>
    <row r="12" spans="2:45" ht="20.149999999999999" customHeight="1" x14ac:dyDescent="0.25">
      <c r="B12" s="499" t="s">
        <v>59</v>
      </c>
      <c r="C12" s="500"/>
      <c r="D12" s="500"/>
      <c r="E12" s="500"/>
      <c r="F12" s="500"/>
      <c r="G12" s="501"/>
      <c r="H12" s="470" t="s">
        <v>60</v>
      </c>
      <c r="I12" s="470"/>
      <c r="J12" s="470"/>
      <c r="K12" s="470"/>
      <c r="L12" s="470"/>
      <c r="M12" s="470"/>
      <c r="N12" s="470"/>
      <c r="O12" s="470"/>
      <c r="P12" s="470"/>
      <c r="Q12" s="470"/>
      <c r="R12" s="470"/>
      <c r="S12" s="470"/>
      <c r="T12" s="471"/>
      <c r="U12" s="71"/>
      <c r="V12" s="509"/>
      <c r="W12" s="510"/>
      <c r="X12" s="510"/>
      <c r="Y12" s="510"/>
      <c r="Z12" s="510"/>
      <c r="AA12" s="510"/>
      <c r="AB12" s="510"/>
      <c r="AC12" s="510"/>
      <c r="AD12" s="510"/>
      <c r="AE12" s="510"/>
      <c r="AF12" s="510"/>
      <c r="AG12" s="510"/>
      <c r="AH12" s="510"/>
      <c r="AI12" s="510"/>
      <c r="AJ12" s="510"/>
      <c r="AK12" s="510"/>
      <c r="AL12" s="510"/>
      <c r="AM12" s="510"/>
      <c r="AN12" s="510"/>
      <c r="AO12" s="510"/>
      <c r="AP12" s="510"/>
      <c r="AQ12" s="511"/>
    </row>
    <row r="13" spans="2:45" ht="20.149999999999999" customHeight="1" x14ac:dyDescent="0.25">
      <c r="B13" s="502"/>
      <c r="C13" s="503"/>
      <c r="D13" s="503"/>
      <c r="E13" s="503"/>
      <c r="F13" s="503"/>
      <c r="G13" s="504"/>
      <c r="H13" s="72" t="s">
        <v>61</v>
      </c>
      <c r="I13" s="72" t="s">
        <v>62</v>
      </c>
      <c r="J13" s="72" t="s">
        <v>63</v>
      </c>
      <c r="K13" s="72" t="s">
        <v>64</v>
      </c>
      <c r="L13" s="72" t="s">
        <v>65</v>
      </c>
      <c r="M13" s="72" t="s">
        <v>62</v>
      </c>
      <c r="N13" s="72" t="s">
        <v>63</v>
      </c>
      <c r="O13" s="72" t="s">
        <v>64</v>
      </c>
      <c r="P13" s="72" t="s">
        <v>66</v>
      </c>
      <c r="Q13" s="72" t="s">
        <v>62</v>
      </c>
      <c r="R13" s="72" t="s">
        <v>63</v>
      </c>
      <c r="S13" s="72" t="s">
        <v>64</v>
      </c>
      <c r="T13" s="73" t="s">
        <v>67</v>
      </c>
      <c r="U13" s="71"/>
      <c r="V13" s="509"/>
      <c r="W13" s="510"/>
      <c r="X13" s="510"/>
      <c r="Y13" s="510"/>
      <c r="Z13" s="510"/>
      <c r="AA13" s="510"/>
      <c r="AB13" s="510"/>
      <c r="AC13" s="510"/>
      <c r="AD13" s="510"/>
      <c r="AE13" s="510"/>
      <c r="AF13" s="510"/>
      <c r="AG13" s="510"/>
      <c r="AH13" s="510"/>
      <c r="AI13" s="510"/>
      <c r="AJ13" s="510"/>
      <c r="AK13" s="510"/>
      <c r="AL13" s="510"/>
      <c r="AM13" s="510"/>
      <c r="AN13" s="510"/>
      <c r="AO13" s="510"/>
      <c r="AP13" s="510"/>
      <c r="AQ13" s="511"/>
    </row>
    <row r="14" spans="2:45" ht="20.149999999999999" customHeight="1" x14ac:dyDescent="0.25">
      <c r="B14" s="474" t="s">
        <v>68</v>
      </c>
      <c r="C14" s="475"/>
      <c r="D14" s="475"/>
      <c r="E14" s="475"/>
      <c r="F14" s="475"/>
      <c r="G14" s="476"/>
      <c r="H14" s="74" t="str">
        <f>IF(납부할세액=0,"",IF(LEN(RIGHT(납부할세액,13))&lt;13,"",MID(RIGHT(납부할세액,13),1,1)))</f>
        <v/>
      </c>
      <c r="I14" s="74" t="str">
        <f>IF(납부할세액=0,"",IF(LEN(RIGHT(납부할세액,12))&lt;12,"",MID(RIGHT(납부할세액,12),1,1)))</f>
        <v/>
      </c>
      <c r="J14" s="74" t="str">
        <f>IF(납부할세액=0,"",IF(LEN(RIGHT(납부할세액,11))&lt;11,"",MID(RIGHT(납부할세액,11),1,1)))</f>
        <v/>
      </c>
      <c r="K14" s="74" t="str">
        <f>IF(납부할세액=0,"",IF(LEN(RIGHT(납부할세액,10))&lt;10,"",MID(RIGHT(납부할세액,10),1,1)))</f>
        <v/>
      </c>
      <c r="L14" s="74" t="str">
        <f>IF(납부할세액=0,"",IF(LEN(RIGHT(납부할세액,9))&lt;9,"",MID(RIGHT(납부할세액,9),1,1)))</f>
        <v/>
      </c>
      <c r="M14" s="74" t="str">
        <f>IF(납부할세액=0,"",IF(LEN(RIGHT(납부할세액,8))&lt;8,"",MID(RIGHT(납부할세액,8),1,1)))</f>
        <v/>
      </c>
      <c r="N14" s="74" t="str">
        <f>IF(납부할세액=0,"",IF(LEN(RIGHT(납부할세액,7))&lt;7,"",MID(RIGHT(납부할세액,7),1,1)))</f>
        <v/>
      </c>
      <c r="O14" s="74" t="str">
        <f>IF(납부할세액=0,"",IF(LEN(RIGHT(납부할세액,6))&lt;6,"",MID(RIGHT(납부할세액,6),1,1)))</f>
        <v/>
      </c>
      <c r="P14" s="74" t="str">
        <f>IF(납부할세액=0,"",IF(LEN(RIGHT(납부할세액,5))&lt;5,"",MID(RIGHT(납부할세액,5),1,1)))</f>
        <v/>
      </c>
      <c r="Q14" s="74" t="str">
        <f>IF(납부할세액=0,"",IF(LEN(RIGHT(납부할세액,4))&lt;4,"",MID(RIGHT(납부할세액,4),1,1)))</f>
        <v/>
      </c>
      <c r="R14" s="74" t="str">
        <f>IF(납부할세액=0,"",IF(LEN(RIGHT(납부할세액,3))&lt;3,"",MID(RIGHT(납부할세액,3),1,1)))</f>
        <v/>
      </c>
      <c r="S14" s="74" t="str">
        <f>IF(납부할세액=0,"",IF(LEN(RIGHT(납부할세액,2))&lt;2,"",MID(RIGHT(납부할세액,2),1,1)))</f>
        <v/>
      </c>
      <c r="T14" s="75" t="str">
        <f>IF(납부할세액=0,"",IF(LEN(RIGHT(납부할세액,1))&lt;1,"",RIGHT(납부할세액,1)))</f>
        <v/>
      </c>
      <c r="U14" s="71"/>
      <c r="V14" s="76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514" t="s">
        <v>69</v>
      </c>
      <c r="AH14" s="514"/>
      <c r="AI14" s="514"/>
      <c r="AJ14" s="514"/>
      <c r="AK14" s="512">
        <f>EOMONTH(증여일,3)</f>
        <v>45412</v>
      </c>
      <c r="AL14" s="512"/>
      <c r="AM14" s="512"/>
      <c r="AN14" s="512"/>
      <c r="AO14" s="512"/>
      <c r="AP14" s="512"/>
      <c r="AQ14" s="513"/>
    </row>
    <row r="15" spans="2:45" ht="20.149999999999999" customHeight="1" x14ac:dyDescent="0.25">
      <c r="B15" s="477"/>
      <c r="C15" s="470"/>
      <c r="D15" s="470"/>
      <c r="E15" s="470"/>
      <c r="F15" s="470"/>
      <c r="G15" s="470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9"/>
      <c r="U15" s="515" t="s">
        <v>70</v>
      </c>
      <c r="V15" s="505"/>
      <c r="W15" s="505"/>
      <c r="X15" s="505"/>
      <c r="Y15" s="505"/>
      <c r="Z15" s="505"/>
      <c r="AA15" s="505"/>
      <c r="AB15" s="505"/>
      <c r="AC15" s="505"/>
      <c r="AD15" s="505"/>
      <c r="AE15" s="505"/>
      <c r="AF15" s="505"/>
      <c r="AG15" s="505"/>
      <c r="AH15" s="505"/>
      <c r="AI15" s="505"/>
      <c r="AJ15" s="505"/>
      <c r="AK15" s="505"/>
      <c r="AL15" s="505"/>
      <c r="AM15" s="505"/>
      <c r="AN15" s="505"/>
      <c r="AO15" s="505"/>
      <c r="AP15" s="505"/>
      <c r="AQ15" s="505"/>
    </row>
    <row r="16" spans="2:45" ht="20.149999999999999" customHeight="1" x14ac:dyDescent="0.25">
      <c r="B16" s="485"/>
      <c r="C16" s="486"/>
      <c r="D16" s="486"/>
      <c r="E16" s="486"/>
      <c r="F16" s="486"/>
      <c r="G16" s="486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9"/>
      <c r="U16" s="71"/>
      <c r="V16" s="505"/>
      <c r="W16" s="505"/>
      <c r="X16" s="505"/>
      <c r="Y16" s="505"/>
      <c r="Z16" s="505"/>
      <c r="AA16" s="64" t="s">
        <v>71</v>
      </c>
      <c r="AE16" s="505"/>
      <c r="AF16" s="505"/>
      <c r="AG16" s="505"/>
      <c r="AH16" s="505"/>
      <c r="AI16" s="505"/>
      <c r="AJ16" s="64" t="s">
        <v>72</v>
      </c>
      <c r="AM16" s="518" t="s">
        <v>73</v>
      </c>
      <c r="AN16" s="505"/>
      <c r="AO16" s="505"/>
      <c r="AP16" s="505"/>
      <c r="AQ16" s="505"/>
    </row>
    <row r="17" spans="2:43" ht="20.149999999999999" customHeight="1" x14ac:dyDescent="0.25">
      <c r="B17" s="464" t="s">
        <v>74</v>
      </c>
      <c r="C17" s="465"/>
      <c r="D17" s="465"/>
      <c r="E17" s="465"/>
      <c r="F17" s="465"/>
      <c r="G17" s="466"/>
      <c r="H17" s="80" t="str">
        <f t="shared" ref="H17:O17" si="0">H14</f>
        <v/>
      </c>
      <c r="I17" s="80" t="str">
        <f t="shared" si="0"/>
        <v/>
      </c>
      <c r="J17" s="80" t="str">
        <f t="shared" si="0"/>
        <v/>
      </c>
      <c r="K17" s="80" t="str">
        <f t="shared" si="0"/>
        <v/>
      </c>
      <c r="L17" s="80" t="str">
        <f t="shared" si="0"/>
        <v/>
      </c>
      <c r="M17" s="80" t="str">
        <f t="shared" si="0"/>
        <v/>
      </c>
      <c r="N17" s="80" t="str">
        <f t="shared" si="0"/>
        <v/>
      </c>
      <c r="O17" s="80" t="str">
        <f t="shared" si="0"/>
        <v/>
      </c>
      <c r="P17" s="80" t="str">
        <f>P14</f>
        <v/>
      </c>
      <c r="Q17" s="80" t="str">
        <f>Q14</f>
        <v/>
      </c>
      <c r="R17" s="80" t="str">
        <f>R14</f>
        <v/>
      </c>
      <c r="S17" s="80" t="str">
        <f>S14</f>
        <v/>
      </c>
      <c r="T17" s="81" t="str">
        <f>T14</f>
        <v/>
      </c>
      <c r="U17" s="71"/>
      <c r="V17" s="505"/>
      <c r="W17" s="505"/>
      <c r="X17" s="505"/>
      <c r="Y17" s="505"/>
      <c r="Z17" s="505"/>
      <c r="AA17" s="64" t="s">
        <v>75</v>
      </c>
      <c r="AM17" s="505"/>
      <c r="AN17" s="505"/>
      <c r="AO17" s="505"/>
      <c r="AP17" s="505"/>
      <c r="AQ17" s="505"/>
    </row>
    <row r="18" spans="2:43" x14ac:dyDescent="0.25">
      <c r="B18" s="64" t="s">
        <v>674</v>
      </c>
    </row>
    <row r="19" spans="2:43" ht="5.15" customHeight="1" x14ac:dyDescent="0.25"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</row>
    <row r="20" spans="2:43" ht="5.15" customHeight="1" x14ac:dyDescent="0.25"/>
    <row r="21" spans="2:43" ht="17.5" x14ac:dyDescent="0.25">
      <c r="B21" s="498" t="s">
        <v>76</v>
      </c>
      <c r="C21" s="498"/>
      <c r="D21" s="498"/>
      <c r="E21" s="498"/>
      <c r="F21" s="498"/>
      <c r="G21" s="498"/>
      <c r="H21" s="498"/>
      <c r="I21" s="498"/>
      <c r="J21" s="498"/>
      <c r="K21" s="498"/>
      <c r="L21" s="498"/>
      <c r="M21" s="498"/>
      <c r="N21" s="498"/>
      <c r="O21" s="498"/>
      <c r="P21" s="498"/>
      <c r="Q21" s="498"/>
      <c r="R21" s="498"/>
      <c r="S21" s="498"/>
      <c r="T21" s="498"/>
      <c r="U21" s="498"/>
      <c r="V21" s="498"/>
      <c r="W21" s="498"/>
      <c r="X21" s="498"/>
      <c r="Y21" s="498"/>
      <c r="Z21" s="498"/>
      <c r="AA21" s="498"/>
      <c r="AB21" s="498"/>
      <c r="AC21" s="498"/>
      <c r="AD21" s="498"/>
      <c r="AE21" s="498"/>
      <c r="AF21" s="498"/>
      <c r="AG21" s="498"/>
      <c r="AH21" s="498"/>
      <c r="AI21" s="498"/>
      <c r="AJ21" s="498"/>
      <c r="AK21" s="498"/>
      <c r="AL21" s="498"/>
      <c r="AM21" s="498"/>
      <c r="AN21" s="498"/>
      <c r="AO21" s="498"/>
      <c r="AP21" s="498"/>
      <c r="AQ21" s="498"/>
    </row>
    <row r="22" spans="2:43" ht="10.25" customHeight="1" x14ac:dyDescent="0.25">
      <c r="AQ22" s="65" t="s">
        <v>77</v>
      </c>
    </row>
    <row r="23" spans="2:43" ht="20.149999999999999" customHeight="1" x14ac:dyDescent="0.25">
      <c r="B23" s="472" t="s">
        <v>36</v>
      </c>
      <c r="C23" s="473"/>
      <c r="D23" s="473"/>
      <c r="E23" s="473"/>
      <c r="F23" s="473"/>
      <c r="G23" s="473"/>
      <c r="H23" s="473"/>
      <c r="I23" s="473"/>
      <c r="J23" s="478"/>
      <c r="K23" s="478"/>
      <c r="L23" s="478"/>
      <c r="M23" s="478"/>
      <c r="N23" s="478"/>
      <c r="O23" s="478"/>
      <c r="P23" s="478"/>
      <c r="Q23" s="478"/>
      <c r="R23" s="478"/>
      <c r="S23" s="478"/>
      <c r="T23" s="478"/>
      <c r="U23" s="478"/>
      <c r="V23" s="478"/>
      <c r="W23" s="478"/>
      <c r="X23" s="478"/>
      <c r="Y23" s="473" t="s">
        <v>37</v>
      </c>
      <c r="Z23" s="473"/>
      <c r="AA23" s="473"/>
      <c r="AB23" s="473"/>
      <c r="AC23" s="473"/>
      <c r="AD23" s="473"/>
      <c r="AE23" s="473" t="str">
        <f>AE5</f>
        <v>계  좌  번  호</v>
      </c>
      <c r="AF23" s="473"/>
      <c r="AG23" s="473"/>
      <c r="AH23" s="473"/>
      <c r="AI23" s="473"/>
      <c r="AJ23" s="473"/>
      <c r="AK23" s="473"/>
      <c r="AL23" s="473"/>
      <c r="AM23" s="473"/>
      <c r="AN23" s="473"/>
      <c r="AO23" s="473"/>
      <c r="AP23" s="473"/>
      <c r="AQ23" s="482"/>
    </row>
    <row r="24" spans="2:43" ht="20.149999999999999" customHeight="1" x14ac:dyDescent="0.25">
      <c r="B24" s="477" t="s">
        <v>39</v>
      </c>
      <c r="C24" s="470"/>
      <c r="D24" s="470"/>
      <c r="E24" s="470"/>
      <c r="F24" s="470"/>
      <c r="G24" s="470" t="s">
        <v>40</v>
      </c>
      <c r="H24" s="470"/>
      <c r="I24" s="490"/>
      <c r="J24" s="472" t="s">
        <v>41</v>
      </c>
      <c r="K24" s="473"/>
      <c r="L24" s="473"/>
      <c r="M24" s="473"/>
      <c r="N24" s="473" t="s">
        <v>42</v>
      </c>
      <c r="O24" s="473"/>
      <c r="P24" s="473"/>
      <c r="Q24" s="473"/>
      <c r="R24" s="473" t="s">
        <v>43</v>
      </c>
      <c r="S24" s="473"/>
      <c r="T24" s="473"/>
      <c r="U24" s="473"/>
      <c r="V24" s="473"/>
      <c r="W24" s="473"/>
      <c r="X24" s="482"/>
      <c r="Y24" s="517"/>
      <c r="Z24" s="470"/>
      <c r="AA24" s="470"/>
      <c r="AB24" s="470"/>
      <c r="AC24" s="470"/>
      <c r="AD24" s="470"/>
      <c r="AE24" s="470"/>
      <c r="AF24" s="470"/>
      <c r="AG24" s="470"/>
      <c r="AH24" s="470"/>
      <c r="AI24" s="470"/>
      <c r="AJ24" s="470"/>
      <c r="AK24" s="470"/>
      <c r="AL24" s="470"/>
      <c r="AM24" s="470"/>
      <c r="AN24" s="470"/>
      <c r="AO24" s="470"/>
      <c r="AP24" s="470"/>
      <c r="AQ24" s="471"/>
    </row>
    <row r="25" spans="2:43" ht="20.149999999999999" customHeight="1" x14ac:dyDescent="0.25">
      <c r="B25" s="479" t="str">
        <f>B7</f>
        <v>0126</v>
      </c>
      <c r="C25" s="539"/>
      <c r="D25" s="539"/>
      <c r="E25" s="539"/>
      <c r="F25" s="539"/>
      <c r="G25" s="536">
        <f>G7</f>
        <v>120</v>
      </c>
      <c r="H25" s="537"/>
      <c r="I25" s="540"/>
      <c r="J25" s="487">
        <f>J7</f>
        <v>45412</v>
      </c>
      <c r="K25" s="488"/>
      <c r="L25" s="489"/>
      <c r="M25" s="489"/>
      <c r="N25" s="481" t="str">
        <f>N7</f>
        <v>1</v>
      </c>
      <c r="O25" s="531"/>
      <c r="P25" s="531"/>
      <c r="Q25" s="531"/>
      <c r="R25" s="481" t="str">
        <f>R7</f>
        <v>33</v>
      </c>
      <c r="S25" s="531"/>
      <c r="T25" s="531"/>
      <c r="U25" s="532"/>
      <c r="V25" s="532"/>
      <c r="W25" s="532"/>
      <c r="X25" s="533"/>
      <c r="Y25" s="534" t="str">
        <f>Y7</f>
        <v>삼성</v>
      </c>
      <c r="Z25" s="463"/>
      <c r="AA25" s="463"/>
      <c r="AB25" s="83" t="s">
        <v>46</v>
      </c>
      <c r="AC25" s="83"/>
      <c r="AD25" s="84"/>
      <c r="AE25" s="536" t="str">
        <f>AE7</f>
        <v>181149</v>
      </c>
      <c r="AF25" s="537"/>
      <c r="AG25" s="537"/>
      <c r="AH25" s="537"/>
      <c r="AI25" s="537"/>
      <c r="AJ25" s="537"/>
      <c r="AK25" s="537"/>
      <c r="AL25" s="537"/>
      <c r="AM25" s="537"/>
      <c r="AN25" s="537"/>
      <c r="AO25" s="537"/>
      <c r="AP25" s="537"/>
      <c r="AQ25" s="538"/>
    </row>
    <row r="26" spans="2:43" ht="20.149999999999999" customHeight="1" x14ac:dyDescent="0.25">
      <c r="B26" s="477" t="s">
        <v>47</v>
      </c>
      <c r="C26" s="470"/>
      <c r="D26" s="470"/>
      <c r="E26" s="470"/>
      <c r="F26" s="470"/>
      <c r="G26" s="541" t="str">
        <f>G8</f>
        <v>김자녀</v>
      </c>
      <c r="H26" s="541"/>
      <c r="I26" s="541"/>
      <c r="J26" s="542"/>
      <c r="K26" s="543"/>
      <c r="L26" s="529" t="s">
        <v>48</v>
      </c>
      <c r="M26" s="530"/>
      <c r="N26" s="530"/>
      <c r="O26" s="530"/>
      <c r="P26" s="530"/>
      <c r="Q26" s="530"/>
      <c r="R26" s="530"/>
      <c r="S26" s="530"/>
      <c r="T26" s="530"/>
      <c r="U26" s="519" t="str">
        <f>U8</f>
        <v>1301111-3000000</v>
      </c>
      <c r="V26" s="520"/>
      <c r="W26" s="520"/>
      <c r="X26" s="520"/>
      <c r="Y26" s="520"/>
      <c r="Z26" s="520"/>
      <c r="AA26" s="520"/>
      <c r="AB26" s="520"/>
      <c r="AC26" s="520"/>
      <c r="AD26" s="521"/>
      <c r="AE26" s="517" t="s">
        <v>49</v>
      </c>
      <c r="AF26" s="470"/>
      <c r="AG26" s="470"/>
      <c r="AH26" s="470"/>
      <c r="AI26" s="470" t="s">
        <v>50</v>
      </c>
      <c r="AJ26" s="470"/>
      <c r="AK26" s="470"/>
      <c r="AL26" s="470"/>
      <c r="AM26" s="470"/>
      <c r="AN26" s="470"/>
      <c r="AO26" s="470" t="s">
        <v>51</v>
      </c>
      <c r="AP26" s="470"/>
      <c r="AQ26" s="471"/>
    </row>
    <row r="27" spans="2:43" ht="20.149999999999999" customHeight="1" x14ac:dyDescent="0.25">
      <c r="B27" s="493" t="s">
        <v>52</v>
      </c>
      <c r="C27" s="494"/>
      <c r="D27" s="494"/>
      <c r="E27" s="494"/>
      <c r="F27" s="494"/>
      <c r="G27" s="522" t="str">
        <f>G9</f>
        <v>서울시 강남구 OOO</v>
      </c>
      <c r="H27" s="523"/>
      <c r="I27" s="523"/>
      <c r="J27" s="523"/>
      <c r="K27" s="523"/>
      <c r="L27" s="523"/>
      <c r="M27" s="523"/>
      <c r="N27" s="523"/>
      <c r="O27" s="523"/>
      <c r="P27" s="523"/>
      <c r="Q27" s="523"/>
      <c r="R27" s="523"/>
      <c r="S27" s="523"/>
      <c r="T27" s="524"/>
      <c r="U27" s="525" t="s">
        <v>53</v>
      </c>
      <c r="V27" s="525"/>
      <c r="W27" s="525"/>
      <c r="X27" s="535" t="str">
        <f>X9</f>
        <v>010-0000-0000</v>
      </c>
      <c r="Y27" s="535"/>
      <c r="Z27" s="535"/>
      <c r="AA27" s="535"/>
      <c r="AB27" s="535"/>
      <c r="AC27" s="535"/>
      <c r="AD27" s="535"/>
      <c r="AE27" s="494" t="s">
        <v>54</v>
      </c>
      <c r="AF27" s="494"/>
      <c r="AG27" s="494"/>
      <c r="AH27" s="494"/>
      <c r="AI27" s="527">
        <f>AI9</f>
        <v>2024</v>
      </c>
      <c r="AJ27" s="527"/>
      <c r="AK27" s="527"/>
      <c r="AL27" s="527"/>
      <c r="AM27" s="527"/>
      <c r="AN27" s="527"/>
      <c r="AO27" s="527"/>
      <c r="AP27" s="527"/>
      <c r="AQ27" s="528"/>
    </row>
    <row r="28" spans="2:43" ht="20.149999999999999" customHeight="1" x14ac:dyDescent="0.25"/>
    <row r="29" spans="2:43" ht="20.149999999999999" customHeight="1" x14ac:dyDescent="0.25">
      <c r="B29" s="472" t="s">
        <v>55</v>
      </c>
      <c r="C29" s="473"/>
      <c r="D29" s="473"/>
      <c r="E29" s="473"/>
      <c r="F29" s="473"/>
      <c r="G29" s="473"/>
      <c r="H29" s="468">
        <f>H11</f>
        <v>2024</v>
      </c>
      <c r="I29" s="469"/>
      <c r="J29" s="469"/>
      <c r="K29" s="469"/>
      <c r="L29" s="69" t="s">
        <v>56</v>
      </c>
      <c r="M29" s="69"/>
      <c r="N29" s="69"/>
      <c r="O29" s="467"/>
      <c r="P29" s="467"/>
      <c r="Q29" s="467"/>
      <c r="R29" s="69" t="s">
        <v>57</v>
      </c>
      <c r="S29" s="69"/>
      <c r="T29" s="70"/>
      <c r="U29" s="71"/>
      <c r="V29" s="506" t="s">
        <v>58</v>
      </c>
      <c r="W29" s="507"/>
      <c r="X29" s="507"/>
      <c r="Y29" s="507"/>
      <c r="Z29" s="507"/>
      <c r="AA29" s="507"/>
      <c r="AB29" s="507"/>
      <c r="AC29" s="507"/>
      <c r="AD29" s="507"/>
      <c r="AE29" s="507"/>
      <c r="AF29" s="507"/>
      <c r="AG29" s="507"/>
      <c r="AH29" s="507"/>
      <c r="AI29" s="507"/>
      <c r="AJ29" s="507"/>
      <c r="AK29" s="507"/>
      <c r="AL29" s="507"/>
      <c r="AM29" s="507"/>
      <c r="AN29" s="507"/>
      <c r="AO29" s="507"/>
      <c r="AP29" s="507"/>
      <c r="AQ29" s="508"/>
    </row>
    <row r="30" spans="2:43" ht="20.149999999999999" customHeight="1" x14ac:dyDescent="0.25">
      <c r="B30" s="499" t="s">
        <v>59</v>
      </c>
      <c r="C30" s="500"/>
      <c r="D30" s="500"/>
      <c r="E30" s="500"/>
      <c r="F30" s="500"/>
      <c r="G30" s="501"/>
      <c r="H30" s="470" t="s">
        <v>60</v>
      </c>
      <c r="I30" s="470"/>
      <c r="J30" s="470"/>
      <c r="K30" s="470"/>
      <c r="L30" s="470"/>
      <c r="M30" s="470"/>
      <c r="N30" s="470"/>
      <c r="O30" s="470"/>
      <c r="P30" s="470"/>
      <c r="Q30" s="470"/>
      <c r="R30" s="470"/>
      <c r="S30" s="470"/>
      <c r="T30" s="471"/>
      <c r="U30" s="71"/>
      <c r="V30" s="509"/>
      <c r="W30" s="510"/>
      <c r="X30" s="510"/>
      <c r="Y30" s="510"/>
      <c r="Z30" s="510"/>
      <c r="AA30" s="510"/>
      <c r="AB30" s="510"/>
      <c r="AC30" s="510"/>
      <c r="AD30" s="510"/>
      <c r="AE30" s="510"/>
      <c r="AF30" s="510"/>
      <c r="AG30" s="510"/>
      <c r="AH30" s="510"/>
      <c r="AI30" s="510"/>
      <c r="AJ30" s="510"/>
      <c r="AK30" s="510"/>
      <c r="AL30" s="510"/>
      <c r="AM30" s="510"/>
      <c r="AN30" s="510"/>
      <c r="AO30" s="510"/>
      <c r="AP30" s="510"/>
      <c r="AQ30" s="511"/>
    </row>
    <row r="31" spans="2:43" ht="20.149999999999999" customHeight="1" x14ac:dyDescent="0.25">
      <c r="B31" s="502"/>
      <c r="C31" s="503"/>
      <c r="D31" s="503"/>
      <c r="E31" s="503"/>
      <c r="F31" s="503"/>
      <c r="G31" s="504"/>
      <c r="H31" s="72" t="s">
        <v>61</v>
      </c>
      <c r="I31" s="72" t="s">
        <v>62</v>
      </c>
      <c r="J31" s="72" t="s">
        <v>63</v>
      </c>
      <c r="K31" s="72" t="s">
        <v>64</v>
      </c>
      <c r="L31" s="72" t="s">
        <v>65</v>
      </c>
      <c r="M31" s="72" t="s">
        <v>62</v>
      </c>
      <c r="N31" s="72" t="s">
        <v>63</v>
      </c>
      <c r="O31" s="72" t="s">
        <v>64</v>
      </c>
      <c r="P31" s="72" t="s">
        <v>66</v>
      </c>
      <c r="Q31" s="72" t="s">
        <v>62</v>
      </c>
      <c r="R31" s="72" t="s">
        <v>63</v>
      </c>
      <c r="S31" s="72" t="s">
        <v>64</v>
      </c>
      <c r="T31" s="73" t="s">
        <v>67</v>
      </c>
      <c r="U31" s="71"/>
      <c r="V31" s="509"/>
      <c r="W31" s="510"/>
      <c r="X31" s="510"/>
      <c r="Y31" s="510"/>
      <c r="Z31" s="510"/>
      <c r="AA31" s="510"/>
      <c r="AB31" s="510"/>
      <c r="AC31" s="510"/>
      <c r="AD31" s="510"/>
      <c r="AE31" s="510"/>
      <c r="AF31" s="510"/>
      <c r="AG31" s="510"/>
      <c r="AH31" s="510"/>
      <c r="AI31" s="510"/>
      <c r="AJ31" s="510"/>
      <c r="AK31" s="510"/>
      <c r="AL31" s="510"/>
      <c r="AM31" s="510"/>
      <c r="AN31" s="510"/>
      <c r="AO31" s="510"/>
      <c r="AP31" s="510"/>
      <c r="AQ31" s="511"/>
    </row>
    <row r="32" spans="2:43" ht="20.149999999999999" customHeight="1" x14ac:dyDescent="0.25">
      <c r="B32" s="474" t="str">
        <f>B14</f>
        <v>증 여 세</v>
      </c>
      <c r="C32" s="475"/>
      <c r="D32" s="475"/>
      <c r="E32" s="475"/>
      <c r="F32" s="475"/>
      <c r="G32" s="476"/>
      <c r="H32" s="78" t="str">
        <f t="shared" ref="H32:M32" si="1">H14</f>
        <v/>
      </c>
      <c r="I32" s="78" t="str">
        <f t="shared" si="1"/>
        <v/>
      </c>
      <c r="J32" s="78" t="str">
        <f t="shared" si="1"/>
        <v/>
      </c>
      <c r="K32" s="78" t="str">
        <f t="shared" si="1"/>
        <v/>
      </c>
      <c r="L32" s="78" t="str">
        <f t="shared" si="1"/>
        <v/>
      </c>
      <c r="M32" s="78" t="str">
        <f t="shared" si="1"/>
        <v/>
      </c>
      <c r="N32" s="85" t="str">
        <f t="shared" ref="N32:T32" si="2">N14</f>
        <v/>
      </c>
      <c r="O32" s="85" t="str">
        <f t="shared" si="2"/>
        <v/>
      </c>
      <c r="P32" s="85" t="str">
        <f t="shared" si="2"/>
        <v/>
      </c>
      <c r="Q32" s="85" t="str">
        <f t="shared" si="2"/>
        <v/>
      </c>
      <c r="R32" s="85" t="str">
        <f t="shared" si="2"/>
        <v/>
      </c>
      <c r="S32" s="85" t="str">
        <f t="shared" si="2"/>
        <v/>
      </c>
      <c r="T32" s="86" t="str">
        <f t="shared" si="2"/>
        <v/>
      </c>
      <c r="U32" s="71"/>
      <c r="V32" s="91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544" t="s">
        <v>69</v>
      </c>
      <c r="AH32" s="544"/>
      <c r="AI32" s="544"/>
      <c r="AJ32" s="544"/>
      <c r="AK32" s="545">
        <f>AK14</f>
        <v>45412</v>
      </c>
      <c r="AL32" s="545"/>
      <c r="AM32" s="545"/>
      <c r="AN32" s="545"/>
      <c r="AO32" s="545"/>
      <c r="AP32" s="545"/>
      <c r="AQ32" s="546"/>
    </row>
    <row r="33" spans="2:43" ht="20.149999999999999" customHeight="1" x14ac:dyDescent="0.25">
      <c r="B33" s="477"/>
      <c r="C33" s="470"/>
      <c r="D33" s="470"/>
      <c r="E33" s="470"/>
      <c r="F33" s="470"/>
      <c r="G33" s="470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9"/>
      <c r="U33" s="515" t="s">
        <v>70</v>
      </c>
      <c r="V33" s="505"/>
      <c r="W33" s="505"/>
      <c r="X33" s="505"/>
      <c r="Y33" s="505"/>
      <c r="Z33" s="505"/>
      <c r="AA33" s="505"/>
      <c r="AB33" s="505"/>
      <c r="AC33" s="505"/>
      <c r="AD33" s="505"/>
      <c r="AE33" s="505"/>
      <c r="AF33" s="505"/>
      <c r="AG33" s="505"/>
      <c r="AH33" s="505"/>
      <c r="AI33" s="505"/>
      <c r="AJ33" s="505"/>
      <c r="AK33" s="505"/>
      <c r="AL33" s="505"/>
      <c r="AM33" s="505"/>
      <c r="AN33" s="505"/>
      <c r="AO33" s="505"/>
      <c r="AP33" s="505"/>
      <c r="AQ33" s="505"/>
    </row>
    <row r="34" spans="2:43" ht="20.149999999999999" customHeight="1" x14ac:dyDescent="0.25">
      <c r="B34" s="485"/>
      <c r="C34" s="486"/>
      <c r="D34" s="486"/>
      <c r="E34" s="486"/>
      <c r="F34" s="486"/>
      <c r="G34" s="486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9"/>
      <c r="U34" s="71"/>
      <c r="V34" s="505"/>
      <c r="W34" s="505"/>
      <c r="X34" s="505"/>
      <c r="Y34" s="505"/>
      <c r="Z34" s="505"/>
      <c r="AA34" s="64" t="s">
        <v>71</v>
      </c>
      <c r="AE34" s="505"/>
      <c r="AF34" s="505"/>
      <c r="AG34" s="505"/>
      <c r="AH34" s="505"/>
      <c r="AI34" s="505"/>
      <c r="AJ34" s="64" t="s">
        <v>72</v>
      </c>
      <c r="AM34" s="518" t="s">
        <v>73</v>
      </c>
      <c r="AN34" s="505"/>
      <c r="AO34" s="505"/>
      <c r="AP34" s="505"/>
      <c r="AQ34" s="505"/>
    </row>
    <row r="35" spans="2:43" ht="20.149999999999999" customHeight="1" x14ac:dyDescent="0.25">
      <c r="B35" s="464" t="s">
        <v>74</v>
      </c>
      <c r="C35" s="465"/>
      <c r="D35" s="465"/>
      <c r="E35" s="465"/>
      <c r="F35" s="465"/>
      <c r="G35" s="466"/>
      <c r="H35" s="80" t="str">
        <f t="shared" ref="H35:M35" si="3">H32</f>
        <v/>
      </c>
      <c r="I35" s="80" t="str">
        <f t="shared" si="3"/>
        <v/>
      </c>
      <c r="J35" s="80" t="str">
        <f t="shared" si="3"/>
        <v/>
      </c>
      <c r="K35" s="80" t="str">
        <f t="shared" si="3"/>
        <v/>
      </c>
      <c r="L35" s="80" t="str">
        <f t="shared" si="3"/>
        <v/>
      </c>
      <c r="M35" s="80" t="str">
        <f t="shared" si="3"/>
        <v/>
      </c>
      <c r="N35" s="87" t="str">
        <f t="shared" ref="N35:T35" si="4">N32</f>
        <v/>
      </c>
      <c r="O35" s="87" t="str">
        <f t="shared" si="4"/>
        <v/>
      </c>
      <c r="P35" s="87" t="str">
        <f t="shared" si="4"/>
        <v/>
      </c>
      <c r="Q35" s="87" t="str">
        <f t="shared" si="4"/>
        <v/>
      </c>
      <c r="R35" s="87" t="str">
        <f t="shared" si="4"/>
        <v/>
      </c>
      <c r="S35" s="87" t="str">
        <f t="shared" si="4"/>
        <v/>
      </c>
      <c r="T35" s="88" t="str">
        <f t="shared" si="4"/>
        <v/>
      </c>
      <c r="U35" s="71"/>
      <c r="V35" s="505"/>
      <c r="W35" s="505"/>
      <c r="X35" s="505"/>
      <c r="Y35" s="505"/>
      <c r="Z35" s="505"/>
      <c r="AA35" s="64" t="s">
        <v>75</v>
      </c>
      <c r="AM35" s="505"/>
      <c r="AN35" s="505"/>
      <c r="AO35" s="505"/>
      <c r="AP35" s="505"/>
      <c r="AQ35" s="505"/>
    </row>
    <row r="36" spans="2:43" x14ac:dyDescent="0.25">
      <c r="B36" s="64" t="s">
        <v>674</v>
      </c>
    </row>
    <row r="37" spans="2:43" ht="5.15" customHeight="1" x14ac:dyDescent="0.2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</row>
    <row r="38" spans="2:43" ht="5.15" customHeight="1" x14ac:dyDescent="0.25"/>
    <row r="39" spans="2:43" ht="17.5" x14ac:dyDescent="0.25">
      <c r="B39" s="498" t="s">
        <v>78</v>
      </c>
      <c r="C39" s="498"/>
      <c r="D39" s="498"/>
      <c r="E39" s="498"/>
      <c r="F39" s="498"/>
      <c r="G39" s="498"/>
      <c r="H39" s="498"/>
      <c r="I39" s="498"/>
      <c r="J39" s="498"/>
      <c r="K39" s="498"/>
      <c r="L39" s="498"/>
      <c r="M39" s="498"/>
      <c r="N39" s="498"/>
      <c r="O39" s="498"/>
      <c r="P39" s="498"/>
      <c r="Q39" s="498"/>
      <c r="R39" s="498"/>
      <c r="S39" s="498"/>
      <c r="T39" s="498"/>
      <c r="U39" s="498"/>
      <c r="V39" s="498"/>
      <c r="W39" s="498"/>
      <c r="X39" s="498"/>
      <c r="Y39" s="498"/>
      <c r="Z39" s="498"/>
      <c r="AA39" s="498"/>
      <c r="AB39" s="498"/>
      <c r="AC39" s="498"/>
      <c r="AD39" s="498"/>
      <c r="AE39" s="498"/>
      <c r="AF39" s="498"/>
      <c r="AG39" s="498"/>
      <c r="AH39" s="498"/>
      <c r="AI39" s="498"/>
      <c r="AJ39" s="498"/>
      <c r="AK39" s="498"/>
      <c r="AL39" s="498"/>
      <c r="AM39" s="498"/>
      <c r="AN39" s="498"/>
      <c r="AO39" s="498"/>
      <c r="AP39" s="498"/>
      <c r="AQ39" s="498"/>
    </row>
    <row r="40" spans="2:43" ht="10.25" customHeight="1" x14ac:dyDescent="0.25">
      <c r="AQ40" s="65" t="s">
        <v>79</v>
      </c>
    </row>
    <row r="41" spans="2:43" ht="20.149999999999999" customHeight="1" x14ac:dyDescent="0.25">
      <c r="B41" s="472" t="s">
        <v>36</v>
      </c>
      <c r="C41" s="473"/>
      <c r="D41" s="473"/>
      <c r="E41" s="473"/>
      <c r="F41" s="473"/>
      <c r="G41" s="473"/>
      <c r="H41" s="473"/>
      <c r="I41" s="473"/>
      <c r="J41" s="478"/>
      <c r="K41" s="478"/>
      <c r="L41" s="478"/>
      <c r="M41" s="478"/>
      <c r="N41" s="478"/>
      <c r="O41" s="478"/>
      <c r="P41" s="478"/>
      <c r="Q41" s="478"/>
      <c r="R41" s="478"/>
      <c r="S41" s="478"/>
      <c r="T41" s="478"/>
      <c r="U41" s="478"/>
      <c r="V41" s="478"/>
      <c r="W41" s="478"/>
      <c r="X41" s="478"/>
      <c r="Y41" s="473" t="s">
        <v>37</v>
      </c>
      <c r="Z41" s="473"/>
      <c r="AA41" s="473"/>
      <c r="AB41" s="473"/>
      <c r="AC41" s="473"/>
      <c r="AD41" s="473"/>
      <c r="AE41" s="473" t="str">
        <f>AE23</f>
        <v>계  좌  번  호</v>
      </c>
      <c r="AF41" s="473"/>
      <c r="AG41" s="473"/>
      <c r="AH41" s="473"/>
      <c r="AI41" s="473"/>
      <c r="AJ41" s="473"/>
      <c r="AK41" s="473"/>
      <c r="AL41" s="473"/>
      <c r="AM41" s="473"/>
      <c r="AN41" s="473"/>
      <c r="AO41" s="473"/>
      <c r="AP41" s="473"/>
      <c r="AQ41" s="482"/>
    </row>
    <row r="42" spans="2:43" ht="20.149999999999999" customHeight="1" x14ac:dyDescent="0.25">
      <c r="B42" s="477" t="s">
        <v>39</v>
      </c>
      <c r="C42" s="470"/>
      <c r="D42" s="470"/>
      <c r="E42" s="470"/>
      <c r="F42" s="470"/>
      <c r="G42" s="470" t="s">
        <v>40</v>
      </c>
      <c r="H42" s="470"/>
      <c r="I42" s="490"/>
      <c r="J42" s="472" t="s">
        <v>41</v>
      </c>
      <c r="K42" s="473"/>
      <c r="L42" s="473"/>
      <c r="M42" s="473"/>
      <c r="N42" s="473" t="s">
        <v>42</v>
      </c>
      <c r="O42" s="473"/>
      <c r="P42" s="473"/>
      <c r="Q42" s="473"/>
      <c r="R42" s="473" t="s">
        <v>43</v>
      </c>
      <c r="S42" s="473"/>
      <c r="T42" s="473"/>
      <c r="U42" s="473"/>
      <c r="V42" s="473"/>
      <c r="W42" s="473"/>
      <c r="X42" s="482"/>
      <c r="Y42" s="517"/>
      <c r="Z42" s="470"/>
      <c r="AA42" s="470"/>
      <c r="AB42" s="470"/>
      <c r="AC42" s="470"/>
      <c r="AD42" s="470"/>
      <c r="AE42" s="470"/>
      <c r="AF42" s="470"/>
      <c r="AG42" s="470"/>
      <c r="AH42" s="470"/>
      <c r="AI42" s="470"/>
      <c r="AJ42" s="470"/>
      <c r="AK42" s="470"/>
      <c r="AL42" s="470"/>
      <c r="AM42" s="470"/>
      <c r="AN42" s="470"/>
      <c r="AO42" s="470"/>
      <c r="AP42" s="470"/>
      <c r="AQ42" s="471"/>
    </row>
    <row r="43" spans="2:43" ht="20.149999999999999" customHeight="1" x14ac:dyDescent="0.25">
      <c r="B43" s="550" t="str">
        <f>B25</f>
        <v>0126</v>
      </c>
      <c r="C43" s="551"/>
      <c r="D43" s="551"/>
      <c r="E43" s="551"/>
      <c r="F43" s="551"/>
      <c r="G43" s="536">
        <f>G25</f>
        <v>120</v>
      </c>
      <c r="H43" s="470"/>
      <c r="I43" s="490"/>
      <c r="J43" s="487">
        <f>J7</f>
        <v>45412</v>
      </c>
      <c r="K43" s="488"/>
      <c r="L43" s="489"/>
      <c r="M43" s="489"/>
      <c r="N43" s="481" t="str">
        <f>N25</f>
        <v>1</v>
      </c>
      <c r="O43" s="552"/>
      <c r="P43" s="552"/>
      <c r="Q43" s="552"/>
      <c r="R43" s="481" t="str">
        <f>R25</f>
        <v>33</v>
      </c>
      <c r="S43" s="552"/>
      <c r="T43" s="552"/>
      <c r="U43" s="547"/>
      <c r="V43" s="547"/>
      <c r="W43" s="547"/>
      <c r="X43" s="548"/>
      <c r="Y43" s="534" t="str">
        <f>Y25</f>
        <v>삼성</v>
      </c>
      <c r="Z43" s="549"/>
      <c r="AA43" s="549"/>
      <c r="AB43" s="89" t="s">
        <v>46</v>
      </c>
      <c r="AC43" s="89"/>
      <c r="AD43" s="90"/>
      <c r="AE43" s="536" t="str">
        <f>AE25</f>
        <v>181149</v>
      </c>
      <c r="AF43" s="470"/>
      <c r="AG43" s="470"/>
      <c r="AH43" s="470"/>
      <c r="AI43" s="470"/>
      <c r="AJ43" s="470"/>
      <c r="AK43" s="470"/>
      <c r="AL43" s="470"/>
      <c r="AM43" s="470"/>
      <c r="AN43" s="470"/>
      <c r="AO43" s="470"/>
      <c r="AP43" s="470"/>
      <c r="AQ43" s="471"/>
    </row>
    <row r="44" spans="2:43" ht="20.149999999999999" customHeight="1" x14ac:dyDescent="0.25">
      <c r="B44" s="477" t="s">
        <v>47</v>
      </c>
      <c r="C44" s="470"/>
      <c r="D44" s="470"/>
      <c r="E44" s="470"/>
      <c r="F44" s="470"/>
      <c r="G44" s="541" t="str">
        <f>G26</f>
        <v>김자녀</v>
      </c>
      <c r="H44" s="541"/>
      <c r="I44" s="541"/>
      <c r="J44" s="542"/>
      <c r="K44" s="543"/>
      <c r="L44" s="529" t="s">
        <v>48</v>
      </c>
      <c r="M44" s="530"/>
      <c r="N44" s="530"/>
      <c r="O44" s="530"/>
      <c r="P44" s="530"/>
      <c r="Q44" s="530"/>
      <c r="R44" s="530"/>
      <c r="S44" s="530"/>
      <c r="T44" s="530"/>
      <c r="U44" s="519" t="str">
        <f>U26</f>
        <v>1301111-3000000</v>
      </c>
      <c r="V44" s="520"/>
      <c r="W44" s="520"/>
      <c r="X44" s="520"/>
      <c r="Y44" s="520"/>
      <c r="Z44" s="520"/>
      <c r="AA44" s="520"/>
      <c r="AB44" s="520"/>
      <c r="AC44" s="520"/>
      <c r="AD44" s="521"/>
      <c r="AE44" s="517" t="s">
        <v>49</v>
      </c>
      <c r="AF44" s="470"/>
      <c r="AG44" s="470"/>
      <c r="AH44" s="470"/>
      <c r="AI44" s="470" t="s">
        <v>50</v>
      </c>
      <c r="AJ44" s="470"/>
      <c r="AK44" s="470"/>
      <c r="AL44" s="470"/>
      <c r="AM44" s="470"/>
      <c r="AN44" s="470"/>
      <c r="AO44" s="470" t="s">
        <v>51</v>
      </c>
      <c r="AP44" s="470"/>
      <c r="AQ44" s="471"/>
    </row>
    <row r="45" spans="2:43" ht="20.149999999999999" customHeight="1" x14ac:dyDescent="0.25">
      <c r="B45" s="493" t="s">
        <v>52</v>
      </c>
      <c r="C45" s="494"/>
      <c r="D45" s="494"/>
      <c r="E45" s="494"/>
      <c r="F45" s="494"/>
      <c r="G45" s="522" t="str">
        <f>G27</f>
        <v>서울시 강남구 OOO</v>
      </c>
      <c r="H45" s="523"/>
      <c r="I45" s="523"/>
      <c r="J45" s="523"/>
      <c r="K45" s="523"/>
      <c r="L45" s="523"/>
      <c r="M45" s="523"/>
      <c r="N45" s="523"/>
      <c r="O45" s="523"/>
      <c r="P45" s="523"/>
      <c r="Q45" s="523"/>
      <c r="R45" s="523"/>
      <c r="S45" s="523"/>
      <c r="T45" s="524"/>
      <c r="U45" s="525" t="s">
        <v>53</v>
      </c>
      <c r="V45" s="525"/>
      <c r="W45" s="525"/>
      <c r="X45" s="526" t="str">
        <f>X9</f>
        <v>010-0000-0000</v>
      </c>
      <c r="Y45" s="526"/>
      <c r="Z45" s="526"/>
      <c r="AA45" s="526"/>
      <c r="AB45" s="526"/>
      <c r="AC45" s="526"/>
      <c r="AD45" s="526"/>
      <c r="AE45" s="494" t="s">
        <v>54</v>
      </c>
      <c r="AF45" s="494"/>
      <c r="AG45" s="494"/>
      <c r="AH45" s="494"/>
      <c r="AI45" s="527">
        <f>AI27</f>
        <v>2024</v>
      </c>
      <c r="AJ45" s="527"/>
      <c r="AK45" s="527"/>
      <c r="AL45" s="527"/>
      <c r="AM45" s="527"/>
      <c r="AN45" s="527"/>
      <c r="AO45" s="527"/>
      <c r="AP45" s="527"/>
      <c r="AQ45" s="528"/>
    </row>
    <row r="46" spans="2:43" ht="20.149999999999999" customHeight="1" x14ac:dyDescent="0.25"/>
    <row r="47" spans="2:43" ht="20.149999999999999" customHeight="1" x14ac:dyDescent="0.25">
      <c r="B47" s="472" t="s">
        <v>55</v>
      </c>
      <c r="C47" s="473"/>
      <c r="D47" s="473"/>
      <c r="E47" s="473"/>
      <c r="F47" s="473"/>
      <c r="G47" s="473"/>
      <c r="H47" s="468">
        <f>H29</f>
        <v>2024</v>
      </c>
      <c r="I47" s="469"/>
      <c r="J47" s="469"/>
      <c r="K47" s="469"/>
      <c r="L47" s="69" t="s">
        <v>56</v>
      </c>
      <c r="M47" s="69"/>
      <c r="N47" s="69"/>
      <c r="O47" s="467"/>
      <c r="P47" s="467"/>
      <c r="Q47" s="467"/>
      <c r="R47" s="69" t="s">
        <v>57</v>
      </c>
      <c r="S47" s="69"/>
      <c r="T47" s="70"/>
      <c r="U47" s="71"/>
      <c r="V47" s="506" t="s">
        <v>58</v>
      </c>
      <c r="W47" s="507"/>
      <c r="X47" s="507"/>
      <c r="Y47" s="507"/>
      <c r="Z47" s="507"/>
      <c r="AA47" s="507"/>
      <c r="AB47" s="507"/>
      <c r="AC47" s="507"/>
      <c r="AD47" s="507"/>
      <c r="AE47" s="507"/>
      <c r="AF47" s="507"/>
      <c r="AG47" s="507"/>
      <c r="AH47" s="507"/>
      <c r="AI47" s="507"/>
      <c r="AJ47" s="507"/>
      <c r="AK47" s="507"/>
      <c r="AL47" s="507"/>
      <c r="AM47" s="507"/>
      <c r="AN47" s="507"/>
      <c r="AO47" s="507"/>
      <c r="AP47" s="507"/>
      <c r="AQ47" s="508"/>
    </row>
    <row r="48" spans="2:43" ht="20.149999999999999" customHeight="1" x14ac:dyDescent="0.25">
      <c r="B48" s="499" t="s">
        <v>59</v>
      </c>
      <c r="C48" s="500"/>
      <c r="D48" s="500"/>
      <c r="E48" s="500"/>
      <c r="F48" s="500"/>
      <c r="G48" s="501"/>
      <c r="H48" s="470" t="s">
        <v>60</v>
      </c>
      <c r="I48" s="470"/>
      <c r="J48" s="470"/>
      <c r="K48" s="470"/>
      <c r="L48" s="470"/>
      <c r="M48" s="470"/>
      <c r="N48" s="470"/>
      <c r="O48" s="470"/>
      <c r="P48" s="470"/>
      <c r="Q48" s="470"/>
      <c r="R48" s="470"/>
      <c r="S48" s="470"/>
      <c r="T48" s="471"/>
      <c r="U48" s="71"/>
      <c r="V48" s="509"/>
      <c r="W48" s="510"/>
      <c r="X48" s="510"/>
      <c r="Y48" s="510"/>
      <c r="Z48" s="510"/>
      <c r="AA48" s="510"/>
      <c r="AB48" s="510"/>
      <c r="AC48" s="510"/>
      <c r="AD48" s="510"/>
      <c r="AE48" s="510"/>
      <c r="AF48" s="510"/>
      <c r="AG48" s="510"/>
      <c r="AH48" s="510"/>
      <c r="AI48" s="510"/>
      <c r="AJ48" s="510"/>
      <c r="AK48" s="510"/>
      <c r="AL48" s="510"/>
      <c r="AM48" s="510"/>
      <c r="AN48" s="510"/>
      <c r="AO48" s="510"/>
      <c r="AP48" s="510"/>
      <c r="AQ48" s="511"/>
    </row>
    <row r="49" spans="2:43" ht="20.149999999999999" customHeight="1" x14ac:dyDescent="0.25">
      <c r="B49" s="502"/>
      <c r="C49" s="503"/>
      <c r="D49" s="503"/>
      <c r="E49" s="503"/>
      <c r="F49" s="503"/>
      <c r="G49" s="504"/>
      <c r="H49" s="72" t="s">
        <v>61</v>
      </c>
      <c r="I49" s="72" t="s">
        <v>62</v>
      </c>
      <c r="J49" s="72" t="s">
        <v>63</v>
      </c>
      <c r="K49" s="72" t="s">
        <v>64</v>
      </c>
      <c r="L49" s="72" t="s">
        <v>65</v>
      </c>
      <c r="M49" s="72" t="s">
        <v>62</v>
      </c>
      <c r="N49" s="72" t="s">
        <v>63</v>
      </c>
      <c r="O49" s="72" t="s">
        <v>64</v>
      </c>
      <c r="P49" s="72" t="s">
        <v>66</v>
      </c>
      <c r="Q49" s="72" t="s">
        <v>62</v>
      </c>
      <c r="R49" s="72" t="s">
        <v>63</v>
      </c>
      <c r="S49" s="72" t="s">
        <v>64</v>
      </c>
      <c r="T49" s="73" t="s">
        <v>67</v>
      </c>
      <c r="U49" s="71"/>
      <c r="V49" s="509"/>
      <c r="W49" s="510"/>
      <c r="X49" s="510"/>
      <c r="Y49" s="510"/>
      <c r="Z49" s="510"/>
      <c r="AA49" s="510"/>
      <c r="AB49" s="510"/>
      <c r="AC49" s="510"/>
      <c r="AD49" s="510"/>
      <c r="AE49" s="510"/>
      <c r="AF49" s="510"/>
      <c r="AG49" s="510"/>
      <c r="AH49" s="510"/>
      <c r="AI49" s="510"/>
      <c r="AJ49" s="510"/>
      <c r="AK49" s="510"/>
      <c r="AL49" s="510"/>
      <c r="AM49" s="510"/>
      <c r="AN49" s="510"/>
      <c r="AO49" s="510"/>
      <c r="AP49" s="510"/>
      <c r="AQ49" s="511"/>
    </row>
    <row r="50" spans="2:43" ht="20.149999999999999" customHeight="1" x14ac:dyDescent="0.25">
      <c r="B50" s="474" t="str">
        <f>B32</f>
        <v>증 여 세</v>
      </c>
      <c r="C50" s="475"/>
      <c r="D50" s="475"/>
      <c r="E50" s="475"/>
      <c r="F50" s="475"/>
      <c r="G50" s="476"/>
      <c r="H50" s="78" t="str">
        <f t="shared" ref="H50:M50" si="5">H32</f>
        <v/>
      </c>
      <c r="I50" s="78" t="str">
        <f t="shared" si="5"/>
        <v/>
      </c>
      <c r="J50" s="78" t="str">
        <f t="shared" si="5"/>
        <v/>
      </c>
      <c r="K50" s="78" t="str">
        <f t="shared" si="5"/>
        <v/>
      </c>
      <c r="L50" s="78" t="str">
        <f t="shared" si="5"/>
        <v/>
      </c>
      <c r="M50" s="78" t="str">
        <f t="shared" si="5"/>
        <v/>
      </c>
      <c r="N50" s="85" t="str">
        <f t="shared" ref="N50:T50" si="6">N32</f>
        <v/>
      </c>
      <c r="O50" s="85" t="str">
        <f t="shared" si="6"/>
        <v/>
      </c>
      <c r="P50" s="85" t="str">
        <f t="shared" si="6"/>
        <v/>
      </c>
      <c r="Q50" s="85" t="str">
        <f t="shared" si="6"/>
        <v/>
      </c>
      <c r="R50" s="85" t="str">
        <f t="shared" si="6"/>
        <v/>
      </c>
      <c r="S50" s="85" t="str">
        <f t="shared" si="6"/>
        <v/>
      </c>
      <c r="T50" s="86" t="str">
        <f t="shared" si="6"/>
        <v/>
      </c>
      <c r="U50" s="71"/>
      <c r="V50" s="91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544" t="s">
        <v>69</v>
      </c>
      <c r="AH50" s="544"/>
      <c r="AI50" s="544"/>
      <c r="AJ50" s="544"/>
      <c r="AK50" s="545">
        <f>AK32</f>
        <v>45412</v>
      </c>
      <c r="AL50" s="545"/>
      <c r="AM50" s="545"/>
      <c r="AN50" s="545"/>
      <c r="AO50" s="545"/>
      <c r="AP50" s="545"/>
      <c r="AQ50" s="546"/>
    </row>
    <row r="51" spans="2:43" ht="20.149999999999999" customHeight="1" x14ac:dyDescent="0.25">
      <c r="B51" s="477"/>
      <c r="C51" s="470"/>
      <c r="D51" s="470"/>
      <c r="E51" s="470"/>
      <c r="F51" s="470"/>
      <c r="G51" s="470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9"/>
      <c r="U51" s="515" t="s">
        <v>70</v>
      </c>
      <c r="V51" s="505"/>
      <c r="W51" s="505"/>
      <c r="X51" s="505"/>
      <c r="Y51" s="505"/>
      <c r="Z51" s="505"/>
      <c r="AA51" s="505"/>
      <c r="AB51" s="505"/>
      <c r="AC51" s="505"/>
      <c r="AD51" s="505"/>
      <c r="AE51" s="505"/>
      <c r="AF51" s="505"/>
      <c r="AG51" s="505"/>
      <c r="AH51" s="505"/>
      <c r="AI51" s="505"/>
      <c r="AJ51" s="505"/>
      <c r="AK51" s="505"/>
      <c r="AL51" s="505"/>
      <c r="AM51" s="505"/>
      <c r="AN51" s="505"/>
      <c r="AO51" s="505"/>
      <c r="AP51" s="505"/>
      <c r="AQ51" s="505"/>
    </row>
    <row r="52" spans="2:43" ht="20.149999999999999" customHeight="1" x14ac:dyDescent="0.25">
      <c r="B52" s="485"/>
      <c r="C52" s="486"/>
      <c r="D52" s="486"/>
      <c r="E52" s="486"/>
      <c r="F52" s="486"/>
      <c r="G52" s="486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9"/>
      <c r="U52" s="71"/>
      <c r="V52" s="505"/>
      <c r="W52" s="505"/>
      <c r="X52" s="505"/>
      <c r="Y52" s="505"/>
      <c r="Z52" s="505"/>
      <c r="AA52" s="64" t="s">
        <v>71</v>
      </c>
      <c r="AE52" s="505"/>
      <c r="AF52" s="505"/>
      <c r="AG52" s="505"/>
      <c r="AH52" s="505"/>
      <c r="AI52" s="505"/>
      <c r="AJ52" s="64" t="s">
        <v>72</v>
      </c>
      <c r="AM52" s="518" t="s">
        <v>73</v>
      </c>
      <c r="AN52" s="505"/>
      <c r="AO52" s="505"/>
      <c r="AP52" s="505"/>
      <c r="AQ52" s="505"/>
    </row>
    <row r="53" spans="2:43" ht="20.149999999999999" customHeight="1" x14ac:dyDescent="0.25">
      <c r="B53" s="464" t="s">
        <v>74</v>
      </c>
      <c r="C53" s="465"/>
      <c r="D53" s="465"/>
      <c r="E53" s="465"/>
      <c r="F53" s="465"/>
      <c r="G53" s="466"/>
      <c r="H53" s="80" t="str">
        <f t="shared" ref="H53:M53" si="7">H50</f>
        <v/>
      </c>
      <c r="I53" s="80" t="str">
        <f t="shared" si="7"/>
        <v/>
      </c>
      <c r="J53" s="80" t="str">
        <f t="shared" si="7"/>
        <v/>
      </c>
      <c r="K53" s="80" t="str">
        <f t="shared" si="7"/>
        <v/>
      </c>
      <c r="L53" s="80" t="str">
        <f t="shared" si="7"/>
        <v/>
      </c>
      <c r="M53" s="80" t="str">
        <f t="shared" si="7"/>
        <v/>
      </c>
      <c r="N53" s="87" t="str">
        <f t="shared" ref="N53:T53" si="8">N50</f>
        <v/>
      </c>
      <c r="O53" s="87" t="str">
        <f t="shared" si="8"/>
        <v/>
      </c>
      <c r="P53" s="87" t="str">
        <f t="shared" si="8"/>
        <v/>
      </c>
      <c r="Q53" s="87" t="str">
        <f t="shared" si="8"/>
        <v/>
      </c>
      <c r="R53" s="87" t="str">
        <f t="shared" si="8"/>
        <v/>
      </c>
      <c r="S53" s="87" t="str">
        <f t="shared" si="8"/>
        <v/>
      </c>
      <c r="T53" s="88" t="str">
        <f t="shared" si="8"/>
        <v/>
      </c>
      <c r="U53" s="71"/>
      <c r="V53" s="505"/>
      <c r="W53" s="505"/>
      <c r="X53" s="505"/>
      <c r="Y53" s="505"/>
      <c r="Z53" s="505"/>
      <c r="AA53" s="64" t="s">
        <v>75</v>
      </c>
      <c r="AM53" s="505"/>
      <c r="AN53" s="505"/>
      <c r="AO53" s="505"/>
      <c r="AP53" s="505"/>
      <c r="AQ53" s="505"/>
    </row>
    <row r="54" spans="2:43" x14ac:dyDescent="0.25">
      <c r="B54" s="64" t="s">
        <v>674</v>
      </c>
    </row>
  </sheetData>
  <sheetProtection algorithmName="SHA-512" hashValue="xbHvdcBcFUVSpkkCrqZ5QzBiDM2EegOvn4rhLQByxrR/6hIR07Ocp0X23cgvvJYH2G1afPIfK+0JyeuaeoH9Vg==" saltValue="AE4XY8GZ65W2PS2PMZKroQ==" spinCount="100000" sheet="1" objects="1" scenarios="1"/>
  <mergeCells count="144">
    <mergeCell ref="B51:G51"/>
    <mergeCell ref="U51:AQ51"/>
    <mergeCell ref="B52:G52"/>
    <mergeCell ref="V52:Z52"/>
    <mergeCell ref="AE52:AI52"/>
    <mergeCell ref="AM52:AQ53"/>
    <mergeCell ref="B53:G53"/>
    <mergeCell ref="V53:Z53"/>
    <mergeCell ref="B50:G50"/>
    <mergeCell ref="V35:Z35"/>
    <mergeCell ref="B39:AQ39"/>
    <mergeCell ref="B47:G47"/>
    <mergeCell ref="H47:K47"/>
    <mergeCell ref="O47:Q47"/>
    <mergeCell ref="V47:AQ49"/>
    <mergeCell ref="H48:T48"/>
    <mergeCell ref="B48:G49"/>
    <mergeCell ref="AG50:AJ50"/>
    <mergeCell ref="AE44:AH44"/>
    <mergeCell ref="AI44:AN44"/>
    <mergeCell ref="AO44:AQ44"/>
    <mergeCell ref="B45:F45"/>
    <mergeCell ref="G45:T45"/>
    <mergeCell ref="U45:W45"/>
    <mergeCell ref="X45:AD45"/>
    <mergeCell ref="AE45:AH45"/>
    <mergeCell ref="AI45:AQ45"/>
    <mergeCell ref="B44:F44"/>
    <mergeCell ref="G44:K44"/>
    <mergeCell ref="L44:T44"/>
    <mergeCell ref="U44:AD44"/>
    <mergeCell ref="AK50:AQ50"/>
    <mergeCell ref="R43:T43"/>
    <mergeCell ref="U43:X43"/>
    <mergeCell ref="Y43:AA43"/>
    <mergeCell ref="U42:X42"/>
    <mergeCell ref="AE43:AQ43"/>
    <mergeCell ref="B43:F43"/>
    <mergeCell ref="G43:I43"/>
    <mergeCell ref="J43:M43"/>
    <mergeCell ref="N43:Q43"/>
    <mergeCell ref="B41:X41"/>
    <mergeCell ref="Y41:AD42"/>
    <mergeCell ref="AE41:AQ42"/>
    <mergeCell ref="B42:F42"/>
    <mergeCell ref="G42:I42"/>
    <mergeCell ref="J42:M42"/>
    <mergeCell ref="N42:Q42"/>
    <mergeCell ref="R42:T42"/>
    <mergeCell ref="V29:AQ31"/>
    <mergeCell ref="H30:T30"/>
    <mergeCell ref="B30:G31"/>
    <mergeCell ref="B29:G29"/>
    <mergeCell ref="H29:K29"/>
    <mergeCell ref="O29:Q29"/>
    <mergeCell ref="B32:G32"/>
    <mergeCell ref="AG32:AJ32"/>
    <mergeCell ref="AK32:AQ32"/>
    <mergeCell ref="B33:G33"/>
    <mergeCell ref="U33:AQ33"/>
    <mergeCell ref="B34:G34"/>
    <mergeCell ref="V34:Z34"/>
    <mergeCell ref="AE34:AI34"/>
    <mergeCell ref="AM34:AQ35"/>
    <mergeCell ref="B35:G35"/>
    <mergeCell ref="Y25:AA25"/>
    <mergeCell ref="AE26:AH26"/>
    <mergeCell ref="AI26:AN26"/>
    <mergeCell ref="AO26:AQ26"/>
    <mergeCell ref="B27:F27"/>
    <mergeCell ref="G27:T27"/>
    <mergeCell ref="U27:W27"/>
    <mergeCell ref="X27:AD27"/>
    <mergeCell ref="AE27:AH27"/>
    <mergeCell ref="AI27:AQ27"/>
    <mergeCell ref="AE25:AQ25"/>
    <mergeCell ref="B25:F25"/>
    <mergeCell ref="G25:I25"/>
    <mergeCell ref="J25:M25"/>
    <mergeCell ref="N25:Q25"/>
    <mergeCell ref="G26:K26"/>
    <mergeCell ref="L26:T26"/>
    <mergeCell ref="U26:AD26"/>
    <mergeCell ref="R25:T25"/>
    <mergeCell ref="U25:X25"/>
    <mergeCell ref="B26:F26"/>
    <mergeCell ref="B21:AQ21"/>
    <mergeCell ref="B23:X23"/>
    <mergeCell ref="Y23:AD24"/>
    <mergeCell ref="AE23:AQ24"/>
    <mergeCell ref="B24:F24"/>
    <mergeCell ref="G24:I24"/>
    <mergeCell ref="J24:M24"/>
    <mergeCell ref="N24:Q24"/>
    <mergeCell ref="R24:T24"/>
    <mergeCell ref="U24:X24"/>
    <mergeCell ref="B3:AQ3"/>
    <mergeCell ref="B12:G13"/>
    <mergeCell ref="V16:Z16"/>
    <mergeCell ref="V17:Z17"/>
    <mergeCell ref="V11:AQ13"/>
    <mergeCell ref="AK14:AQ14"/>
    <mergeCell ref="AG14:AJ14"/>
    <mergeCell ref="U15:AQ15"/>
    <mergeCell ref="AE5:AQ6"/>
    <mergeCell ref="AE7:AQ7"/>
    <mergeCell ref="AE8:AH8"/>
    <mergeCell ref="AI8:AN8"/>
    <mergeCell ref="AE16:AI16"/>
    <mergeCell ref="AM16:AQ17"/>
    <mergeCell ref="U8:AD8"/>
    <mergeCell ref="G9:T9"/>
    <mergeCell ref="U9:W9"/>
    <mergeCell ref="X9:AD9"/>
    <mergeCell ref="B8:F8"/>
    <mergeCell ref="AO8:AQ8"/>
    <mergeCell ref="AE9:AH9"/>
    <mergeCell ref="AI9:AQ9"/>
    <mergeCell ref="L8:T8"/>
    <mergeCell ref="Y5:AD6"/>
    <mergeCell ref="Y7:AA7"/>
    <mergeCell ref="B17:G17"/>
    <mergeCell ref="O11:Q11"/>
    <mergeCell ref="H11:K11"/>
    <mergeCell ref="H12:T12"/>
    <mergeCell ref="B11:G11"/>
    <mergeCell ref="B14:G14"/>
    <mergeCell ref="B15:G15"/>
    <mergeCell ref="B5:X5"/>
    <mergeCell ref="B6:F6"/>
    <mergeCell ref="B7:F7"/>
    <mergeCell ref="R6:T6"/>
    <mergeCell ref="R7:T7"/>
    <mergeCell ref="U6:X6"/>
    <mergeCell ref="U7:X7"/>
    <mergeCell ref="J6:M6"/>
    <mergeCell ref="B16:G16"/>
    <mergeCell ref="J7:M7"/>
    <mergeCell ref="N6:Q6"/>
    <mergeCell ref="N7:Q7"/>
    <mergeCell ref="G6:I6"/>
    <mergeCell ref="G7:I7"/>
    <mergeCell ref="B9:F9"/>
    <mergeCell ref="G8:K8"/>
  </mergeCells>
  <phoneticPr fontId="12" type="noConversion"/>
  <printOptions horizontalCentered="1"/>
  <pageMargins left="0.59055118110236227" right="0.59055118110236227" top="0.78740157480314965" bottom="0.39370078740157483" header="0" footer="0"/>
  <pageSetup paperSize="9" scale="83" orientation="portrait" blackAndWhite="1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K110"/>
  <sheetViews>
    <sheetView zoomScaleNormal="100" workbookViewId="0">
      <selection activeCell="J98" sqref="J98"/>
    </sheetView>
  </sheetViews>
  <sheetFormatPr defaultColWidth="10" defaultRowHeight="14.5" x14ac:dyDescent="0.25"/>
  <cols>
    <col min="1" max="1" width="12.1640625" style="60" customWidth="1"/>
    <col min="2" max="2" width="46" style="49" customWidth="1"/>
    <col min="3" max="3" width="10" style="49" customWidth="1"/>
    <col min="4" max="4" width="10.58203125" style="49" customWidth="1"/>
    <col min="5" max="5" width="8.6640625" style="49" customWidth="1"/>
    <col min="6" max="6" width="46.9140625" style="61" customWidth="1"/>
    <col min="7" max="16384" width="10" style="49"/>
  </cols>
  <sheetData>
    <row r="1" spans="1:11" x14ac:dyDescent="0.25">
      <c r="A1" s="46" t="s">
        <v>503</v>
      </c>
      <c r="B1" s="47" t="s">
        <v>504</v>
      </c>
      <c r="C1" s="47" t="s">
        <v>505</v>
      </c>
      <c r="D1" s="47" t="s">
        <v>506</v>
      </c>
      <c r="E1" s="47" t="s">
        <v>507</v>
      </c>
      <c r="F1" s="48" t="s">
        <v>508</v>
      </c>
    </row>
    <row r="2" spans="1:11" ht="20.149999999999999" customHeight="1" x14ac:dyDescent="0.25">
      <c r="A2" s="50" t="s">
        <v>192</v>
      </c>
      <c r="B2" s="51" t="s">
        <v>509</v>
      </c>
      <c r="C2" s="52">
        <v>135951</v>
      </c>
      <c r="D2" s="52">
        <v>211</v>
      </c>
      <c r="E2" s="62" t="s">
        <v>193</v>
      </c>
      <c r="F2" s="53" t="s">
        <v>194</v>
      </c>
    </row>
    <row r="3" spans="1:11" ht="20.149999999999999" customHeight="1" x14ac:dyDescent="0.25">
      <c r="A3" s="50" t="s">
        <v>195</v>
      </c>
      <c r="B3" s="51" t="s">
        <v>510</v>
      </c>
      <c r="C3" s="52">
        <v>138750</v>
      </c>
      <c r="D3" s="52">
        <v>212</v>
      </c>
      <c r="E3" s="62" t="s">
        <v>196</v>
      </c>
      <c r="F3" s="53" t="s">
        <v>197</v>
      </c>
      <c r="K3" s="49" t="s">
        <v>666</v>
      </c>
    </row>
    <row r="4" spans="1:11" ht="20.149999999999999" customHeight="1" x14ac:dyDescent="0.25">
      <c r="A4" s="50" t="s">
        <v>198</v>
      </c>
      <c r="B4" s="51" t="s">
        <v>511</v>
      </c>
      <c r="C4" s="52">
        <v>210921</v>
      </c>
      <c r="D4" s="52">
        <v>226</v>
      </c>
      <c r="E4" s="62" t="s">
        <v>199</v>
      </c>
      <c r="F4" s="53" t="s">
        <v>512</v>
      </c>
    </row>
    <row r="5" spans="1:11" ht="20.149999999999999" customHeight="1" x14ac:dyDescent="0.25">
      <c r="A5" s="50" t="s">
        <v>200</v>
      </c>
      <c r="B5" s="51" t="s">
        <v>513</v>
      </c>
      <c r="C5" s="52">
        <v>150965</v>
      </c>
      <c r="D5" s="52">
        <v>109</v>
      </c>
      <c r="E5" s="62" t="s">
        <v>201</v>
      </c>
      <c r="F5" s="53" t="s">
        <v>202</v>
      </c>
    </row>
    <row r="6" spans="1:11" ht="20.149999999999999" customHeight="1" x14ac:dyDescent="0.25">
      <c r="A6" s="50" t="s">
        <v>203</v>
      </c>
      <c r="B6" s="51" t="s">
        <v>514</v>
      </c>
      <c r="C6" s="52">
        <v>670807</v>
      </c>
      <c r="D6" s="52">
        <v>611</v>
      </c>
      <c r="E6" s="62" t="s">
        <v>204</v>
      </c>
      <c r="F6" s="53" t="s">
        <v>205</v>
      </c>
    </row>
    <row r="7" spans="1:11" ht="20.149999999999999" customHeight="1" x14ac:dyDescent="0.25">
      <c r="A7" s="50" t="s">
        <v>206</v>
      </c>
      <c r="B7" s="51" t="s">
        <v>515</v>
      </c>
      <c r="C7" s="52">
        <v>712704</v>
      </c>
      <c r="D7" s="52">
        <v>515</v>
      </c>
      <c r="E7" s="62" t="s">
        <v>207</v>
      </c>
      <c r="F7" s="53" t="s">
        <v>208</v>
      </c>
    </row>
    <row r="8" spans="1:11" ht="20.149999999999999" customHeight="1" x14ac:dyDescent="0.25">
      <c r="A8" s="50" t="s">
        <v>209</v>
      </c>
      <c r="B8" s="51" t="s">
        <v>516</v>
      </c>
      <c r="C8" s="52">
        <v>780947</v>
      </c>
      <c r="D8" s="52">
        <v>505</v>
      </c>
      <c r="E8" s="62" t="s">
        <v>210</v>
      </c>
      <c r="F8" s="53" t="s">
        <v>211</v>
      </c>
    </row>
    <row r="9" spans="1:11" ht="20.149999999999999" customHeight="1" x14ac:dyDescent="0.25">
      <c r="A9" s="50" t="s">
        <v>212</v>
      </c>
      <c r="B9" s="51" t="s">
        <v>517</v>
      </c>
      <c r="C9" s="52">
        <v>410741</v>
      </c>
      <c r="D9" s="52">
        <v>128</v>
      </c>
      <c r="E9" s="62" t="s">
        <v>213</v>
      </c>
      <c r="F9" s="53" t="s">
        <v>518</v>
      </c>
    </row>
    <row r="10" spans="1:11" ht="20.149999999999999" customHeight="1" x14ac:dyDescent="0.25">
      <c r="A10" s="50" t="s">
        <v>214</v>
      </c>
      <c r="B10" s="51" t="s">
        <v>519</v>
      </c>
      <c r="C10" s="52">
        <v>314800</v>
      </c>
      <c r="D10" s="52">
        <v>307</v>
      </c>
      <c r="E10" s="62" t="s">
        <v>215</v>
      </c>
      <c r="F10" s="53" t="s">
        <v>216</v>
      </c>
    </row>
    <row r="11" spans="1:11" ht="30" customHeight="1" x14ac:dyDescent="0.25">
      <c r="A11" s="50" t="s">
        <v>217</v>
      </c>
      <c r="B11" s="51" t="s">
        <v>520</v>
      </c>
      <c r="C11" s="52">
        <v>501120</v>
      </c>
      <c r="D11" s="52">
        <v>408</v>
      </c>
      <c r="E11" s="62" t="s">
        <v>218</v>
      </c>
      <c r="F11" s="53" t="s">
        <v>521</v>
      </c>
    </row>
    <row r="12" spans="1:11" ht="20.149999999999999" customHeight="1" x14ac:dyDescent="0.25">
      <c r="A12" s="50" t="s">
        <v>219</v>
      </c>
      <c r="B12" s="51" t="s">
        <v>522</v>
      </c>
      <c r="C12" s="52">
        <v>150954</v>
      </c>
      <c r="D12" s="52">
        <v>113</v>
      </c>
      <c r="E12" s="62" t="s">
        <v>220</v>
      </c>
      <c r="F12" s="53" t="s">
        <v>221</v>
      </c>
    </row>
    <row r="13" spans="1:11" ht="20.149999999999999" customHeight="1" x14ac:dyDescent="0.25">
      <c r="A13" s="50" t="s">
        <v>222</v>
      </c>
      <c r="B13" s="51" t="s">
        <v>523</v>
      </c>
      <c r="C13" s="52">
        <v>730902</v>
      </c>
      <c r="D13" s="52">
        <v>513</v>
      </c>
      <c r="E13" s="62" t="s">
        <v>223</v>
      </c>
      <c r="F13" s="53" t="s">
        <v>224</v>
      </c>
    </row>
    <row r="14" spans="1:11" ht="20.149999999999999" customHeight="1" x14ac:dyDescent="0.25">
      <c r="A14" s="50" t="s">
        <v>225</v>
      </c>
      <c r="B14" s="51" t="s">
        <v>524</v>
      </c>
      <c r="C14" s="52">
        <v>573880</v>
      </c>
      <c r="D14" s="52">
        <v>401</v>
      </c>
      <c r="E14" s="62" t="s">
        <v>226</v>
      </c>
      <c r="F14" s="53" t="s">
        <v>227</v>
      </c>
    </row>
    <row r="15" spans="1:11" ht="20.149999999999999" customHeight="1" x14ac:dyDescent="0.25">
      <c r="A15" s="50" t="s">
        <v>228</v>
      </c>
      <c r="B15" s="51" t="s">
        <v>525</v>
      </c>
      <c r="C15" s="52">
        <v>609703</v>
      </c>
      <c r="D15" s="52">
        <v>621</v>
      </c>
      <c r="E15" s="62" t="s">
        <v>229</v>
      </c>
      <c r="F15" s="53" t="s">
        <v>230</v>
      </c>
    </row>
    <row r="16" spans="1:11" ht="20.149999999999999" customHeight="1" x14ac:dyDescent="0.25">
      <c r="A16" s="50" t="s">
        <v>231</v>
      </c>
      <c r="B16" s="51" t="s">
        <v>526</v>
      </c>
      <c r="C16" s="52">
        <v>153703</v>
      </c>
      <c r="D16" s="52">
        <v>119</v>
      </c>
      <c r="E16" s="62" t="s">
        <v>232</v>
      </c>
      <c r="F16" s="53" t="s">
        <v>527</v>
      </c>
    </row>
    <row r="17" spans="1:6" ht="20.149999999999999" customHeight="1" x14ac:dyDescent="0.25">
      <c r="A17" s="50" t="s">
        <v>233</v>
      </c>
      <c r="B17" s="51" t="s">
        <v>528</v>
      </c>
      <c r="C17" s="52">
        <v>740708</v>
      </c>
      <c r="D17" s="52">
        <v>510</v>
      </c>
      <c r="E17" s="62" t="s">
        <v>234</v>
      </c>
      <c r="F17" s="53" t="s">
        <v>235</v>
      </c>
    </row>
    <row r="18" spans="1:6" ht="20.149999999999999" customHeight="1" x14ac:dyDescent="0.25">
      <c r="A18" s="50" t="s">
        <v>236</v>
      </c>
      <c r="B18" s="51" t="s">
        <v>529</v>
      </c>
      <c r="C18" s="52">
        <v>621703</v>
      </c>
      <c r="D18" s="52">
        <v>615</v>
      </c>
      <c r="E18" s="62" t="s">
        <v>237</v>
      </c>
      <c r="F18" s="53" t="s">
        <v>238</v>
      </c>
    </row>
    <row r="19" spans="1:6" ht="20.149999999999999" customHeight="1" x14ac:dyDescent="0.25">
      <c r="A19" s="50" t="s">
        <v>239</v>
      </c>
      <c r="B19" s="51" t="s">
        <v>530</v>
      </c>
      <c r="C19" s="52">
        <v>520130</v>
      </c>
      <c r="D19" s="52">
        <v>412</v>
      </c>
      <c r="E19" s="62" t="s">
        <v>240</v>
      </c>
      <c r="F19" s="53" t="s">
        <v>241</v>
      </c>
    </row>
    <row r="20" spans="1:6" ht="20.149999999999999" customHeight="1" x14ac:dyDescent="0.25">
      <c r="A20" s="50" t="s">
        <v>242</v>
      </c>
      <c r="B20" s="51" t="s">
        <v>531</v>
      </c>
      <c r="C20" s="52">
        <v>705790</v>
      </c>
      <c r="D20" s="52">
        <v>514</v>
      </c>
      <c r="E20" s="62" t="s">
        <v>243</v>
      </c>
      <c r="F20" s="53" t="s">
        <v>244</v>
      </c>
    </row>
    <row r="21" spans="1:6" ht="30" customHeight="1" x14ac:dyDescent="0.25">
      <c r="A21" s="50" t="s">
        <v>245</v>
      </c>
      <c r="B21" s="51" t="s">
        <v>532</v>
      </c>
      <c r="C21" s="52">
        <v>100769</v>
      </c>
      <c r="D21" s="52">
        <v>104</v>
      </c>
      <c r="E21" s="62" t="s">
        <v>246</v>
      </c>
      <c r="F21" s="53" t="s">
        <v>533</v>
      </c>
    </row>
    <row r="22" spans="1:6" ht="100.25" customHeight="1" x14ac:dyDescent="0.25">
      <c r="A22" s="50" t="s">
        <v>247</v>
      </c>
      <c r="B22" s="51" t="s">
        <v>534</v>
      </c>
      <c r="C22" s="52">
        <v>471703</v>
      </c>
      <c r="D22" s="52">
        <v>132</v>
      </c>
      <c r="E22" s="62" t="s">
        <v>248</v>
      </c>
      <c r="F22" s="53" t="s">
        <v>249</v>
      </c>
    </row>
    <row r="23" spans="1:6" ht="20.149999999999999" customHeight="1" x14ac:dyDescent="0.25">
      <c r="A23" s="50" t="s">
        <v>250</v>
      </c>
      <c r="B23" s="51" t="s">
        <v>535</v>
      </c>
      <c r="C23" s="52">
        <v>590010</v>
      </c>
      <c r="D23" s="52">
        <v>407</v>
      </c>
      <c r="E23" s="62" t="s">
        <v>251</v>
      </c>
      <c r="F23" s="53" t="s">
        <v>252</v>
      </c>
    </row>
    <row r="24" spans="1:6" ht="20.149999999999999" customHeight="1" x14ac:dyDescent="0.25">
      <c r="A24" s="50" t="s">
        <v>253</v>
      </c>
      <c r="B24" s="51" t="s">
        <v>536</v>
      </c>
      <c r="C24" s="52">
        <v>405729</v>
      </c>
      <c r="D24" s="52">
        <v>131</v>
      </c>
      <c r="E24" s="62" t="s">
        <v>254</v>
      </c>
      <c r="F24" s="53" t="s">
        <v>255</v>
      </c>
    </row>
    <row r="25" spans="1:6" ht="20.149999999999999" customHeight="1" x14ac:dyDescent="0.25">
      <c r="A25" s="50" t="s">
        <v>537</v>
      </c>
      <c r="B25" s="54" t="s">
        <v>538</v>
      </c>
      <c r="C25" s="52">
        <v>132899</v>
      </c>
      <c r="D25" s="52">
        <v>217</v>
      </c>
      <c r="E25" s="62" t="s">
        <v>539</v>
      </c>
      <c r="F25" s="55" t="s">
        <v>256</v>
      </c>
    </row>
    <row r="26" spans="1:6" ht="20.149999999999999" customHeight="1" x14ac:dyDescent="0.25">
      <c r="A26" s="50" t="s">
        <v>257</v>
      </c>
      <c r="B26" s="51" t="s">
        <v>540</v>
      </c>
      <c r="C26" s="52">
        <v>320702</v>
      </c>
      <c r="D26" s="52">
        <v>308</v>
      </c>
      <c r="E26" s="62" t="s">
        <v>258</v>
      </c>
      <c r="F26" s="53" t="s">
        <v>259</v>
      </c>
    </row>
    <row r="27" spans="1:6" ht="20.149999999999999" customHeight="1" x14ac:dyDescent="0.25">
      <c r="A27" s="50" t="s">
        <v>260</v>
      </c>
      <c r="B27" s="51" t="s">
        <v>541</v>
      </c>
      <c r="C27" s="52">
        <v>301707</v>
      </c>
      <c r="D27" s="52">
        <v>305</v>
      </c>
      <c r="E27" s="62" t="s">
        <v>261</v>
      </c>
      <c r="F27" s="53" t="s">
        <v>262</v>
      </c>
    </row>
    <row r="28" spans="1:6" ht="30" customHeight="1" x14ac:dyDescent="0.25">
      <c r="A28" s="50" t="s">
        <v>263</v>
      </c>
      <c r="B28" s="51" t="s">
        <v>542</v>
      </c>
      <c r="C28" s="52">
        <v>142702</v>
      </c>
      <c r="D28" s="52">
        <v>210</v>
      </c>
      <c r="E28" s="62" t="s">
        <v>264</v>
      </c>
      <c r="F28" s="53" t="s">
        <v>543</v>
      </c>
    </row>
    <row r="29" spans="1:6" ht="50.15" customHeight="1" x14ac:dyDescent="0.25">
      <c r="A29" s="50" t="s">
        <v>265</v>
      </c>
      <c r="B29" s="51" t="s">
        <v>544</v>
      </c>
      <c r="C29" s="52">
        <v>701732</v>
      </c>
      <c r="D29" s="52">
        <v>502</v>
      </c>
      <c r="E29" s="62" t="s">
        <v>266</v>
      </c>
      <c r="F29" s="53" t="s">
        <v>267</v>
      </c>
    </row>
    <row r="30" spans="1:6" ht="20.149999999999999" customHeight="1" x14ac:dyDescent="0.25">
      <c r="A30" s="50" t="s">
        <v>268</v>
      </c>
      <c r="B30" s="51" t="s">
        <v>545</v>
      </c>
      <c r="C30" s="52">
        <v>130704</v>
      </c>
      <c r="D30" s="52">
        <v>204</v>
      </c>
      <c r="E30" s="62" t="s">
        <v>269</v>
      </c>
      <c r="F30" s="53" t="s">
        <v>270</v>
      </c>
    </row>
    <row r="31" spans="1:6" ht="20.149999999999999" customHeight="1" x14ac:dyDescent="0.25">
      <c r="A31" s="50" t="s">
        <v>271</v>
      </c>
      <c r="B31" s="51" t="s">
        <v>546</v>
      </c>
      <c r="C31" s="52">
        <v>611707</v>
      </c>
      <c r="D31" s="52">
        <v>607</v>
      </c>
      <c r="E31" s="62" t="s">
        <v>272</v>
      </c>
      <c r="F31" s="53" t="s">
        <v>273</v>
      </c>
    </row>
    <row r="32" spans="1:6" ht="20.149999999999999" customHeight="1" x14ac:dyDescent="0.25">
      <c r="A32" s="50" t="s">
        <v>274</v>
      </c>
      <c r="B32" s="51" t="s">
        <v>547</v>
      </c>
      <c r="C32" s="52">
        <v>443701</v>
      </c>
      <c r="D32" s="52">
        <v>135</v>
      </c>
      <c r="E32" s="62" t="s">
        <v>275</v>
      </c>
      <c r="F32" s="53" t="s">
        <v>548</v>
      </c>
    </row>
    <row r="33" spans="1:6" ht="20.149999999999999" customHeight="1" x14ac:dyDescent="0.25">
      <c r="A33" s="50" t="s">
        <v>549</v>
      </c>
      <c r="B33" s="54" t="s">
        <v>550</v>
      </c>
      <c r="C33" s="52">
        <v>431060</v>
      </c>
      <c r="D33" s="52">
        <v>138</v>
      </c>
      <c r="E33" s="62" t="s">
        <v>551</v>
      </c>
      <c r="F33" s="55" t="s">
        <v>276</v>
      </c>
    </row>
    <row r="34" spans="1:6" ht="20.149999999999999" customHeight="1" x14ac:dyDescent="0.25">
      <c r="A34" s="50" t="s">
        <v>552</v>
      </c>
      <c r="B34" s="54" t="s">
        <v>553</v>
      </c>
      <c r="C34" s="52">
        <v>683300</v>
      </c>
      <c r="D34" s="52">
        <v>620</v>
      </c>
      <c r="E34" s="62" t="s">
        <v>277</v>
      </c>
      <c r="F34" s="55" t="s">
        <v>278</v>
      </c>
    </row>
    <row r="35" spans="1:6" ht="20.149999999999999" customHeight="1" x14ac:dyDescent="0.25">
      <c r="A35" s="50" t="s">
        <v>279</v>
      </c>
      <c r="B35" s="51" t="s">
        <v>554</v>
      </c>
      <c r="C35" s="52">
        <v>156050</v>
      </c>
      <c r="D35" s="52">
        <v>108</v>
      </c>
      <c r="E35" s="62" t="s">
        <v>280</v>
      </c>
      <c r="F35" s="53" t="s">
        <v>281</v>
      </c>
    </row>
    <row r="36" spans="1:6" ht="20.149999999999999" customHeight="1" x14ac:dyDescent="0.25">
      <c r="A36" s="50" t="s">
        <v>555</v>
      </c>
      <c r="B36" s="51" t="s">
        <v>556</v>
      </c>
      <c r="C36" s="62">
        <v>360714</v>
      </c>
      <c r="D36" s="52">
        <v>317</v>
      </c>
      <c r="E36" s="62" t="s">
        <v>557</v>
      </c>
      <c r="F36" s="53" t="s">
        <v>558</v>
      </c>
    </row>
    <row r="37" spans="1:6" ht="30" customHeight="1" x14ac:dyDescent="0.25">
      <c r="A37" s="50" t="s">
        <v>282</v>
      </c>
      <c r="B37" s="51" t="s">
        <v>559</v>
      </c>
      <c r="C37" s="52">
        <v>631707</v>
      </c>
      <c r="D37" s="52">
        <v>608</v>
      </c>
      <c r="E37" s="62" t="s">
        <v>283</v>
      </c>
      <c r="F37" s="53" t="s">
        <v>284</v>
      </c>
    </row>
    <row r="38" spans="1:6" ht="20.149999999999999" customHeight="1" x14ac:dyDescent="0.25">
      <c r="A38" s="50" t="s">
        <v>285</v>
      </c>
      <c r="B38" s="51" t="s">
        <v>560</v>
      </c>
      <c r="C38" s="52">
        <v>121712</v>
      </c>
      <c r="D38" s="52">
        <v>105</v>
      </c>
      <c r="E38" s="62" t="s">
        <v>286</v>
      </c>
      <c r="F38" s="53" t="s">
        <v>287</v>
      </c>
    </row>
    <row r="39" spans="1:6" ht="30" customHeight="1" x14ac:dyDescent="0.25">
      <c r="A39" s="50" t="s">
        <v>288</v>
      </c>
      <c r="B39" s="51" t="s">
        <v>561</v>
      </c>
      <c r="C39" s="52">
        <v>530704</v>
      </c>
      <c r="D39" s="52">
        <v>411</v>
      </c>
      <c r="E39" s="62" t="s">
        <v>289</v>
      </c>
      <c r="F39" s="53" t="s">
        <v>290</v>
      </c>
    </row>
    <row r="40" spans="1:6" ht="20.149999999999999" customHeight="1" x14ac:dyDescent="0.25">
      <c r="A40" s="50" t="s">
        <v>291</v>
      </c>
      <c r="B40" s="51" t="s">
        <v>562</v>
      </c>
      <c r="C40" s="52">
        <v>137708</v>
      </c>
      <c r="D40" s="52">
        <v>114</v>
      </c>
      <c r="E40" s="62" t="s">
        <v>292</v>
      </c>
      <c r="F40" s="53" t="s">
        <v>563</v>
      </c>
    </row>
    <row r="41" spans="1:6" ht="20.149999999999999" customHeight="1" x14ac:dyDescent="0.25">
      <c r="A41" s="50" t="s">
        <v>293</v>
      </c>
      <c r="B41" s="51" t="s">
        <v>564</v>
      </c>
      <c r="C41" s="52">
        <v>355070</v>
      </c>
      <c r="D41" s="52">
        <v>313</v>
      </c>
      <c r="E41" s="62" t="s">
        <v>294</v>
      </c>
      <c r="F41" s="53" t="s">
        <v>295</v>
      </c>
    </row>
    <row r="42" spans="1:6" ht="20.149999999999999" customHeight="1" x14ac:dyDescent="0.25">
      <c r="A42" s="50" t="s">
        <v>296</v>
      </c>
      <c r="B42" s="51" t="s">
        <v>565</v>
      </c>
      <c r="C42" s="52">
        <v>601722</v>
      </c>
      <c r="D42" s="52">
        <v>605</v>
      </c>
      <c r="E42" s="62" t="s">
        <v>297</v>
      </c>
      <c r="F42" s="53" t="s">
        <v>298</v>
      </c>
    </row>
    <row r="43" spans="1:6" ht="20.149999999999999" customHeight="1" x14ac:dyDescent="0.25">
      <c r="A43" s="50" t="s">
        <v>299</v>
      </c>
      <c r="B43" s="51" t="s">
        <v>566</v>
      </c>
      <c r="C43" s="52">
        <v>420706</v>
      </c>
      <c r="D43" s="52">
        <v>130</v>
      </c>
      <c r="E43" s="62" t="s">
        <v>300</v>
      </c>
      <c r="F43" s="53" t="s">
        <v>567</v>
      </c>
    </row>
    <row r="44" spans="1:6" ht="20.149999999999999" customHeight="1" x14ac:dyDescent="0.25">
      <c r="A44" s="50" t="s">
        <v>301</v>
      </c>
      <c r="B44" s="51" t="s">
        <v>568</v>
      </c>
      <c r="C44" s="52">
        <v>500705</v>
      </c>
      <c r="D44" s="52">
        <v>409</v>
      </c>
      <c r="E44" s="62" t="s">
        <v>302</v>
      </c>
      <c r="F44" s="53" t="s">
        <v>303</v>
      </c>
    </row>
    <row r="45" spans="1:6" ht="20.149999999999999" customHeight="1" x14ac:dyDescent="0.25">
      <c r="A45" s="50" t="s">
        <v>304</v>
      </c>
      <c r="B45" s="51" t="s">
        <v>569</v>
      </c>
      <c r="C45" s="52">
        <v>702857</v>
      </c>
      <c r="D45" s="52">
        <v>504</v>
      </c>
      <c r="E45" s="62" t="s">
        <v>305</v>
      </c>
      <c r="F45" s="53" t="s">
        <v>306</v>
      </c>
    </row>
    <row r="46" spans="1:6" ht="20.149999999999999" customHeight="1" x14ac:dyDescent="0.25">
      <c r="A46" s="50" t="s">
        <v>307</v>
      </c>
      <c r="B46" s="51" t="s">
        <v>570</v>
      </c>
      <c r="C46" s="52">
        <v>617704</v>
      </c>
      <c r="D46" s="52">
        <v>606</v>
      </c>
      <c r="E46" s="62" t="s">
        <v>308</v>
      </c>
      <c r="F46" s="53" t="s">
        <v>309</v>
      </c>
    </row>
    <row r="47" spans="1:6" ht="20.149999999999999" customHeight="1" x14ac:dyDescent="0.25">
      <c r="A47" s="50" t="s">
        <v>310</v>
      </c>
      <c r="B47" s="51" t="s">
        <v>571</v>
      </c>
      <c r="C47" s="52">
        <v>407702</v>
      </c>
      <c r="D47" s="52">
        <v>122</v>
      </c>
      <c r="E47" s="62" t="s">
        <v>311</v>
      </c>
      <c r="F47" s="53" t="s">
        <v>572</v>
      </c>
    </row>
    <row r="48" spans="1:6" ht="20.149999999999999" customHeight="1" x14ac:dyDescent="0.25">
      <c r="A48" s="50" t="s">
        <v>573</v>
      </c>
      <c r="B48" s="51" t="s">
        <v>574</v>
      </c>
      <c r="C48" s="52">
        <v>561837</v>
      </c>
      <c r="D48" s="52">
        <v>418</v>
      </c>
      <c r="E48" s="62" t="s">
        <v>575</v>
      </c>
      <c r="F48" s="53" t="s">
        <v>576</v>
      </c>
    </row>
    <row r="49" spans="1:6" ht="20.149999999999999" customHeight="1" x14ac:dyDescent="0.25">
      <c r="A49" s="50" t="s">
        <v>577</v>
      </c>
      <c r="B49" s="51" t="s">
        <v>578</v>
      </c>
      <c r="C49" s="52">
        <v>463825</v>
      </c>
      <c r="D49" s="52">
        <v>144</v>
      </c>
      <c r="E49" s="62" t="s">
        <v>579</v>
      </c>
      <c r="F49" s="53" t="s">
        <v>580</v>
      </c>
    </row>
    <row r="50" spans="1:6" ht="20.149999999999999" customHeight="1" x14ac:dyDescent="0.25">
      <c r="A50" s="50" t="s">
        <v>312</v>
      </c>
      <c r="B50" s="51" t="s">
        <v>581</v>
      </c>
      <c r="C50" s="52">
        <v>135753</v>
      </c>
      <c r="D50" s="52">
        <v>120</v>
      </c>
      <c r="E50" s="62" t="s">
        <v>313</v>
      </c>
      <c r="F50" s="53" t="s">
        <v>314</v>
      </c>
    </row>
    <row r="51" spans="1:6" ht="20.149999999999999" customHeight="1" x14ac:dyDescent="0.25">
      <c r="A51" s="50" t="s">
        <v>315</v>
      </c>
      <c r="B51" s="51" t="s">
        <v>582</v>
      </c>
      <c r="C51" s="52">
        <v>245080</v>
      </c>
      <c r="D51" s="52">
        <v>222</v>
      </c>
      <c r="E51" s="62" t="s">
        <v>316</v>
      </c>
      <c r="F51" s="53" t="s">
        <v>317</v>
      </c>
    </row>
    <row r="52" spans="1:6" ht="30" customHeight="1" x14ac:dyDescent="0.25">
      <c r="A52" s="50" t="s">
        <v>318</v>
      </c>
      <c r="B52" s="51" t="s">
        <v>583</v>
      </c>
      <c r="C52" s="52">
        <v>742260</v>
      </c>
      <c r="D52" s="52">
        <v>511</v>
      </c>
      <c r="E52" s="62" t="s">
        <v>319</v>
      </c>
      <c r="F52" s="53" t="s">
        <v>320</v>
      </c>
    </row>
    <row r="53" spans="1:6" ht="30" customHeight="1" x14ac:dyDescent="0.25">
      <c r="A53" s="50" t="s">
        <v>321</v>
      </c>
      <c r="B53" s="51" t="s">
        <v>584</v>
      </c>
      <c r="C53" s="52">
        <v>502706</v>
      </c>
      <c r="D53" s="52">
        <v>410</v>
      </c>
      <c r="E53" s="62" t="s">
        <v>322</v>
      </c>
      <c r="F53" s="53" t="s">
        <v>323</v>
      </c>
    </row>
    <row r="54" spans="1:6" ht="20.149999999999999" customHeight="1" x14ac:dyDescent="0.25">
      <c r="A54" s="50" t="s">
        <v>324</v>
      </c>
      <c r="B54" s="51" t="s">
        <v>585</v>
      </c>
      <c r="C54" s="52">
        <v>704911</v>
      </c>
      <c r="D54" s="52">
        <v>503</v>
      </c>
      <c r="E54" s="62" t="s">
        <v>325</v>
      </c>
      <c r="F54" s="53" t="s">
        <v>586</v>
      </c>
    </row>
    <row r="55" spans="1:6" ht="20.149999999999999" customHeight="1" x14ac:dyDescent="0.25">
      <c r="A55" s="50" t="s">
        <v>326</v>
      </c>
      <c r="B55" s="51" t="s">
        <v>587</v>
      </c>
      <c r="C55" s="52">
        <v>120785</v>
      </c>
      <c r="D55" s="52">
        <v>110</v>
      </c>
      <c r="E55" s="62" t="s">
        <v>327</v>
      </c>
      <c r="F55" s="53" t="s">
        <v>328</v>
      </c>
    </row>
    <row r="56" spans="1:6" ht="20.149999999999999" customHeight="1" x14ac:dyDescent="0.25">
      <c r="A56" s="50" t="s">
        <v>329</v>
      </c>
      <c r="B56" s="51" t="s">
        <v>588</v>
      </c>
      <c r="C56" s="52">
        <v>302706</v>
      </c>
      <c r="D56" s="52">
        <v>314</v>
      </c>
      <c r="E56" s="62" t="s">
        <v>330</v>
      </c>
      <c r="F56" s="53" t="s">
        <v>331</v>
      </c>
    </row>
    <row r="57" spans="1:6" ht="60" customHeight="1" x14ac:dyDescent="0.25">
      <c r="A57" s="50" t="s">
        <v>332</v>
      </c>
      <c r="B57" s="51" t="s">
        <v>589</v>
      </c>
      <c r="C57" s="52">
        <v>602061</v>
      </c>
      <c r="D57" s="52">
        <v>603</v>
      </c>
      <c r="E57" s="62" t="s">
        <v>333</v>
      </c>
      <c r="F57" s="53" t="s">
        <v>334</v>
      </c>
    </row>
    <row r="58" spans="1:6" ht="20.149999999999999" customHeight="1" x14ac:dyDescent="0.25">
      <c r="A58" s="50" t="s">
        <v>335</v>
      </c>
      <c r="B58" s="51" t="s">
        <v>590</v>
      </c>
      <c r="C58" s="52">
        <v>356030</v>
      </c>
      <c r="D58" s="52">
        <v>316</v>
      </c>
      <c r="E58" s="62" t="s">
        <v>336</v>
      </c>
      <c r="F58" s="53" t="s">
        <v>337</v>
      </c>
    </row>
    <row r="59" spans="1:6" ht="50.15" customHeight="1" x14ac:dyDescent="0.25">
      <c r="A59" s="50" t="s">
        <v>338</v>
      </c>
      <c r="B59" s="51" t="s">
        <v>591</v>
      </c>
      <c r="C59" s="52">
        <v>404703</v>
      </c>
      <c r="D59" s="52">
        <v>137</v>
      </c>
      <c r="E59" s="62" t="s">
        <v>339</v>
      </c>
      <c r="F59" s="53" t="s">
        <v>340</v>
      </c>
    </row>
    <row r="60" spans="1:6" ht="20.149999999999999" customHeight="1" x14ac:dyDescent="0.25">
      <c r="A60" s="50" t="s">
        <v>341</v>
      </c>
      <c r="B60" s="51" t="s">
        <v>592</v>
      </c>
      <c r="C60" s="52">
        <v>135753</v>
      </c>
      <c r="D60" s="52">
        <v>214</v>
      </c>
      <c r="E60" s="62" t="s">
        <v>342</v>
      </c>
      <c r="F60" s="53" t="s">
        <v>343</v>
      </c>
    </row>
    <row r="61" spans="1:6" ht="20.149999999999999" customHeight="1" x14ac:dyDescent="0.25">
      <c r="A61" s="50" t="s">
        <v>344</v>
      </c>
      <c r="B61" s="51" t="s">
        <v>593</v>
      </c>
      <c r="C61" s="52">
        <v>461704</v>
      </c>
      <c r="D61" s="52">
        <v>129</v>
      </c>
      <c r="E61" s="62" t="s">
        <v>345</v>
      </c>
      <c r="F61" s="53" t="s">
        <v>594</v>
      </c>
    </row>
    <row r="62" spans="1:6" ht="50.15" customHeight="1" x14ac:dyDescent="0.25">
      <c r="A62" s="50" t="s">
        <v>346</v>
      </c>
      <c r="B62" s="51" t="s">
        <v>595</v>
      </c>
      <c r="C62" s="52">
        <v>133703</v>
      </c>
      <c r="D62" s="52">
        <v>206</v>
      </c>
      <c r="E62" s="62" t="s">
        <v>347</v>
      </c>
      <c r="F62" s="53" t="s">
        <v>348</v>
      </c>
    </row>
    <row r="63" spans="1:6" ht="20.149999999999999" customHeight="1" x14ac:dyDescent="0.25">
      <c r="A63" s="50" t="s">
        <v>349</v>
      </c>
      <c r="B63" s="51" t="s">
        <v>596</v>
      </c>
      <c r="C63" s="52">
        <v>136708</v>
      </c>
      <c r="D63" s="52">
        <v>209</v>
      </c>
      <c r="E63" s="62" t="s">
        <v>350</v>
      </c>
      <c r="F63" s="53" t="s">
        <v>351</v>
      </c>
    </row>
    <row r="64" spans="1:6" ht="30" customHeight="1" x14ac:dyDescent="0.25">
      <c r="A64" s="50" t="s">
        <v>352</v>
      </c>
      <c r="B64" s="51" t="s">
        <v>597</v>
      </c>
      <c r="C64" s="52">
        <v>217060</v>
      </c>
      <c r="D64" s="52">
        <v>227</v>
      </c>
      <c r="E64" s="62" t="s">
        <v>353</v>
      </c>
      <c r="F64" s="53" t="s">
        <v>354</v>
      </c>
    </row>
    <row r="65" spans="1:6" ht="20.149999999999999" customHeight="1" x14ac:dyDescent="0.25">
      <c r="A65" s="50" t="s">
        <v>355</v>
      </c>
      <c r="B65" s="51" t="s">
        <v>510</v>
      </c>
      <c r="C65" s="52">
        <v>138706</v>
      </c>
      <c r="D65" s="52">
        <v>215</v>
      </c>
      <c r="E65" s="62" t="s">
        <v>356</v>
      </c>
      <c r="F65" s="53" t="s">
        <v>357</v>
      </c>
    </row>
    <row r="66" spans="1:6" ht="20.149999999999999" customHeight="1" x14ac:dyDescent="0.25">
      <c r="A66" s="50" t="s">
        <v>358</v>
      </c>
      <c r="B66" s="51" t="s">
        <v>598</v>
      </c>
      <c r="C66" s="52">
        <v>613703</v>
      </c>
      <c r="D66" s="52">
        <v>617</v>
      </c>
      <c r="E66" s="62" t="s">
        <v>359</v>
      </c>
      <c r="F66" s="53" t="s">
        <v>360</v>
      </c>
    </row>
    <row r="67" spans="1:6" ht="20.149999999999999" customHeight="1" x14ac:dyDescent="0.25">
      <c r="A67" s="50" t="s">
        <v>361</v>
      </c>
      <c r="B67" s="51" t="s">
        <v>599</v>
      </c>
      <c r="C67" s="52">
        <v>442785</v>
      </c>
      <c r="D67" s="52">
        <v>124</v>
      </c>
      <c r="E67" s="62" t="s">
        <v>362</v>
      </c>
      <c r="F67" s="53" t="s">
        <v>600</v>
      </c>
    </row>
    <row r="68" spans="1:6" ht="20.149999999999999" customHeight="1" x14ac:dyDescent="0.25">
      <c r="A68" s="50" t="s">
        <v>363</v>
      </c>
      <c r="B68" s="51" t="s">
        <v>601</v>
      </c>
      <c r="C68" s="52">
        <v>540712</v>
      </c>
      <c r="D68" s="52">
        <v>416</v>
      </c>
      <c r="E68" s="62" t="s">
        <v>364</v>
      </c>
      <c r="F68" s="53" t="s">
        <v>365</v>
      </c>
    </row>
    <row r="69" spans="1:6" ht="20.149999999999999" customHeight="1" x14ac:dyDescent="0.25">
      <c r="A69" s="50" t="s">
        <v>602</v>
      </c>
      <c r="B69" s="54" t="s">
        <v>603</v>
      </c>
      <c r="C69" s="52">
        <v>429450</v>
      </c>
      <c r="D69" s="52">
        <v>140</v>
      </c>
      <c r="E69" s="62" t="s">
        <v>604</v>
      </c>
      <c r="F69" s="55" t="s">
        <v>366</v>
      </c>
    </row>
    <row r="70" spans="1:6" ht="20.149999999999999" customHeight="1" x14ac:dyDescent="0.25">
      <c r="A70" s="50" t="s">
        <v>367</v>
      </c>
      <c r="B70" s="51" t="s">
        <v>605</v>
      </c>
      <c r="C70" s="52">
        <v>760050</v>
      </c>
      <c r="D70" s="52">
        <v>508</v>
      </c>
      <c r="E70" s="62" t="s">
        <v>368</v>
      </c>
      <c r="F70" s="53" t="s">
        <v>369</v>
      </c>
    </row>
    <row r="71" spans="1:6" ht="20.149999999999999" customHeight="1" x14ac:dyDescent="0.25">
      <c r="A71" s="50" t="s">
        <v>370</v>
      </c>
      <c r="B71" s="51" t="s">
        <v>606</v>
      </c>
      <c r="C71" s="52">
        <v>425704</v>
      </c>
      <c r="D71" s="52">
        <v>134</v>
      </c>
      <c r="E71" s="62" t="s">
        <v>371</v>
      </c>
      <c r="F71" s="53" t="s">
        <v>607</v>
      </c>
    </row>
    <row r="72" spans="1:6" ht="20.149999999999999" customHeight="1" x14ac:dyDescent="0.25">
      <c r="A72" s="50" t="s">
        <v>372</v>
      </c>
      <c r="B72" s="51" t="s">
        <v>608</v>
      </c>
      <c r="C72" s="52">
        <v>430719</v>
      </c>
      <c r="D72" s="52">
        <v>123</v>
      </c>
      <c r="E72" s="62" t="s">
        <v>373</v>
      </c>
      <c r="F72" s="53" t="s">
        <v>609</v>
      </c>
    </row>
    <row r="73" spans="1:6" ht="20.149999999999999" customHeight="1" x14ac:dyDescent="0.25">
      <c r="A73" s="50" t="s">
        <v>374</v>
      </c>
      <c r="B73" s="51" t="s">
        <v>610</v>
      </c>
      <c r="C73" s="52">
        <v>158704</v>
      </c>
      <c r="D73" s="52">
        <v>117</v>
      </c>
      <c r="E73" s="62" t="s">
        <v>375</v>
      </c>
      <c r="F73" s="53" t="s">
        <v>376</v>
      </c>
    </row>
    <row r="74" spans="1:6" ht="20.149999999999999" customHeight="1" x14ac:dyDescent="0.25">
      <c r="A74" s="50" t="s">
        <v>377</v>
      </c>
      <c r="B74" s="51" t="s">
        <v>611</v>
      </c>
      <c r="C74" s="52">
        <v>555712</v>
      </c>
      <c r="D74" s="52">
        <v>417</v>
      </c>
      <c r="E74" s="62" t="s">
        <v>378</v>
      </c>
      <c r="F74" s="53" t="s">
        <v>379</v>
      </c>
    </row>
    <row r="75" spans="1:6" ht="20.149999999999999" customHeight="1" x14ac:dyDescent="0.25">
      <c r="A75" s="50" t="s">
        <v>380</v>
      </c>
      <c r="B75" s="51" t="s">
        <v>612</v>
      </c>
      <c r="C75" s="52">
        <v>135753</v>
      </c>
      <c r="D75" s="52">
        <v>220</v>
      </c>
      <c r="E75" s="62" t="s">
        <v>381</v>
      </c>
      <c r="F75" s="53" t="s">
        <v>382</v>
      </c>
    </row>
    <row r="76" spans="1:6" ht="20.149999999999999" customHeight="1" x14ac:dyDescent="0.25">
      <c r="A76" s="50" t="s">
        <v>383</v>
      </c>
      <c r="B76" s="51" t="s">
        <v>613</v>
      </c>
      <c r="C76" s="52">
        <v>766805</v>
      </c>
      <c r="D76" s="52">
        <v>507</v>
      </c>
      <c r="E76" s="62" t="s">
        <v>384</v>
      </c>
      <c r="F76" s="53" t="s">
        <v>614</v>
      </c>
    </row>
    <row r="77" spans="1:6" ht="20.149999999999999" customHeight="1" x14ac:dyDescent="0.25">
      <c r="A77" s="50" t="s">
        <v>385</v>
      </c>
      <c r="B77" s="51" t="s">
        <v>615</v>
      </c>
      <c r="C77" s="52">
        <v>370802</v>
      </c>
      <c r="D77" s="52">
        <v>302</v>
      </c>
      <c r="E77" s="62" t="s">
        <v>386</v>
      </c>
      <c r="F77" s="53" t="s">
        <v>387</v>
      </c>
    </row>
    <row r="78" spans="1:6" ht="20.149999999999999" customHeight="1" x14ac:dyDescent="0.25">
      <c r="A78" s="50" t="s">
        <v>388</v>
      </c>
      <c r="B78" s="51" t="s">
        <v>616</v>
      </c>
      <c r="C78" s="52">
        <v>150955</v>
      </c>
      <c r="D78" s="52">
        <v>107</v>
      </c>
      <c r="E78" s="62" t="s">
        <v>389</v>
      </c>
      <c r="F78" s="53" t="s">
        <v>390</v>
      </c>
    </row>
    <row r="79" spans="1:6" ht="20.149999999999999" customHeight="1" x14ac:dyDescent="0.25">
      <c r="A79" s="50" t="s">
        <v>391</v>
      </c>
      <c r="B79" s="51" t="s">
        <v>617</v>
      </c>
      <c r="C79" s="52">
        <v>230800</v>
      </c>
      <c r="D79" s="52">
        <v>225</v>
      </c>
      <c r="E79" s="62" t="s">
        <v>392</v>
      </c>
      <c r="F79" s="53" t="s">
        <v>618</v>
      </c>
    </row>
    <row r="80" spans="1:6" ht="20.149999999999999" customHeight="1" x14ac:dyDescent="0.25">
      <c r="A80" s="50" t="s">
        <v>393</v>
      </c>
      <c r="B80" s="51" t="s">
        <v>619</v>
      </c>
      <c r="C80" s="52">
        <v>750021</v>
      </c>
      <c r="D80" s="52">
        <v>512</v>
      </c>
      <c r="E80" s="62" t="s">
        <v>394</v>
      </c>
      <c r="F80" s="53" t="s">
        <v>395</v>
      </c>
    </row>
    <row r="81" spans="1:6" ht="20.149999999999999" customHeight="1" x14ac:dyDescent="0.25">
      <c r="A81" s="50" t="s">
        <v>396</v>
      </c>
      <c r="B81" s="51" t="s">
        <v>620</v>
      </c>
      <c r="C81" s="52">
        <v>340809</v>
      </c>
      <c r="D81" s="52">
        <v>311</v>
      </c>
      <c r="E81" s="62" t="s">
        <v>397</v>
      </c>
      <c r="F81" s="53" t="s">
        <v>398</v>
      </c>
    </row>
    <row r="82" spans="1:6" ht="20.149999999999999" customHeight="1" x14ac:dyDescent="0.25">
      <c r="A82" s="50" t="s">
        <v>399</v>
      </c>
      <c r="B82" s="51" t="s">
        <v>621</v>
      </c>
      <c r="C82" s="52">
        <v>140705</v>
      </c>
      <c r="D82" s="52">
        <v>106</v>
      </c>
      <c r="E82" s="62" t="s">
        <v>400</v>
      </c>
      <c r="F82" s="53" t="s">
        <v>401</v>
      </c>
    </row>
    <row r="83" spans="1:6" ht="30" customHeight="1" x14ac:dyDescent="0.25">
      <c r="A83" s="50" t="s">
        <v>622</v>
      </c>
      <c r="B83" s="51" t="s">
        <v>623</v>
      </c>
      <c r="C83" s="52">
        <v>449929</v>
      </c>
      <c r="D83" s="52">
        <v>142</v>
      </c>
      <c r="E83" s="62" t="s">
        <v>624</v>
      </c>
      <c r="F83" s="53" t="s">
        <v>625</v>
      </c>
    </row>
    <row r="84" spans="1:6" ht="20.149999999999999" customHeight="1" x14ac:dyDescent="0.25">
      <c r="A84" s="50" t="s">
        <v>402</v>
      </c>
      <c r="B84" s="51" t="s">
        <v>626</v>
      </c>
      <c r="C84" s="52">
        <v>680702</v>
      </c>
      <c r="D84" s="52">
        <v>610</v>
      </c>
      <c r="E84" s="62" t="s">
        <v>403</v>
      </c>
      <c r="F84" s="53" t="s">
        <v>627</v>
      </c>
    </row>
    <row r="85" spans="1:6" ht="20.149999999999999" customHeight="1" x14ac:dyDescent="0.25">
      <c r="A85" s="50" t="s">
        <v>404</v>
      </c>
      <c r="B85" s="51" t="s">
        <v>628</v>
      </c>
      <c r="C85" s="52">
        <v>220718</v>
      </c>
      <c r="D85" s="52">
        <v>224</v>
      </c>
      <c r="E85" s="62" t="s">
        <v>405</v>
      </c>
      <c r="F85" s="53" t="s">
        <v>406</v>
      </c>
    </row>
    <row r="86" spans="1:6" ht="20.149999999999999" customHeight="1" x14ac:dyDescent="0.25">
      <c r="A86" s="50" t="s">
        <v>407</v>
      </c>
      <c r="B86" s="51" t="s">
        <v>629</v>
      </c>
      <c r="C86" s="52">
        <v>480705</v>
      </c>
      <c r="D86" s="52">
        <v>127</v>
      </c>
      <c r="E86" s="62" t="s">
        <v>408</v>
      </c>
      <c r="F86" s="53" t="s">
        <v>409</v>
      </c>
    </row>
    <row r="87" spans="1:6" ht="20.149999999999999" customHeight="1" x14ac:dyDescent="0.25">
      <c r="A87" s="50" t="s">
        <v>410</v>
      </c>
      <c r="B87" s="51" t="s">
        <v>630</v>
      </c>
      <c r="C87" s="52">
        <v>467800</v>
      </c>
      <c r="D87" s="52">
        <v>126</v>
      </c>
      <c r="E87" s="62" t="s">
        <v>411</v>
      </c>
      <c r="F87" s="53" t="s">
        <v>412</v>
      </c>
    </row>
    <row r="88" spans="1:6" ht="20.149999999999999" customHeight="1" x14ac:dyDescent="0.25">
      <c r="A88" s="50" t="s">
        <v>413</v>
      </c>
      <c r="B88" s="51" t="s">
        <v>631</v>
      </c>
      <c r="C88" s="52">
        <v>570956</v>
      </c>
      <c r="D88" s="52">
        <v>403</v>
      </c>
      <c r="E88" s="62" t="s">
        <v>414</v>
      </c>
      <c r="F88" s="53" t="s">
        <v>415</v>
      </c>
    </row>
    <row r="89" spans="1:6" ht="20.149999999999999" customHeight="1" x14ac:dyDescent="0.25">
      <c r="A89" s="50" t="s">
        <v>416</v>
      </c>
      <c r="B89" s="51" t="s">
        <v>632</v>
      </c>
      <c r="C89" s="52">
        <v>401707</v>
      </c>
      <c r="D89" s="52">
        <v>121</v>
      </c>
      <c r="E89" s="62" t="s">
        <v>417</v>
      </c>
      <c r="F89" s="53" t="s">
        <v>418</v>
      </c>
    </row>
    <row r="90" spans="1:6" ht="30" customHeight="1" x14ac:dyDescent="0.25">
      <c r="A90" s="50" t="s">
        <v>419</v>
      </c>
      <c r="B90" s="51" t="s">
        <v>633</v>
      </c>
      <c r="C90" s="52">
        <v>560870</v>
      </c>
      <c r="D90" s="52">
        <v>402</v>
      </c>
      <c r="E90" s="62" t="s">
        <v>420</v>
      </c>
      <c r="F90" s="53" t="s">
        <v>634</v>
      </c>
    </row>
    <row r="91" spans="1:6" ht="20.149999999999999" customHeight="1" x14ac:dyDescent="0.25">
      <c r="A91" s="50" t="s">
        <v>421</v>
      </c>
      <c r="B91" s="51" t="s">
        <v>635</v>
      </c>
      <c r="C91" s="52">
        <v>580030</v>
      </c>
      <c r="D91" s="52">
        <v>404</v>
      </c>
      <c r="E91" s="62" t="s">
        <v>422</v>
      </c>
      <c r="F91" s="53" t="s">
        <v>423</v>
      </c>
    </row>
    <row r="92" spans="1:6" ht="20.149999999999999" customHeight="1" x14ac:dyDescent="0.25">
      <c r="A92" s="50" t="s">
        <v>424</v>
      </c>
      <c r="B92" s="51" t="s">
        <v>636</v>
      </c>
      <c r="C92" s="52">
        <v>690733</v>
      </c>
      <c r="D92" s="52">
        <v>616</v>
      </c>
      <c r="E92" s="62" t="s">
        <v>425</v>
      </c>
      <c r="F92" s="53" t="s">
        <v>426</v>
      </c>
    </row>
    <row r="93" spans="1:6" ht="20.149999999999999" customHeight="1" x14ac:dyDescent="0.25">
      <c r="A93" s="50" t="s">
        <v>427</v>
      </c>
      <c r="B93" s="51" t="s">
        <v>637</v>
      </c>
      <c r="C93" s="52">
        <v>390150</v>
      </c>
      <c r="D93" s="52">
        <v>304</v>
      </c>
      <c r="E93" s="62" t="s">
        <v>428</v>
      </c>
      <c r="F93" s="53" t="s">
        <v>429</v>
      </c>
    </row>
    <row r="94" spans="1:6" ht="20.149999999999999" customHeight="1" x14ac:dyDescent="0.25">
      <c r="A94" s="50" t="s">
        <v>430</v>
      </c>
      <c r="B94" s="51" t="s">
        <v>638</v>
      </c>
      <c r="C94" s="52">
        <v>110709</v>
      </c>
      <c r="D94" s="52">
        <v>101</v>
      </c>
      <c r="E94" s="62" t="s">
        <v>431</v>
      </c>
      <c r="F94" s="53" t="s">
        <v>432</v>
      </c>
    </row>
    <row r="95" spans="1:6" ht="20.149999999999999" customHeight="1" x14ac:dyDescent="0.25">
      <c r="A95" s="50" t="s">
        <v>433</v>
      </c>
      <c r="B95" s="51" t="s">
        <v>639</v>
      </c>
      <c r="C95" s="52">
        <v>100795</v>
      </c>
      <c r="D95" s="52">
        <v>201</v>
      </c>
      <c r="E95" s="62" t="s">
        <v>434</v>
      </c>
      <c r="F95" s="53" t="s">
        <v>435</v>
      </c>
    </row>
    <row r="96" spans="1:6" ht="20.149999999999999" customHeight="1" x14ac:dyDescent="0.25">
      <c r="A96" s="50" t="s">
        <v>640</v>
      </c>
      <c r="B96" s="51" t="s">
        <v>641</v>
      </c>
      <c r="C96" s="52">
        <v>600758</v>
      </c>
      <c r="D96" s="52">
        <v>602</v>
      </c>
      <c r="E96" s="62" t="s">
        <v>436</v>
      </c>
      <c r="F96" s="53" t="s">
        <v>642</v>
      </c>
    </row>
    <row r="97" spans="1:6" ht="20.149999999999999" customHeight="1" x14ac:dyDescent="0.25">
      <c r="A97" s="50" t="s">
        <v>437</v>
      </c>
      <c r="B97" s="51" t="s">
        <v>643</v>
      </c>
      <c r="C97" s="52">
        <v>660230</v>
      </c>
      <c r="D97" s="52">
        <v>613</v>
      </c>
      <c r="E97" s="62" t="s">
        <v>438</v>
      </c>
      <c r="F97" s="53" t="s">
        <v>439</v>
      </c>
    </row>
    <row r="98" spans="1:6" ht="20.149999999999999" customHeight="1" x14ac:dyDescent="0.25">
      <c r="A98" s="50" t="s">
        <v>440</v>
      </c>
      <c r="B98" s="51" t="s">
        <v>644</v>
      </c>
      <c r="C98" s="52">
        <v>641720</v>
      </c>
      <c r="D98" s="52">
        <v>609</v>
      </c>
      <c r="E98" s="62" t="s">
        <v>441</v>
      </c>
      <c r="F98" s="53" t="s">
        <v>442</v>
      </c>
    </row>
    <row r="99" spans="1:6" ht="70.25" customHeight="1" x14ac:dyDescent="0.25">
      <c r="A99" s="50" t="s">
        <v>443</v>
      </c>
      <c r="B99" s="51" t="s">
        <v>645</v>
      </c>
      <c r="C99" s="52">
        <v>330270</v>
      </c>
      <c r="D99" s="52">
        <v>312</v>
      </c>
      <c r="E99" s="62" t="s">
        <v>444</v>
      </c>
      <c r="F99" s="53" t="s">
        <v>445</v>
      </c>
    </row>
    <row r="100" spans="1:6" ht="60" customHeight="1" x14ac:dyDescent="0.25">
      <c r="A100" s="50" t="s">
        <v>446</v>
      </c>
      <c r="B100" s="51" t="s">
        <v>646</v>
      </c>
      <c r="C100" s="52">
        <v>361707</v>
      </c>
      <c r="D100" s="52">
        <v>301</v>
      </c>
      <c r="E100" s="62" t="s">
        <v>447</v>
      </c>
      <c r="F100" s="53" t="s">
        <v>647</v>
      </c>
    </row>
    <row r="101" spans="1:6" ht="50.15" customHeight="1" x14ac:dyDescent="0.25">
      <c r="A101" s="50" t="s">
        <v>448</v>
      </c>
      <c r="B101" s="51" t="s">
        <v>648</v>
      </c>
      <c r="C101" s="52">
        <v>200043</v>
      </c>
      <c r="D101" s="52">
        <v>221</v>
      </c>
      <c r="E101" s="62" t="s">
        <v>449</v>
      </c>
      <c r="F101" s="53" t="s">
        <v>450</v>
      </c>
    </row>
    <row r="102" spans="1:6" ht="20.149999999999999" customHeight="1" x14ac:dyDescent="0.25">
      <c r="A102" s="50" t="s">
        <v>451</v>
      </c>
      <c r="B102" s="51" t="s">
        <v>649</v>
      </c>
      <c r="C102" s="52">
        <v>380230</v>
      </c>
      <c r="D102" s="52">
        <v>303</v>
      </c>
      <c r="E102" s="62" t="s">
        <v>452</v>
      </c>
      <c r="F102" s="53" t="s">
        <v>650</v>
      </c>
    </row>
    <row r="103" spans="1:6" ht="20.149999999999999" customHeight="1" x14ac:dyDescent="0.25">
      <c r="A103" s="50" t="s">
        <v>453</v>
      </c>
      <c r="B103" s="51" t="s">
        <v>651</v>
      </c>
      <c r="C103" s="52">
        <v>650801</v>
      </c>
      <c r="D103" s="52">
        <v>612</v>
      </c>
      <c r="E103" s="62" t="s">
        <v>454</v>
      </c>
      <c r="F103" s="53" t="s">
        <v>455</v>
      </c>
    </row>
    <row r="104" spans="1:6" ht="20.149999999999999" customHeight="1" x14ac:dyDescent="0.25">
      <c r="A104" s="50" t="s">
        <v>652</v>
      </c>
      <c r="B104" s="54" t="s">
        <v>653</v>
      </c>
      <c r="C104" s="52">
        <v>413713</v>
      </c>
      <c r="D104" s="52">
        <v>141</v>
      </c>
      <c r="E104" s="62" t="s">
        <v>654</v>
      </c>
      <c r="F104" s="55" t="s">
        <v>456</v>
      </c>
    </row>
    <row r="105" spans="1:6" ht="30" customHeight="1" x14ac:dyDescent="0.25">
      <c r="A105" s="50" t="s">
        <v>457</v>
      </c>
      <c r="B105" s="51" t="s">
        <v>655</v>
      </c>
      <c r="C105" s="52">
        <v>450704</v>
      </c>
      <c r="D105" s="52">
        <v>125</v>
      </c>
      <c r="E105" s="62" t="s">
        <v>458</v>
      </c>
      <c r="F105" s="53" t="s">
        <v>656</v>
      </c>
    </row>
    <row r="106" spans="1:6" ht="20.149999999999999" customHeight="1" x14ac:dyDescent="0.25">
      <c r="A106" s="50" t="s">
        <v>459</v>
      </c>
      <c r="B106" s="51" t="s">
        <v>657</v>
      </c>
      <c r="C106" s="52">
        <v>791703</v>
      </c>
      <c r="D106" s="52">
        <v>506</v>
      </c>
      <c r="E106" s="62" t="s">
        <v>460</v>
      </c>
      <c r="F106" s="53" t="s">
        <v>461</v>
      </c>
    </row>
    <row r="107" spans="1:6" ht="20.149999999999999" customHeight="1" x14ac:dyDescent="0.25">
      <c r="A107" s="50" t="s">
        <v>462</v>
      </c>
      <c r="B107" s="51" t="s">
        <v>658</v>
      </c>
      <c r="C107" s="52">
        <v>536809</v>
      </c>
      <c r="D107" s="52">
        <v>415</v>
      </c>
      <c r="E107" s="62" t="s">
        <v>463</v>
      </c>
      <c r="F107" s="53" t="s">
        <v>659</v>
      </c>
    </row>
    <row r="108" spans="1:6" ht="20.149999999999999" customHeight="1" x14ac:dyDescent="0.25">
      <c r="A108" s="50" t="s">
        <v>464</v>
      </c>
      <c r="B108" s="51" t="s">
        <v>660</v>
      </c>
      <c r="C108" s="52">
        <v>350804</v>
      </c>
      <c r="D108" s="52">
        <v>310</v>
      </c>
      <c r="E108" s="62" t="s">
        <v>465</v>
      </c>
      <c r="F108" s="53" t="s">
        <v>466</v>
      </c>
    </row>
    <row r="109" spans="1:6" ht="20.149999999999999" customHeight="1" x14ac:dyDescent="0.25">
      <c r="A109" s="50" t="s">
        <v>467</v>
      </c>
      <c r="B109" s="51" t="s">
        <v>661</v>
      </c>
      <c r="C109" s="52">
        <v>250807</v>
      </c>
      <c r="D109" s="52">
        <v>223</v>
      </c>
      <c r="E109" s="62" t="s">
        <v>468</v>
      </c>
      <c r="F109" s="53" t="s">
        <v>469</v>
      </c>
    </row>
    <row r="110" spans="1:6" ht="20.149999999999999" customHeight="1" x14ac:dyDescent="0.25">
      <c r="A110" s="56" t="s">
        <v>662</v>
      </c>
      <c r="B110" s="57" t="s">
        <v>663</v>
      </c>
      <c r="C110" s="58">
        <v>445897</v>
      </c>
      <c r="D110" s="58">
        <v>143</v>
      </c>
      <c r="E110" s="63" t="s">
        <v>664</v>
      </c>
      <c r="F110" s="59" t="s">
        <v>665</v>
      </c>
    </row>
  </sheetData>
  <phoneticPr fontId="2" type="noConversion"/>
  <pageMargins left="0.75" right="0.75" top="1" bottom="1" header="0.5" footer="0.5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53"/>
  </sheetPr>
  <dimension ref="B1:O37"/>
  <sheetViews>
    <sheetView showGridLines="0" zoomScaleNormal="100" workbookViewId="0">
      <selection activeCell="I17" sqref="I17"/>
    </sheetView>
  </sheetViews>
  <sheetFormatPr defaultColWidth="8.9140625" defaultRowHeight="14" x14ac:dyDescent="0.25"/>
  <cols>
    <col min="1" max="1" width="8.9140625" style="1"/>
    <col min="2" max="2" width="3.33203125" style="1" customWidth="1"/>
    <col min="3" max="3" width="19.58203125" style="1" customWidth="1"/>
    <col min="4" max="4" width="4" style="1" customWidth="1"/>
    <col min="5" max="5" width="3.1640625" style="1" customWidth="1"/>
    <col min="6" max="6" width="2.58203125" style="1" customWidth="1"/>
    <col min="7" max="7" width="2.4140625" style="1" customWidth="1"/>
    <col min="8" max="8" width="4.4140625" style="1" customWidth="1"/>
    <col min="9" max="9" width="7.6640625" style="5" customWidth="1"/>
    <col min="10" max="10" width="13.08203125" style="3" customWidth="1"/>
    <col min="11" max="11" width="14.33203125" style="1" customWidth="1"/>
    <col min="12" max="12" width="8.9140625" style="1"/>
    <col min="13" max="13" width="6.33203125" style="1" customWidth="1"/>
    <col min="14" max="14" width="8.9140625" style="1"/>
    <col min="15" max="15" width="8.203125E-2" style="1" customWidth="1"/>
    <col min="16" max="16384" width="8.9140625" style="1"/>
  </cols>
  <sheetData>
    <row r="1" spans="2:15" ht="51.75" customHeight="1" x14ac:dyDescent="0.25">
      <c r="B1" s="563" t="s">
        <v>33</v>
      </c>
      <c r="C1" s="563"/>
      <c r="D1" s="563"/>
      <c r="E1" s="563"/>
      <c r="F1" s="563"/>
      <c r="G1" s="563"/>
      <c r="H1" s="563"/>
      <c r="I1" s="563"/>
      <c r="J1" s="563"/>
      <c r="K1" s="563"/>
    </row>
    <row r="2" spans="2:15" ht="26.25" customHeight="1" thickBot="1" x14ac:dyDescent="0.3">
      <c r="B2" s="564" t="s">
        <v>24</v>
      </c>
      <c r="C2" s="564"/>
      <c r="D2" s="564"/>
      <c r="E2" s="564"/>
      <c r="F2" s="564"/>
      <c r="G2" s="564"/>
      <c r="H2" s="564"/>
      <c r="I2" s="564"/>
      <c r="J2" s="564"/>
    </row>
    <row r="3" spans="2:15" ht="20.149999999999999" customHeight="1" x14ac:dyDescent="0.25">
      <c r="B3" s="565" t="s">
        <v>26</v>
      </c>
      <c r="C3" s="566"/>
      <c r="D3" s="566"/>
      <c r="E3" s="566"/>
      <c r="F3" s="566"/>
      <c r="G3" s="566"/>
      <c r="H3" s="567"/>
      <c r="I3" s="568" t="s">
        <v>14</v>
      </c>
      <c r="J3" s="569"/>
    </row>
    <row r="4" spans="2:15" ht="20.149999999999999" customHeight="1" x14ac:dyDescent="0.25">
      <c r="B4" s="10"/>
      <c r="C4" s="553" t="s">
        <v>0</v>
      </c>
      <c r="D4" s="554"/>
      <c r="E4" s="554"/>
      <c r="F4" s="554"/>
      <c r="G4" s="554"/>
      <c r="H4" s="555"/>
      <c r="I4" s="556">
        <f>증여내용입력!E22</f>
        <v>50000000</v>
      </c>
      <c r="J4" s="557"/>
    </row>
    <row r="5" spans="2:15" ht="20.149999999999999" customHeight="1" x14ac:dyDescent="0.25">
      <c r="B5" s="10" t="s">
        <v>118</v>
      </c>
      <c r="C5" s="553" t="s">
        <v>119</v>
      </c>
      <c r="D5" s="554"/>
      <c r="E5" s="554"/>
      <c r="F5" s="554"/>
      <c r="G5" s="554"/>
      <c r="H5" s="555"/>
      <c r="I5" s="556">
        <f>증여내용입력!E26</f>
        <v>0</v>
      </c>
      <c r="J5" s="557"/>
      <c r="K5" s="17" t="s">
        <v>18</v>
      </c>
    </row>
    <row r="6" spans="2:15" ht="20.149999999999999" customHeight="1" x14ac:dyDescent="0.25">
      <c r="B6" s="10" t="s">
        <v>20</v>
      </c>
      <c r="C6" s="572" t="s">
        <v>19</v>
      </c>
      <c r="D6" s="573"/>
      <c r="E6" s="573"/>
      <c r="F6" s="573"/>
      <c r="G6" s="573"/>
      <c r="H6" s="574"/>
      <c r="I6" s="575"/>
      <c r="J6" s="576"/>
      <c r="K6" s="16">
        <f>I6-I16</f>
        <v>0</v>
      </c>
    </row>
    <row r="7" spans="2:15" ht="20.149999999999999" customHeight="1" x14ac:dyDescent="0.25">
      <c r="B7" s="10" t="s">
        <v>22</v>
      </c>
      <c r="C7" s="553" t="s">
        <v>1</v>
      </c>
      <c r="D7" s="554"/>
      <c r="E7" s="554"/>
      <c r="F7" s="554"/>
      <c r="G7" s="554"/>
      <c r="H7" s="555"/>
      <c r="I7" s="556">
        <f>SUM(I4:J6)</f>
        <v>50000000</v>
      </c>
      <c r="J7" s="557"/>
    </row>
    <row r="8" spans="2:15" ht="20.149999999999999" customHeight="1" x14ac:dyDescent="0.25">
      <c r="B8" s="10" t="s">
        <v>21</v>
      </c>
      <c r="C8" s="6" t="s">
        <v>2</v>
      </c>
      <c r="D8" s="558" t="str">
        <f>증여내용입력!D8</f>
        <v>배우자</v>
      </c>
      <c r="E8" s="559"/>
      <c r="F8" s="559"/>
      <c r="G8" s="559"/>
      <c r="H8" s="560"/>
      <c r="I8" s="556">
        <f>IF(VLOOKUP(D8,자료!A22:B34,2,FALSE)&gt;I7,I7,VLOOKUP(D8,자료!A22:B34,2,FALSE))</f>
        <v>50000000</v>
      </c>
      <c r="J8" s="557"/>
      <c r="O8" s="1">
        <f>IF(I7&lt;I8,I7,I8)</f>
        <v>50000000</v>
      </c>
    </row>
    <row r="9" spans="2:15" ht="20.149999999999999" customHeight="1" x14ac:dyDescent="0.25">
      <c r="B9" s="10" t="s">
        <v>22</v>
      </c>
      <c r="C9" s="553" t="s">
        <v>7</v>
      </c>
      <c r="D9" s="554"/>
      <c r="E9" s="554"/>
      <c r="F9" s="554"/>
      <c r="G9" s="554"/>
      <c r="H9" s="555"/>
      <c r="I9" s="556">
        <f>I7-O8</f>
        <v>0</v>
      </c>
      <c r="J9" s="557"/>
    </row>
    <row r="10" spans="2:15" ht="20.149999999999999" customHeight="1" x14ac:dyDescent="0.25">
      <c r="B10" s="10" t="s">
        <v>23</v>
      </c>
      <c r="C10" s="553" t="s">
        <v>3</v>
      </c>
      <c r="D10" s="554"/>
      <c r="E10" s="554"/>
      <c r="F10" s="554"/>
      <c r="G10" s="554"/>
      <c r="H10" s="555"/>
      <c r="I10" s="570">
        <f>IF(I9&lt;=500000, ,IF(I9&gt;3000000000,50%,IF(I9&gt;1000000000,40%,IF(I9&gt;500000000,0.3,IF(I9&gt;100000000,0.2,IF(I9&gt;0,0.1,0))))))</f>
        <v>0</v>
      </c>
      <c r="J10" s="571"/>
    </row>
    <row r="11" spans="2:15" ht="20.149999999999999" customHeight="1" x14ac:dyDescent="0.25">
      <c r="B11" s="10" t="s">
        <v>22</v>
      </c>
      <c r="C11" s="553" t="s">
        <v>4</v>
      </c>
      <c r="D11" s="554"/>
      <c r="E11" s="554"/>
      <c r="F11" s="554"/>
      <c r="G11" s="554"/>
      <c r="H11" s="555"/>
      <c r="I11" s="561">
        <f>ROUNDDOWN(IF(I9&lt;500000,0,IF(I9&lt;=100000000,I9*0.1,IF(I9&lt;=500000000,I9*0.2-10000000,IF(I9&lt;=1000000000,I9*0.3-60000000,IF(I9&lt;=3000000000,I9*0.4-160000000,I9*0.5-460000000))))),-1)</f>
        <v>0</v>
      </c>
      <c r="J11" s="562"/>
    </row>
    <row r="12" spans="2:15" ht="20.149999999999999" customHeight="1" x14ac:dyDescent="0.25">
      <c r="B12" s="10" t="s">
        <v>20</v>
      </c>
      <c r="C12" s="553" t="s">
        <v>140</v>
      </c>
      <c r="D12" s="554"/>
      <c r="E12" s="554"/>
      <c r="F12" s="554"/>
      <c r="G12" s="554"/>
      <c r="H12" s="555"/>
      <c r="I12" s="8">
        <f>VLOOKUP(증여내용입력!D15,자료!A12:B14,2,FALSE)</f>
        <v>0.3</v>
      </c>
      <c r="J12" s="9">
        <f>I11*I12</f>
        <v>0</v>
      </c>
    </row>
    <row r="13" spans="2:15" ht="20.149999999999999" customHeight="1" x14ac:dyDescent="0.25">
      <c r="B13" s="10" t="s">
        <v>22</v>
      </c>
      <c r="C13" s="553" t="s">
        <v>5</v>
      </c>
      <c r="D13" s="554"/>
      <c r="E13" s="554"/>
      <c r="F13" s="554"/>
      <c r="G13" s="554"/>
      <c r="H13" s="555"/>
      <c r="I13" s="556">
        <f>ROUNDDOWN(I11+J12,-1)</f>
        <v>0</v>
      </c>
      <c r="J13" s="557"/>
    </row>
    <row r="14" spans="2:15" ht="20.149999999999999" customHeight="1" x14ac:dyDescent="0.25">
      <c r="B14" s="22" t="s">
        <v>21</v>
      </c>
      <c r="C14" s="553" t="s">
        <v>120</v>
      </c>
      <c r="D14" s="554"/>
      <c r="E14" s="554"/>
      <c r="F14" s="554"/>
      <c r="G14" s="554"/>
      <c r="H14" s="555"/>
      <c r="I14" s="556">
        <f>증여내용입력!F26</f>
        <v>0</v>
      </c>
      <c r="J14" s="557"/>
    </row>
    <row r="15" spans="2:15" ht="20.149999999999999" customHeight="1" x14ac:dyDescent="0.25">
      <c r="B15" s="10" t="s">
        <v>21</v>
      </c>
      <c r="C15" s="553" t="s">
        <v>141</v>
      </c>
      <c r="D15" s="554"/>
      <c r="E15" s="554"/>
      <c r="F15" s="554"/>
      <c r="G15" s="554"/>
      <c r="H15" s="555"/>
      <c r="I15" s="8">
        <f>VLOOKUP(증여내용입력!D16,자료!A17:B19,2,FALSE)</f>
        <v>0.03</v>
      </c>
      <c r="J15" s="18">
        <f>ROUNDDOWN((I13-I14)*I15,-1)</f>
        <v>0</v>
      </c>
    </row>
    <row r="16" spans="2:15" ht="20.149999999999999" customHeight="1" thickBot="1" x14ac:dyDescent="0.3">
      <c r="B16" s="11" t="s">
        <v>22</v>
      </c>
      <c r="C16" s="579" t="s">
        <v>6</v>
      </c>
      <c r="D16" s="580"/>
      <c r="E16" s="580"/>
      <c r="F16" s="580"/>
      <c r="G16" s="580"/>
      <c r="H16" s="581"/>
      <c r="I16" s="582">
        <f>ROUNDDOWN(I13-J15-I14,-1)</f>
        <v>0</v>
      </c>
      <c r="J16" s="583"/>
    </row>
    <row r="17" spans="2:11" ht="20.149999999999999" customHeight="1" x14ac:dyDescent="0.25">
      <c r="B17" s="2"/>
      <c r="C17" s="21"/>
      <c r="D17" s="21"/>
      <c r="E17" s="21"/>
      <c r="F17" s="21"/>
      <c r="G17" s="21"/>
      <c r="H17" s="21"/>
      <c r="J17" s="5"/>
    </row>
    <row r="18" spans="2:11" ht="20.149999999999999" customHeight="1" x14ac:dyDescent="0.25">
      <c r="B18" s="577" t="s">
        <v>25</v>
      </c>
      <c r="C18" s="577"/>
      <c r="D18" s="577"/>
      <c r="E18" s="577"/>
      <c r="F18" s="577"/>
      <c r="G18" s="577"/>
      <c r="H18" s="577"/>
      <c r="I18" s="577"/>
      <c r="J18" s="577"/>
      <c r="K18" s="577"/>
    </row>
    <row r="19" spans="2:11" s="12" customFormat="1" ht="20.149999999999999" customHeight="1" x14ac:dyDescent="0.25">
      <c r="B19" s="577"/>
      <c r="C19" s="577"/>
      <c r="D19" s="577"/>
      <c r="E19" s="577"/>
      <c r="F19" s="577"/>
      <c r="G19" s="577"/>
      <c r="H19" s="577"/>
      <c r="I19" s="577"/>
      <c r="J19" s="577"/>
      <c r="K19" s="577"/>
    </row>
    <row r="20" spans="2:11" s="12" customFormat="1" ht="20.149999999999999" customHeight="1" x14ac:dyDescent="0.25">
      <c r="B20" s="19"/>
      <c r="C20" s="19"/>
      <c r="D20" s="19"/>
      <c r="E20" s="19"/>
      <c r="F20" s="19"/>
      <c r="G20" s="19"/>
      <c r="H20" s="19"/>
      <c r="I20" s="19"/>
      <c r="J20" s="19"/>
      <c r="K20" s="19"/>
    </row>
    <row r="21" spans="2:11" ht="20.149999999999999" customHeight="1" x14ac:dyDescent="0.25">
      <c r="B21" s="578" t="s">
        <v>479</v>
      </c>
      <c r="C21" s="578"/>
      <c r="D21" s="578"/>
      <c r="E21" s="578"/>
      <c r="F21" s="578"/>
      <c r="G21" s="578"/>
      <c r="H21" s="578"/>
      <c r="I21" s="578"/>
      <c r="J21" s="578"/>
      <c r="K21" s="578"/>
    </row>
    <row r="22" spans="2:11" ht="20.149999999999999" customHeight="1" x14ac:dyDescent="0.25">
      <c r="B22" s="578"/>
      <c r="C22" s="578"/>
      <c r="D22" s="578"/>
      <c r="E22" s="578"/>
      <c r="F22" s="578"/>
      <c r="G22" s="578"/>
      <c r="H22" s="578"/>
      <c r="I22" s="578"/>
      <c r="J22" s="578"/>
      <c r="K22" s="578"/>
    </row>
    <row r="23" spans="2:11" ht="20.149999999999999" customHeight="1" x14ac:dyDescent="0.25"/>
    <row r="24" spans="2:11" ht="20.149999999999999" customHeight="1" x14ac:dyDescent="0.25"/>
    <row r="25" spans="2:11" ht="20.149999999999999" customHeight="1" x14ac:dyDescent="0.25"/>
    <row r="26" spans="2:11" ht="20.149999999999999" customHeight="1" x14ac:dyDescent="0.25"/>
    <row r="27" spans="2:11" ht="20.149999999999999" customHeight="1" x14ac:dyDescent="0.25"/>
    <row r="28" spans="2:11" ht="25.25" customHeight="1" x14ac:dyDescent="0.25"/>
    <row r="29" spans="2:11" ht="25.25" customHeight="1" x14ac:dyDescent="0.25"/>
    <row r="30" spans="2:11" ht="25.25" customHeight="1" x14ac:dyDescent="0.25"/>
    <row r="31" spans="2:11" ht="25.25" customHeight="1" x14ac:dyDescent="0.25"/>
    <row r="32" spans="2:11" ht="25.25" customHeight="1" x14ac:dyDescent="0.25"/>
    <row r="33" ht="25.25" customHeight="1" x14ac:dyDescent="0.25"/>
    <row r="34" ht="25.25" customHeight="1" x14ac:dyDescent="0.25"/>
    <row r="35" ht="25.25" customHeight="1" x14ac:dyDescent="0.25"/>
    <row r="36" ht="25.25" customHeight="1" x14ac:dyDescent="0.25"/>
    <row r="37" ht="25.25" customHeight="1" x14ac:dyDescent="0.25"/>
  </sheetData>
  <mergeCells count="30">
    <mergeCell ref="C15:H15"/>
    <mergeCell ref="B18:K19"/>
    <mergeCell ref="B21:K22"/>
    <mergeCell ref="C16:H16"/>
    <mergeCell ref="I16:J16"/>
    <mergeCell ref="B1:K1"/>
    <mergeCell ref="B2:J2"/>
    <mergeCell ref="B3:H3"/>
    <mergeCell ref="I3:J3"/>
    <mergeCell ref="C10:H10"/>
    <mergeCell ref="I10:J10"/>
    <mergeCell ref="C6:H6"/>
    <mergeCell ref="I6:J6"/>
    <mergeCell ref="I7:J7"/>
    <mergeCell ref="I8:J8"/>
    <mergeCell ref="C4:H4"/>
    <mergeCell ref="I4:J4"/>
    <mergeCell ref="C5:H5"/>
    <mergeCell ref="I5:J5"/>
    <mergeCell ref="C14:H14"/>
    <mergeCell ref="I14:J14"/>
    <mergeCell ref="I9:J9"/>
    <mergeCell ref="C7:H7"/>
    <mergeCell ref="D8:H8"/>
    <mergeCell ref="C9:H9"/>
    <mergeCell ref="I13:J13"/>
    <mergeCell ref="C11:H11"/>
    <mergeCell ref="I11:J11"/>
    <mergeCell ref="C12:H12"/>
    <mergeCell ref="C13:H13"/>
  </mergeCells>
  <phoneticPr fontId="2" type="noConversion"/>
  <dataValidations count="1">
    <dataValidation type="list" allowBlank="1" showInputMessage="1" showErrorMessage="1" sqref="C17:H17" xr:uid="{00000000-0002-0000-0500-000000000000}">
      <formula1>증여공제+$J$8</formula1>
    </dataValidation>
  </dataValidations>
  <pageMargins left="0.74803149606299213" right="0.74803149606299213" top="0.19685039370078741" bottom="0.19685039370078741" header="0.51181102362204722" footer="0.51181102362204722"/>
  <pageSetup paperSize="9" scale="85" orientation="landscape" r:id="rId1"/>
  <headerFooter alignWithMargins="0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:I32"/>
  <sheetViews>
    <sheetView topLeftCell="A4" zoomScaleNormal="100" workbookViewId="0">
      <selection activeCell="I6" sqref="I6:J6"/>
    </sheetView>
  </sheetViews>
  <sheetFormatPr defaultRowHeight="14" x14ac:dyDescent="0.25"/>
  <sheetData>
    <row r="1" spans="1:9" ht="58.5" customHeight="1" x14ac:dyDescent="0.25">
      <c r="A1" s="584" t="s">
        <v>116</v>
      </c>
      <c r="B1" s="584"/>
      <c r="C1" s="584"/>
      <c r="D1" s="584"/>
      <c r="E1" s="584"/>
      <c r="F1" s="584"/>
      <c r="G1" s="584"/>
      <c r="H1" s="584"/>
      <c r="I1" s="584"/>
    </row>
    <row r="2" spans="1:9" ht="28" x14ac:dyDescent="0.25">
      <c r="A2" t="s">
        <v>81</v>
      </c>
      <c r="B2" s="20" t="s">
        <v>82</v>
      </c>
      <c r="C2" t="s">
        <v>80</v>
      </c>
      <c r="D2" t="s">
        <v>83</v>
      </c>
      <c r="E2" s="20" t="s">
        <v>84</v>
      </c>
      <c r="F2" t="s">
        <v>85</v>
      </c>
      <c r="G2" t="s">
        <v>81</v>
      </c>
      <c r="H2" s="20" t="s">
        <v>84</v>
      </c>
      <c r="I2" t="s">
        <v>85</v>
      </c>
    </row>
    <row r="3" spans="1:9" x14ac:dyDescent="0.25">
      <c r="A3" t="s">
        <v>86</v>
      </c>
      <c r="B3">
        <v>211</v>
      </c>
    </row>
    <row r="4" spans="1:9" x14ac:dyDescent="0.25">
      <c r="A4" t="s">
        <v>87</v>
      </c>
      <c r="B4">
        <v>212</v>
      </c>
    </row>
    <row r="5" spans="1:9" x14ac:dyDescent="0.25">
      <c r="A5" t="s">
        <v>88</v>
      </c>
      <c r="B5">
        <v>226</v>
      </c>
    </row>
    <row r="6" spans="1:9" x14ac:dyDescent="0.25">
      <c r="A6" t="s">
        <v>89</v>
      </c>
      <c r="B6">
        <v>109</v>
      </c>
    </row>
    <row r="7" spans="1:9" x14ac:dyDescent="0.25">
      <c r="A7" t="s">
        <v>90</v>
      </c>
      <c r="B7">
        <v>611</v>
      </c>
    </row>
    <row r="8" spans="1:9" x14ac:dyDescent="0.25">
      <c r="A8" t="s">
        <v>91</v>
      </c>
      <c r="B8">
        <v>515</v>
      </c>
    </row>
    <row r="9" spans="1:9" x14ac:dyDescent="0.25">
      <c r="A9" t="s">
        <v>92</v>
      </c>
      <c r="B9">
        <v>505</v>
      </c>
    </row>
    <row r="10" spans="1:9" x14ac:dyDescent="0.25">
      <c r="A10" t="s">
        <v>93</v>
      </c>
      <c r="B10">
        <v>307</v>
      </c>
    </row>
    <row r="11" spans="1:9" x14ac:dyDescent="0.25">
      <c r="A11" t="s">
        <v>94</v>
      </c>
      <c r="B11">
        <v>408</v>
      </c>
    </row>
    <row r="12" spans="1:9" x14ac:dyDescent="0.25">
      <c r="A12" t="s">
        <v>95</v>
      </c>
      <c r="B12">
        <v>113</v>
      </c>
    </row>
    <row r="13" spans="1:9" x14ac:dyDescent="0.25">
      <c r="A13" t="s">
        <v>96</v>
      </c>
      <c r="B13">
        <v>513</v>
      </c>
    </row>
    <row r="14" spans="1:9" x14ac:dyDescent="0.25">
      <c r="A14" t="s">
        <v>97</v>
      </c>
      <c r="B14">
        <v>401</v>
      </c>
    </row>
    <row r="15" spans="1:9" x14ac:dyDescent="0.25">
      <c r="A15" t="s">
        <v>98</v>
      </c>
      <c r="B15">
        <v>621</v>
      </c>
    </row>
    <row r="16" spans="1:9" x14ac:dyDescent="0.25">
      <c r="A16" t="s">
        <v>99</v>
      </c>
      <c r="B16">
        <v>11</v>
      </c>
    </row>
    <row r="17" spans="1:2" x14ac:dyDescent="0.25">
      <c r="A17" t="s">
        <v>100</v>
      </c>
      <c r="B17">
        <v>510</v>
      </c>
    </row>
    <row r="18" spans="1:2" x14ac:dyDescent="0.25">
      <c r="A18" t="s">
        <v>101</v>
      </c>
      <c r="B18">
        <v>615</v>
      </c>
    </row>
    <row r="19" spans="1:2" x14ac:dyDescent="0.25">
      <c r="A19" t="s">
        <v>102</v>
      </c>
      <c r="B19">
        <v>412</v>
      </c>
    </row>
    <row r="20" spans="1:2" x14ac:dyDescent="0.25">
      <c r="A20" t="s">
        <v>103</v>
      </c>
      <c r="B20">
        <v>514</v>
      </c>
    </row>
    <row r="21" spans="1:2" x14ac:dyDescent="0.25">
      <c r="A21" t="s">
        <v>104</v>
      </c>
      <c r="B21">
        <v>104</v>
      </c>
    </row>
    <row r="22" spans="1:2" x14ac:dyDescent="0.25">
      <c r="A22" t="s">
        <v>105</v>
      </c>
      <c r="B22">
        <v>132</v>
      </c>
    </row>
    <row r="23" spans="1:2" x14ac:dyDescent="0.25">
      <c r="A23" t="s">
        <v>106</v>
      </c>
      <c r="B23">
        <v>407</v>
      </c>
    </row>
    <row r="24" spans="1:2" x14ac:dyDescent="0.25">
      <c r="A24" t="s">
        <v>107</v>
      </c>
      <c r="B24">
        <v>131</v>
      </c>
    </row>
    <row r="25" spans="1:2" x14ac:dyDescent="0.25">
      <c r="A25" t="s">
        <v>108</v>
      </c>
      <c r="B25">
        <v>308</v>
      </c>
    </row>
    <row r="26" spans="1:2" x14ac:dyDescent="0.25">
      <c r="A26" t="s">
        <v>109</v>
      </c>
      <c r="B26">
        <v>305</v>
      </c>
    </row>
    <row r="27" spans="1:2" x14ac:dyDescent="0.25">
      <c r="A27" t="s">
        <v>110</v>
      </c>
      <c r="B27">
        <v>210</v>
      </c>
    </row>
    <row r="28" spans="1:2" x14ac:dyDescent="0.25">
      <c r="A28" t="s">
        <v>111</v>
      </c>
      <c r="B28">
        <v>502</v>
      </c>
    </row>
    <row r="29" spans="1:2" x14ac:dyDescent="0.25">
      <c r="A29" t="s">
        <v>112</v>
      </c>
      <c r="B29">
        <v>204</v>
      </c>
    </row>
    <row r="30" spans="1:2" x14ac:dyDescent="0.25">
      <c r="A30" t="s">
        <v>113</v>
      </c>
      <c r="B30">
        <v>607</v>
      </c>
    </row>
    <row r="31" spans="1:2" x14ac:dyDescent="0.25">
      <c r="A31" t="s">
        <v>114</v>
      </c>
      <c r="B31">
        <v>135</v>
      </c>
    </row>
    <row r="32" spans="1:2" x14ac:dyDescent="0.25">
      <c r="A32" t="s">
        <v>115</v>
      </c>
      <c r="B32">
        <v>108</v>
      </c>
    </row>
  </sheetData>
  <mergeCells count="1">
    <mergeCell ref="A1:I1"/>
  </mergeCells>
  <phoneticPr fontId="2" type="noConversion"/>
  <pageMargins left="0.75" right="0.75" top="1" bottom="1" header="0.5" footer="0.5"/>
  <pageSetup paperSize="9" scale="94" orientation="portrait" r:id="rId1"/>
  <headerFooter alignWithMargins="0"/>
  <colBreaks count="1" manualBreakCount="1">
    <brk id="9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>
    <tabColor indexed="15"/>
  </sheetPr>
  <dimension ref="A1:D46"/>
  <sheetViews>
    <sheetView showGridLines="0" topLeftCell="A15" workbookViewId="0">
      <selection activeCell="A27" sqref="A27"/>
    </sheetView>
  </sheetViews>
  <sheetFormatPr defaultColWidth="8.9140625" defaultRowHeight="14" x14ac:dyDescent="0.25"/>
  <cols>
    <col min="1" max="1" width="22.6640625" style="2" customWidth="1"/>
    <col min="2" max="2" width="13.9140625" style="4" customWidth="1"/>
    <col min="3" max="16384" width="8.9140625" style="2"/>
  </cols>
  <sheetData>
    <row r="1" spans="1:3" ht="20.149999999999999" customHeight="1" x14ac:dyDescent="0.25">
      <c r="A1" s="177" t="s">
        <v>29</v>
      </c>
      <c r="B1" s="178" t="s">
        <v>30</v>
      </c>
    </row>
    <row r="2" spans="1:3" ht="20.149999999999999" customHeight="1" x14ac:dyDescent="0.25">
      <c r="A2" s="13" t="s">
        <v>8</v>
      </c>
      <c r="B2" s="7">
        <v>600000000</v>
      </c>
    </row>
    <row r="3" spans="1:3" ht="20.149999999999999" customHeight="1" x14ac:dyDescent="0.25">
      <c r="A3" s="13" t="s">
        <v>9</v>
      </c>
      <c r="B3" s="7">
        <v>50000000</v>
      </c>
    </row>
    <row r="4" spans="1:3" ht="20.149999999999999" customHeight="1" x14ac:dyDescent="0.25">
      <c r="A4" s="13" t="s">
        <v>12</v>
      </c>
      <c r="B4" s="7">
        <v>20000000</v>
      </c>
    </row>
    <row r="5" spans="1:3" ht="20.149999999999999" customHeight="1" x14ac:dyDescent="0.25">
      <c r="A5" s="13" t="s">
        <v>187</v>
      </c>
      <c r="B5" s="7">
        <v>50000000</v>
      </c>
    </row>
    <row r="6" spans="1:3" ht="20.149999999999999" customHeight="1" x14ac:dyDescent="0.25">
      <c r="A6" s="13" t="s">
        <v>11</v>
      </c>
      <c r="B6" s="7">
        <v>10000000</v>
      </c>
    </row>
    <row r="7" spans="1:3" ht="20.149999999999999" customHeight="1" x14ac:dyDescent="0.25">
      <c r="A7" s="13" t="s">
        <v>10</v>
      </c>
      <c r="B7" s="7">
        <v>0</v>
      </c>
    </row>
    <row r="8" spans="1:3" ht="20.149999999999999" customHeight="1" x14ac:dyDescent="0.25">
      <c r="A8" s="13" t="s">
        <v>13</v>
      </c>
      <c r="B8" s="14"/>
    </row>
    <row r="10" spans="1:3" ht="20.149999999999999" customHeight="1" x14ac:dyDescent="0.25"/>
    <row r="11" spans="1:3" ht="20.149999999999999" customHeight="1" x14ac:dyDescent="0.25">
      <c r="A11" s="177" t="s">
        <v>31</v>
      </c>
      <c r="B11" s="178" t="s">
        <v>27</v>
      </c>
    </row>
    <row r="12" spans="1:3" ht="20.149999999999999" customHeight="1" x14ac:dyDescent="0.25">
      <c r="A12" s="13" t="s">
        <v>15</v>
      </c>
      <c r="B12" s="15">
        <v>0.3</v>
      </c>
      <c r="C12" s="107" t="s">
        <v>675</v>
      </c>
    </row>
    <row r="13" spans="1:3" ht="20.149999999999999" customHeight="1" x14ac:dyDescent="0.25">
      <c r="A13" s="13" t="s">
        <v>17</v>
      </c>
      <c r="B13" s="15">
        <v>0</v>
      </c>
    </row>
    <row r="14" spans="1:3" ht="20.149999999999999" customHeight="1" x14ac:dyDescent="0.25">
      <c r="A14" s="13" t="s">
        <v>16</v>
      </c>
      <c r="B14" s="14"/>
    </row>
    <row r="15" spans="1:3" ht="20.149999999999999" customHeight="1" x14ac:dyDescent="0.25"/>
    <row r="16" spans="1:3" ht="20.149999999999999" customHeight="1" x14ac:dyDescent="0.25">
      <c r="A16" s="177" t="s">
        <v>32</v>
      </c>
      <c r="B16" s="178" t="s">
        <v>28</v>
      </c>
    </row>
    <row r="17" spans="1:3" ht="20.149999999999999" customHeight="1" x14ac:dyDescent="0.25">
      <c r="A17" s="13" t="s">
        <v>15</v>
      </c>
      <c r="B17" s="15">
        <v>0.03</v>
      </c>
    </row>
    <row r="18" spans="1:3" ht="20.149999999999999" customHeight="1" x14ac:dyDescent="0.25">
      <c r="A18" s="13" t="s">
        <v>17</v>
      </c>
      <c r="B18" s="15">
        <v>0</v>
      </c>
    </row>
    <row r="19" spans="1:3" ht="20.149999999999999" customHeight="1" x14ac:dyDescent="0.25">
      <c r="A19" s="13" t="s">
        <v>16</v>
      </c>
      <c r="B19" s="14"/>
    </row>
    <row r="20" spans="1:3" ht="20.149999999999999" customHeight="1" x14ac:dyDescent="0.25"/>
    <row r="21" spans="1:3" ht="20.149999999999999" customHeight="1" x14ac:dyDescent="0.25">
      <c r="A21" s="177" t="s">
        <v>138</v>
      </c>
      <c r="B21" s="178" t="s">
        <v>137</v>
      </c>
    </row>
    <row r="22" spans="1:3" ht="20.149999999999999" customHeight="1" x14ac:dyDescent="0.25">
      <c r="A22" s="13" t="s">
        <v>132</v>
      </c>
      <c r="B22" s="7">
        <v>50000000</v>
      </c>
      <c r="C22" s="176" t="s">
        <v>143</v>
      </c>
    </row>
    <row r="23" spans="1:3" ht="20.149999999999999" customHeight="1" x14ac:dyDescent="0.25">
      <c r="A23" s="13" t="s">
        <v>131</v>
      </c>
      <c r="B23" s="7">
        <v>50000000</v>
      </c>
      <c r="C23" s="176" t="s">
        <v>144</v>
      </c>
    </row>
    <row r="24" spans="1:3" ht="20.149999999999999" customHeight="1" x14ac:dyDescent="0.25">
      <c r="A24" s="13" t="s">
        <v>133</v>
      </c>
      <c r="B24" s="7">
        <v>50000000</v>
      </c>
      <c r="C24" s="176" t="s">
        <v>145</v>
      </c>
    </row>
    <row r="25" spans="1:3" ht="20.149999999999999" customHeight="1" x14ac:dyDescent="0.25">
      <c r="A25" s="13" t="s">
        <v>134</v>
      </c>
      <c r="B25" s="7">
        <v>50000000</v>
      </c>
      <c r="C25" s="176" t="s">
        <v>146</v>
      </c>
    </row>
    <row r="26" spans="1:3" ht="20.149999999999999" customHeight="1" x14ac:dyDescent="0.25">
      <c r="A26" s="13" t="s">
        <v>8</v>
      </c>
      <c r="B26" s="7">
        <v>600000000</v>
      </c>
      <c r="C26" s="176" t="s">
        <v>147</v>
      </c>
    </row>
    <row r="27" spans="1:3" ht="20.149999999999999" customHeight="1" x14ac:dyDescent="0.25">
      <c r="A27" s="13" t="s">
        <v>190</v>
      </c>
      <c r="B27" s="7">
        <v>20000000</v>
      </c>
      <c r="C27" s="176" t="s">
        <v>148</v>
      </c>
    </row>
    <row r="28" spans="1:3" ht="20.149999999999999" customHeight="1" x14ac:dyDescent="0.25">
      <c r="A28" s="13" t="s">
        <v>188</v>
      </c>
      <c r="B28" s="7">
        <v>50000000</v>
      </c>
      <c r="C28" s="176" t="s">
        <v>148</v>
      </c>
    </row>
    <row r="29" spans="1:3" ht="20.149999999999999" customHeight="1" x14ac:dyDescent="0.25">
      <c r="A29" s="13" t="s">
        <v>857</v>
      </c>
      <c r="B29" s="7">
        <v>150000000</v>
      </c>
      <c r="C29" s="176"/>
    </row>
    <row r="30" spans="1:3" ht="20.149999999999999" customHeight="1" x14ac:dyDescent="0.25">
      <c r="A30" s="13" t="s">
        <v>191</v>
      </c>
      <c r="B30" s="7">
        <v>20000000</v>
      </c>
      <c r="C30" s="176" t="s">
        <v>149</v>
      </c>
    </row>
    <row r="31" spans="1:3" ht="20.149999999999999" customHeight="1" x14ac:dyDescent="0.25">
      <c r="A31" s="13" t="s">
        <v>189</v>
      </c>
      <c r="B31" s="7">
        <v>50000000</v>
      </c>
      <c r="C31" s="176" t="s">
        <v>149</v>
      </c>
    </row>
    <row r="32" spans="1:3" ht="20.149999999999999" customHeight="1" x14ac:dyDescent="0.25">
      <c r="A32" s="13" t="s">
        <v>135</v>
      </c>
      <c r="B32" s="7">
        <v>10000000</v>
      </c>
      <c r="C32" s="176" t="s">
        <v>150</v>
      </c>
    </row>
    <row r="33" spans="1:4" ht="20.149999999999999" customHeight="1" x14ac:dyDescent="0.25">
      <c r="A33" s="13" t="s">
        <v>136</v>
      </c>
      <c r="B33" s="7">
        <v>0</v>
      </c>
      <c r="C33" s="176" t="s">
        <v>151</v>
      </c>
    </row>
    <row r="34" spans="1:4" ht="20.149999999999999" customHeight="1" x14ac:dyDescent="0.25">
      <c r="A34" s="13" t="s">
        <v>139</v>
      </c>
      <c r="B34" s="14"/>
      <c r="C34" s="176"/>
    </row>
    <row r="35" spans="1:4" ht="20.149999999999999" customHeight="1" x14ac:dyDescent="0.25"/>
    <row r="36" spans="1:4" ht="20.149999999999999" customHeight="1" x14ac:dyDescent="0.25">
      <c r="A36" s="177" t="s">
        <v>164</v>
      </c>
      <c r="B36" s="177"/>
      <c r="C36" s="178" t="s">
        <v>162</v>
      </c>
      <c r="D36" s="177" t="s">
        <v>166</v>
      </c>
    </row>
    <row r="37" spans="1:4" ht="20.149999999999999" customHeight="1" x14ac:dyDescent="0.25">
      <c r="A37" s="13" t="s">
        <v>163</v>
      </c>
      <c r="B37" s="13" t="s">
        <v>167</v>
      </c>
      <c r="C37" s="14" t="s">
        <v>790</v>
      </c>
      <c r="D37" s="13" t="s">
        <v>165</v>
      </c>
    </row>
    <row r="38" spans="1:4" ht="20.149999999999999" customHeight="1" x14ac:dyDescent="0.25">
      <c r="A38" s="13" t="s">
        <v>786</v>
      </c>
      <c r="B38" s="13" t="s">
        <v>786</v>
      </c>
      <c r="C38" s="14" t="s">
        <v>790</v>
      </c>
      <c r="D38" s="13" t="s">
        <v>165</v>
      </c>
    </row>
    <row r="39" spans="1:4" ht="20.149999999999999" customHeight="1" x14ac:dyDescent="0.25">
      <c r="A39" s="13" t="s">
        <v>788</v>
      </c>
      <c r="B39" s="13" t="s">
        <v>788</v>
      </c>
      <c r="C39" s="14" t="s">
        <v>790</v>
      </c>
      <c r="D39" s="13" t="s">
        <v>165</v>
      </c>
    </row>
    <row r="40" spans="1:4" ht="20.149999999999999" customHeight="1" x14ac:dyDescent="0.25">
      <c r="A40" s="13" t="s">
        <v>139</v>
      </c>
      <c r="B40" s="13"/>
      <c r="C40" s="14"/>
      <c r="D40" s="13"/>
    </row>
    <row r="41" spans="1:4" ht="20.149999999999999" customHeight="1" x14ac:dyDescent="0.25"/>
    <row r="42" spans="1:4" ht="20.149999999999999" customHeight="1" x14ac:dyDescent="0.25">
      <c r="A42" s="177" t="s">
        <v>164</v>
      </c>
      <c r="B42" s="177"/>
      <c r="C42" s="178" t="s">
        <v>162</v>
      </c>
      <c r="D42" s="177" t="s">
        <v>166</v>
      </c>
    </row>
    <row r="43" spans="1:4" ht="20.149999999999999" customHeight="1" x14ac:dyDescent="0.25">
      <c r="A43" s="13" t="s">
        <v>163</v>
      </c>
      <c r="B43" s="13" t="s">
        <v>163</v>
      </c>
      <c r="C43" s="170" t="s">
        <v>792</v>
      </c>
      <c r="D43" s="170" t="s">
        <v>843</v>
      </c>
    </row>
    <row r="44" spans="1:4" ht="20.149999999999999" customHeight="1" x14ac:dyDescent="0.25">
      <c r="A44" s="13" t="s">
        <v>786</v>
      </c>
      <c r="B44" s="13" t="s">
        <v>786</v>
      </c>
      <c r="C44" s="170" t="s">
        <v>793</v>
      </c>
      <c r="D44" s="170" t="s">
        <v>792</v>
      </c>
    </row>
    <row r="45" spans="1:4" ht="20.149999999999999" customHeight="1" x14ac:dyDescent="0.25">
      <c r="A45" s="13" t="s">
        <v>788</v>
      </c>
      <c r="B45" s="13" t="s">
        <v>788</v>
      </c>
      <c r="C45" s="170">
        <v>10</v>
      </c>
      <c r="D45" s="170" t="s">
        <v>844</v>
      </c>
    </row>
    <row r="46" spans="1:4" ht="20.149999999999999" customHeight="1" x14ac:dyDescent="0.25">
      <c r="A46" s="13" t="s">
        <v>13</v>
      </c>
      <c r="B46" s="13"/>
      <c r="C46" s="14"/>
      <c r="D46" s="1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A2"/>
    <cellWatch r="A3"/>
    <cellWatch r="A4"/>
    <cellWatch r="A5"/>
    <cellWatch r="A6"/>
    <cellWatch r="A7"/>
    <cellWatch r="A8"/>
  </cellWatch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D115"/>
  <sheetViews>
    <sheetView showRowColHeaders="0" workbookViewId="0">
      <selection activeCell="H19" sqref="H19"/>
    </sheetView>
  </sheetViews>
  <sheetFormatPr defaultColWidth="10" defaultRowHeight="14" x14ac:dyDescent="0.25"/>
  <cols>
    <col min="1" max="1" width="16.9140625" style="25" customWidth="1"/>
    <col min="2" max="2" width="19.33203125" style="25" customWidth="1"/>
    <col min="3" max="3" width="10" style="25" customWidth="1"/>
    <col min="4" max="4" width="34.58203125" style="29" customWidth="1"/>
    <col min="5" max="16384" width="10" style="25"/>
  </cols>
  <sheetData>
    <row r="1" spans="1:4" x14ac:dyDescent="0.25">
      <c r="A1" s="23" t="s">
        <v>470</v>
      </c>
      <c r="B1" s="23" t="s">
        <v>471</v>
      </c>
      <c r="C1" s="23" t="s">
        <v>472</v>
      </c>
      <c r="D1" s="24" t="s">
        <v>473</v>
      </c>
    </row>
    <row r="2" spans="1:4" ht="26.25" customHeight="1" x14ac:dyDescent="0.25">
      <c r="A2" s="23" t="s">
        <v>139</v>
      </c>
      <c r="B2" s="23" t="s">
        <v>474</v>
      </c>
      <c r="C2" s="23" t="s">
        <v>475</v>
      </c>
      <c r="D2" s="24"/>
    </row>
    <row r="3" spans="1:4" ht="28" x14ac:dyDescent="0.25">
      <c r="A3" s="184" t="s">
        <v>192</v>
      </c>
      <c r="B3" s="30">
        <v>211</v>
      </c>
      <c r="C3" s="31" t="s">
        <v>193</v>
      </c>
      <c r="D3" s="32" t="s">
        <v>194</v>
      </c>
    </row>
    <row r="4" spans="1:4" x14ac:dyDescent="0.25">
      <c r="A4" s="184" t="s">
        <v>195</v>
      </c>
      <c r="B4" s="30">
        <v>212</v>
      </c>
      <c r="C4" s="31" t="s">
        <v>196</v>
      </c>
      <c r="D4" s="32" t="s">
        <v>197</v>
      </c>
    </row>
    <row r="5" spans="1:4" ht="28" x14ac:dyDescent="0.25">
      <c r="A5" s="184" t="s">
        <v>198</v>
      </c>
      <c r="B5" s="30">
        <v>226</v>
      </c>
      <c r="C5" s="31" t="s">
        <v>199</v>
      </c>
      <c r="D5" s="32" t="s">
        <v>512</v>
      </c>
    </row>
    <row r="6" spans="1:4" x14ac:dyDescent="0.25">
      <c r="A6" s="184" t="s">
        <v>200</v>
      </c>
      <c r="B6" s="30">
        <v>109</v>
      </c>
      <c r="C6" s="31" t="s">
        <v>201</v>
      </c>
      <c r="D6" s="32" t="s">
        <v>202</v>
      </c>
    </row>
    <row r="7" spans="1:4" x14ac:dyDescent="0.25">
      <c r="A7" s="184" t="s">
        <v>203</v>
      </c>
      <c r="B7" s="30">
        <v>611</v>
      </c>
      <c r="C7" s="31" t="s">
        <v>204</v>
      </c>
      <c r="D7" s="32" t="s">
        <v>205</v>
      </c>
    </row>
    <row r="8" spans="1:4" x14ac:dyDescent="0.25">
      <c r="A8" s="184" t="s">
        <v>206</v>
      </c>
      <c r="B8" s="30">
        <v>515</v>
      </c>
      <c r="C8" s="31" t="s">
        <v>207</v>
      </c>
      <c r="D8" s="32" t="s">
        <v>208</v>
      </c>
    </row>
    <row r="9" spans="1:4" x14ac:dyDescent="0.25">
      <c r="A9" s="184" t="s">
        <v>209</v>
      </c>
      <c r="B9" s="30">
        <v>505</v>
      </c>
      <c r="C9" s="31" t="s">
        <v>210</v>
      </c>
      <c r="D9" s="32" t="s">
        <v>211</v>
      </c>
    </row>
    <row r="10" spans="1:4" x14ac:dyDescent="0.25">
      <c r="A10" s="184" t="s">
        <v>212</v>
      </c>
      <c r="B10" s="30">
        <v>128</v>
      </c>
      <c r="C10" s="31" t="s">
        <v>213</v>
      </c>
      <c r="D10" s="32" t="s">
        <v>518</v>
      </c>
    </row>
    <row r="11" spans="1:4" x14ac:dyDescent="0.25">
      <c r="A11" s="184" t="s">
        <v>214</v>
      </c>
      <c r="B11" s="30">
        <v>307</v>
      </c>
      <c r="C11" s="31" t="s">
        <v>215</v>
      </c>
      <c r="D11" s="32" t="s">
        <v>216</v>
      </c>
    </row>
    <row r="12" spans="1:4" ht="28" x14ac:dyDescent="0.25">
      <c r="A12" s="184" t="s">
        <v>217</v>
      </c>
      <c r="B12" s="30">
        <v>408</v>
      </c>
      <c r="C12" s="31" t="s">
        <v>218</v>
      </c>
      <c r="D12" s="32" t="s">
        <v>521</v>
      </c>
    </row>
    <row r="13" spans="1:4" x14ac:dyDescent="0.25">
      <c r="A13" s="184" t="s">
        <v>219</v>
      </c>
      <c r="B13" s="30">
        <v>113</v>
      </c>
      <c r="C13" s="31" t="s">
        <v>220</v>
      </c>
      <c r="D13" s="32" t="s">
        <v>221</v>
      </c>
    </row>
    <row r="14" spans="1:4" x14ac:dyDescent="0.25">
      <c r="A14" s="184" t="s">
        <v>222</v>
      </c>
      <c r="B14" s="30">
        <v>513</v>
      </c>
      <c r="C14" s="31" t="s">
        <v>223</v>
      </c>
      <c r="D14" s="32" t="s">
        <v>224</v>
      </c>
    </row>
    <row r="15" spans="1:4" x14ac:dyDescent="0.25">
      <c r="A15" s="184" t="s">
        <v>225</v>
      </c>
      <c r="B15" s="30">
        <v>401</v>
      </c>
      <c r="C15" s="31" t="s">
        <v>226</v>
      </c>
      <c r="D15" s="32" t="s">
        <v>227</v>
      </c>
    </row>
    <row r="16" spans="1:4" ht="28" x14ac:dyDescent="0.25">
      <c r="A16" s="184" t="s">
        <v>228</v>
      </c>
      <c r="B16" s="30">
        <v>621</v>
      </c>
      <c r="C16" s="31" t="s">
        <v>229</v>
      </c>
      <c r="D16" s="32" t="s">
        <v>230</v>
      </c>
    </row>
    <row r="17" spans="1:4" x14ac:dyDescent="0.25">
      <c r="A17" s="184" t="s">
        <v>231</v>
      </c>
      <c r="B17" s="30">
        <v>119</v>
      </c>
      <c r="C17" s="31" t="s">
        <v>232</v>
      </c>
      <c r="D17" s="32" t="s">
        <v>527</v>
      </c>
    </row>
    <row r="18" spans="1:4" x14ac:dyDescent="0.25">
      <c r="A18" s="184" t="s">
        <v>233</v>
      </c>
      <c r="B18" s="30">
        <v>510</v>
      </c>
      <c r="C18" s="31" t="s">
        <v>234</v>
      </c>
      <c r="D18" s="32" t="s">
        <v>235</v>
      </c>
    </row>
    <row r="19" spans="1:4" x14ac:dyDescent="0.25">
      <c r="A19" s="184" t="s">
        <v>236</v>
      </c>
      <c r="B19" s="30">
        <v>615</v>
      </c>
      <c r="C19" s="31" t="s">
        <v>237</v>
      </c>
      <c r="D19" s="32" t="s">
        <v>238</v>
      </c>
    </row>
    <row r="20" spans="1:4" x14ac:dyDescent="0.25">
      <c r="A20" s="184" t="s">
        <v>239</v>
      </c>
      <c r="B20" s="30">
        <v>412</v>
      </c>
      <c r="C20" s="31" t="s">
        <v>240</v>
      </c>
      <c r="D20" s="32" t="s">
        <v>241</v>
      </c>
    </row>
    <row r="21" spans="1:4" ht="42" x14ac:dyDescent="0.25">
      <c r="A21" s="184" t="s">
        <v>242</v>
      </c>
      <c r="B21" s="30">
        <v>514</v>
      </c>
      <c r="C21" s="31" t="s">
        <v>243</v>
      </c>
      <c r="D21" s="32" t="s">
        <v>244</v>
      </c>
    </row>
    <row r="22" spans="1:4" ht="126" x14ac:dyDescent="0.25">
      <c r="A22" s="184" t="s">
        <v>245</v>
      </c>
      <c r="B22" s="30">
        <v>104</v>
      </c>
      <c r="C22" s="31" t="s">
        <v>246</v>
      </c>
      <c r="D22" s="32" t="s">
        <v>533</v>
      </c>
    </row>
    <row r="23" spans="1:4" x14ac:dyDescent="0.25">
      <c r="A23" s="184" t="s">
        <v>247</v>
      </c>
      <c r="B23" s="30">
        <v>132</v>
      </c>
      <c r="C23" s="31" t="s">
        <v>248</v>
      </c>
      <c r="D23" s="32" t="s">
        <v>249</v>
      </c>
    </row>
    <row r="24" spans="1:4" ht="28" x14ac:dyDescent="0.25">
      <c r="A24" s="184" t="s">
        <v>250</v>
      </c>
      <c r="B24" s="30">
        <v>407</v>
      </c>
      <c r="C24" s="31" t="s">
        <v>251</v>
      </c>
      <c r="D24" s="32" t="s">
        <v>252</v>
      </c>
    </row>
    <row r="25" spans="1:4" x14ac:dyDescent="0.25">
      <c r="A25" s="184" t="s">
        <v>253</v>
      </c>
      <c r="B25" s="30">
        <v>131</v>
      </c>
      <c r="C25" s="31" t="s">
        <v>254</v>
      </c>
      <c r="D25" s="32" t="s">
        <v>255</v>
      </c>
    </row>
    <row r="26" spans="1:4" ht="28" x14ac:dyDescent="0.25">
      <c r="A26" s="184" t="s">
        <v>537</v>
      </c>
      <c r="B26" s="30">
        <v>217</v>
      </c>
      <c r="C26" s="31" t="s">
        <v>539</v>
      </c>
      <c r="D26" s="33" t="s">
        <v>256</v>
      </c>
    </row>
    <row r="27" spans="1:4" x14ac:dyDescent="0.25">
      <c r="A27" s="184" t="s">
        <v>257</v>
      </c>
      <c r="B27" s="30">
        <v>308</v>
      </c>
      <c r="C27" s="31" t="s">
        <v>258</v>
      </c>
      <c r="D27" s="32" t="s">
        <v>259</v>
      </c>
    </row>
    <row r="28" spans="1:4" ht="56" x14ac:dyDescent="0.25">
      <c r="A28" s="184" t="s">
        <v>260</v>
      </c>
      <c r="B28" s="30">
        <v>305</v>
      </c>
      <c r="C28" s="31" t="s">
        <v>261</v>
      </c>
      <c r="D28" s="32" t="s">
        <v>262</v>
      </c>
    </row>
    <row r="29" spans="1:4" x14ac:dyDescent="0.25">
      <c r="A29" s="184" t="s">
        <v>263</v>
      </c>
      <c r="B29" s="30">
        <v>210</v>
      </c>
      <c r="C29" s="31" t="s">
        <v>264</v>
      </c>
      <c r="D29" s="32" t="s">
        <v>543</v>
      </c>
    </row>
    <row r="30" spans="1:4" x14ac:dyDescent="0.25">
      <c r="A30" s="184" t="s">
        <v>265</v>
      </c>
      <c r="B30" s="30">
        <v>502</v>
      </c>
      <c r="C30" s="31" t="s">
        <v>266</v>
      </c>
      <c r="D30" s="32" t="s">
        <v>267</v>
      </c>
    </row>
    <row r="31" spans="1:4" x14ac:dyDescent="0.25">
      <c r="A31" s="184" t="s">
        <v>268</v>
      </c>
      <c r="B31" s="30">
        <v>204</v>
      </c>
      <c r="C31" s="31" t="s">
        <v>269</v>
      </c>
      <c r="D31" s="32" t="s">
        <v>270</v>
      </c>
    </row>
    <row r="32" spans="1:4" x14ac:dyDescent="0.25">
      <c r="A32" s="184" t="s">
        <v>271</v>
      </c>
      <c r="B32" s="30">
        <v>607</v>
      </c>
      <c r="C32" s="31" t="s">
        <v>272</v>
      </c>
      <c r="D32" s="32" t="s">
        <v>273</v>
      </c>
    </row>
    <row r="33" spans="1:4" ht="56" x14ac:dyDescent="0.25">
      <c r="A33" s="184" t="s">
        <v>274</v>
      </c>
      <c r="B33" s="30">
        <v>135</v>
      </c>
      <c r="C33" s="31" t="s">
        <v>275</v>
      </c>
      <c r="D33" s="32" t="s">
        <v>548</v>
      </c>
    </row>
    <row r="34" spans="1:4" x14ac:dyDescent="0.25">
      <c r="A34" s="184" t="s">
        <v>549</v>
      </c>
      <c r="B34" s="30">
        <v>138</v>
      </c>
      <c r="C34" s="31" t="s">
        <v>551</v>
      </c>
      <c r="D34" s="33" t="s">
        <v>276</v>
      </c>
    </row>
    <row r="35" spans="1:4" ht="28" x14ac:dyDescent="0.25">
      <c r="A35" s="184" t="s">
        <v>552</v>
      </c>
      <c r="B35" s="30">
        <v>620</v>
      </c>
      <c r="C35" s="31" t="s">
        <v>277</v>
      </c>
      <c r="D35" s="33" t="s">
        <v>278</v>
      </c>
    </row>
    <row r="36" spans="1:4" ht="28" x14ac:dyDescent="0.25">
      <c r="A36" s="184" t="s">
        <v>279</v>
      </c>
      <c r="B36" s="30">
        <v>108</v>
      </c>
      <c r="C36" s="31" t="s">
        <v>280</v>
      </c>
      <c r="D36" s="32" t="s">
        <v>281</v>
      </c>
    </row>
    <row r="37" spans="1:4" ht="28" x14ac:dyDescent="0.25">
      <c r="A37" s="184" t="s">
        <v>555</v>
      </c>
      <c r="B37" s="30">
        <v>317</v>
      </c>
      <c r="C37" s="31" t="s">
        <v>557</v>
      </c>
      <c r="D37" s="32" t="s">
        <v>558</v>
      </c>
    </row>
    <row r="38" spans="1:4" x14ac:dyDescent="0.25">
      <c r="A38" s="184" t="s">
        <v>282</v>
      </c>
      <c r="B38" s="30">
        <v>608</v>
      </c>
      <c r="C38" s="31" t="s">
        <v>283</v>
      </c>
      <c r="D38" s="32" t="s">
        <v>284</v>
      </c>
    </row>
    <row r="39" spans="1:4" x14ac:dyDescent="0.25">
      <c r="A39" s="184" t="s">
        <v>285</v>
      </c>
      <c r="B39" s="30">
        <v>105</v>
      </c>
      <c r="C39" s="31" t="s">
        <v>286</v>
      </c>
      <c r="D39" s="32" t="s">
        <v>287</v>
      </c>
    </row>
    <row r="40" spans="1:4" ht="28" x14ac:dyDescent="0.25">
      <c r="A40" s="184" t="s">
        <v>288</v>
      </c>
      <c r="B40" s="30">
        <v>411</v>
      </c>
      <c r="C40" s="31" t="s">
        <v>289</v>
      </c>
      <c r="D40" s="32" t="s">
        <v>290</v>
      </c>
    </row>
    <row r="41" spans="1:4" x14ac:dyDescent="0.25">
      <c r="A41" s="184" t="s">
        <v>291</v>
      </c>
      <c r="B41" s="30">
        <v>114</v>
      </c>
      <c r="C41" s="31" t="s">
        <v>292</v>
      </c>
      <c r="D41" s="32" t="s">
        <v>563</v>
      </c>
    </row>
    <row r="42" spans="1:4" x14ac:dyDescent="0.25">
      <c r="A42" s="184" t="s">
        <v>293</v>
      </c>
      <c r="B42" s="30">
        <v>313</v>
      </c>
      <c r="C42" s="31" t="s">
        <v>294</v>
      </c>
      <c r="D42" s="32" t="s">
        <v>295</v>
      </c>
    </row>
    <row r="43" spans="1:4" x14ac:dyDescent="0.25">
      <c r="A43" s="184" t="s">
        <v>296</v>
      </c>
      <c r="B43" s="30">
        <v>605</v>
      </c>
      <c r="C43" s="31" t="s">
        <v>297</v>
      </c>
      <c r="D43" s="32" t="s">
        <v>298</v>
      </c>
    </row>
    <row r="44" spans="1:4" x14ac:dyDescent="0.25">
      <c r="A44" s="184" t="s">
        <v>299</v>
      </c>
      <c r="B44" s="30">
        <v>130</v>
      </c>
      <c r="C44" s="31" t="s">
        <v>300</v>
      </c>
      <c r="D44" s="32" t="s">
        <v>567</v>
      </c>
    </row>
    <row r="45" spans="1:4" x14ac:dyDescent="0.25">
      <c r="A45" s="184" t="s">
        <v>301</v>
      </c>
      <c r="B45" s="30">
        <v>409</v>
      </c>
      <c r="C45" s="31" t="s">
        <v>302</v>
      </c>
      <c r="D45" s="32" t="s">
        <v>303</v>
      </c>
    </row>
    <row r="46" spans="1:4" x14ac:dyDescent="0.25">
      <c r="A46" s="184" t="s">
        <v>304</v>
      </c>
      <c r="B46" s="30">
        <v>504</v>
      </c>
      <c r="C46" s="31" t="s">
        <v>305</v>
      </c>
      <c r="D46" s="32" t="s">
        <v>306</v>
      </c>
    </row>
    <row r="47" spans="1:4" x14ac:dyDescent="0.25">
      <c r="A47" s="184" t="s">
        <v>307</v>
      </c>
      <c r="B47" s="30">
        <v>606</v>
      </c>
      <c r="C47" s="31" t="s">
        <v>308</v>
      </c>
      <c r="D47" s="32" t="s">
        <v>309</v>
      </c>
    </row>
    <row r="48" spans="1:4" x14ac:dyDescent="0.25">
      <c r="A48" s="184" t="s">
        <v>310</v>
      </c>
      <c r="B48" s="30">
        <v>122</v>
      </c>
      <c r="C48" s="31" t="s">
        <v>311</v>
      </c>
      <c r="D48" s="32" t="s">
        <v>572</v>
      </c>
    </row>
    <row r="49" spans="1:4" ht="28" x14ac:dyDescent="0.25">
      <c r="A49" s="184" t="s">
        <v>573</v>
      </c>
      <c r="B49" s="30">
        <v>418</v>
      </c>
      <c r="C49" s="31" t="s">
        <v>575</v>
      </c>
      <c r="D49" s="32" t="s">
        <v>576</v>
      </c>
    </row>
    <row r="50" spans="1:4" x14ac:dyDescent="0.25">
      <c r="A50" s="184" t="s">
        <v>577</v>
      </c>
      <c r="B50" s="30">
        <v>144</v>
      </c>
      <c r="C50" s="31" t="s">
        <v>579</v>
      </c>
      <c r="D50" s="32" t="s">
        <v>580</v>
      </c>
    </row>
    <row r="51" spans="1:4" ht="28" x14ac:dyDescent="0.25">
      <c r="A51" s="184" t="s">
        <v>312</v>
      </c>
      <c r="B51" s="30">
        <v>120</v>
      </c>
      <c r="C51" s="31" t="s">
        <v>313</v>
      </c>
      <c r="D51" s="32" t="s">
        <v>314</v>
      </c>
    </row>
    <row r="52" spans="1:4" x14ac:dyDescent="0.25">
      <c r="A52" s="184" t="s">
        <v>315</v>
      </c>
      <c r="B52" s="30">
        <v>222</v>
      </c>
      <c r="C52" s="31" t="s">
        <v>316</v>
      </c>
      <c r="D52" s="32" t="s">
        <v>317</v>
      </c>
    </row>
    <row r="53" spans="1:4" x14ac:dyDescent="0.25">
      <c r="A53" s="184" t="s">
        <v>318</v>
      </c>
      <c r="B53" s="30">
        <v>511</v>
      </c>
      <c r="C53" s="31" t="s">
        <v>319</v>
      </c>
      <c r="D53" s="32" t="s">
        <v>320</v>
      </c>
    </row>
    <row r="54" spans="1:4" x14ac:dyDescent="0.25">
      <c r="A54" s="184" t="s">
        <v>321</v>
      </c>
      <c r="B54" s="30">
        <v>410</v>
      </c>
      <c r="C54" s="31" t="s">
        <v>322</v>
      </c>
      <c r="D54" s="32" t="s">
        <v>323</v>
      </c>
    </row>
    <row r="55" spans="1:4" ht="84" x14ac:dyDescent="0.25">
      <c r="A55" s="184" t="s">
        <v>324</v>
      </c>
      <c r="B55" s="30">
        <v>503</v>
      </c>
      <c r="C55" s="31" t="s">
        <v>325</v>
      </c>
      <c r="D55" s="32" t="s">
        <v>586</v>
      </c>
    </row>
    <row r="56" spans="1:4" x14ac:dyDescent="0.25">
      <c r="A56" s="184" t="s">
        <v>326</v>
      </c>
      <c r="B56" s="30">
        <v>110</v>
      </c>
      <c r="C56" s="31" t="s">
        <v>327</v>
      </c>
      <c r="D56" s="32" t="s">
        <v>328</v>
      </c>
    </row>
    <row r="57" spans="1:4" ht="70" x14ac:dyDescent="0.25">
      <c r="A57" s="184" t="s">
        <v>329</v>
      </c>
      <c r="B57" s="30">
        <v>314</v>
      </c>
      <c r="C57" s="31" t="s">
        <v>330</v>
      </c>
      <c r="D57" s="32" t="s">
        <v>331</v>
      </c>
    </row>
    <row r="58" spans="1:4" x14ac:dyDescent="0.25">
      <c r="A58" s="184" t="s">
        <v>332</v>
      </c>
      <c r="B58" s="30">
        <v>603</v>
      </c>
      <c r="C58" s="31" t="s">
        <v>333</v>
      </c>
      <c r="D58" s="32" t="s">
        <v>334</v>
      </c>
    </row>
    <row r="59" spans="1:4" x14ac:dyDescent="0.25">
      <c r="A59" s="184" t="s">
        <v>335</v>
      </c>
      <c r="B59" s="30">
        <v>316</v>
      </c>
      <c r="C59" s="31" t="s">
        <v>336</v>
      </c>
      <c r="D59" s="32" t="s">
        <v>337</v>
      </c>
    </row>
    <row r="60" spans="1:4" x14ac:dyDescent="0.25">
      <c r="A60" s="184" t="s">
        <v>338</v>
      </c>
      <c r="B60" s="30">
        <v>137</v>
      </c>
      <c r="C60" s="31" t="s">
        <v>339</v>
      </c>
      <c r="D60" s="32" t="s">
        <v>340</v>
      </c>
    </row>
    <row r="61" spans="1:4" ht="28" x14ac:dyDescent="0.25">
      <c r="A61" s="184" t="s">
        <v>341</v>
      </c>
      <c r="B61" s="30">
        <v>214</v>
      </c>
      <c r="C61" s="31" t="s">
        <v>342</v>
      </c>
      <c r="D61" s="32" t="s">
        <v>343</v>
      </c>
    </row>
    <row r="62" spans="1:4" x14ac:dyDescent="0.25">
      <c r="A62" s="184" t="s">
        <v>344</v>
      </c>
      <c r="B62" s="30">
        <v>129</v>
      </c>
      <c r="C62" s="31" t="s">
        <v>345</v>
      </c>
      <c r="D62" s="32" t="s">
        <v>594</v>
      </c>
    </row>
    <row r="63" spans="1:4" ht="70" x14ac:dyDescent="0.25">
      <c r="A63" s="184" t="s">
        <v>346</v>
      </c>
      <c r="B63" s="30">
        <v>206</v>
      </c>
      <c r="C63" s="31" t="s">
        <v>347</v>
      </c>
      <c r="D63" s="32" t="s">
        <v>348</v>
      </c>
    </row>
    <row r="64" spans="1:4" x14ac:dyDescent="0.25">
      <c r="A64" s="184" t="s">
        <v>349</v>
      </c>
      <c r="B64" s="30">
        <v>209</v>
      </c>
      <c r="C64" s="31" t="s">
        <v>350</v>
      </c>
      <c r="D64" s="32" t="s">
        <v>351</v>
      </c>
    </row>
    <row r="65" spans="1:4" x14ac:dyDescent="0.25">
      <c r="A65" s="184" t="s">
        <v>352</v>
      </c>
      <c r="B65" s="30">
        <v>227</v>
      </c>
      <c r="C65" s="31" t="s">
        <v>353</v>
      </c>
      <c r="D65" s="32" t="s">
        <v>354</v>
      </c>
    </row>
    <row r="66" spans="1:4" x14ac:dyDescent="0.25">
      <c r="A66" s="184" t="s">
        <v>355</v>
      </c>
      <c r="B66" s="30">
        <v>215</v>
      </c>
      <c r="C66" s="31" t="s">
        <v>356</v>
      </c>
      <c r="D66" s="32" t="s">
        <v>357</v>
      </c>
    </row>
    <row r="67" spans="1:4" x14ac:dyDescent="0.25">
      <c r="A67" s="184" t="s">
        <v>358</v>
      </c>
      <c r="B67" s="30">
        <v>617</v>
      </c>
      <c r="C67" s="31" t="s">
        <v>359</v>
      </c>
      <c r="D67" s="32" t="s">
        <v>360</v>
      </c>
    </row>
    <row r="68" spans="1:4" x14ac:dyDescent="0.25">
      <c r="A68" s="184" t="s">
        <v>361</v>
      </c>
      <c r="B68" s="30">
        <v>124</v>
      </c>
      <c r="C68" s="31" t="s">
        <v>362</v>
      </c>
      <c r="D68" s="32" t="s">
        <v>600</v>
      </c>
    </row>
    <row r="69" spans="1:4" ht="28" x14ac:dyDescent="0.25">
      <c r="A69" s="184" t="s">
        <v>363</v>
      </c>
      <c r="B69" s="30">
        <v>416</v>
      </c>
      <c r="C69" s="31" t="s">
        <v>364</v>
      </c>
      <c r="D69" s="32" t="s">
        <v>365</v>
      </c>
    </row>
    <row r="70" spans="1:4" x14ac:dyDescent="0.25">
      <c r="A70" s="184" t="s">
        <v>602</v>
      </c>
      <c r="B70" s="30">
        <v>140</v>
      </c>
      <c r="C70" s="31" t="s">
        <v>604</v>
      </c>
      <c r="D70" s="33" t="s">
        <v>366</v>
      </c>
    </row>
    <row r="71" spans="1:4" x14ac:dyDescent="0.25">
      <c r="A71" s="184" t="s">
        <v>367</v>
      </c>
      <c r="B71" s="30">
        <v>508</v>
      </c>
      <c r="C71" s="31" t="s">
        <v>368</v>
      </c>
      <c r="D71" s="32" t="s">
        <v>369</v>
      </c>
    </row>
    <row r="72" spans="1:4" x14ac:dyDescent="0.25">
      <c r="A72" s="184" t="s">
        <v>370</v>
      </c>
      <c r="B72" s="30">
        <v>134</v>
      </c>
      <c r="C72" s="31" t="s">
        <v>371</v>
      </c>
      <c r="D72" s="32" t="s">
        <v>607</v>
      </c>
    </row>
    <row r="73" spans="1:4" x14ac:dyDescent="0.25">
      <c r="A73" s="184" t="s">
        <v>372</v>
      </c>
      <c r="B73" s="30">
        <v>123</v>
      </c>
      <c r="C73" s="31" t="s">
        <v>373</v>
      </c>
      <c r="D73" s="32" t="s">
        <v>609</v>
      </c>
    </row>
    <row r="74" spans="1:4" x14ac:dyDescent="0.25">
      <c r="A74" s="184" t="s">
        <v>374</v>
      </c>
      <c r="B74" s="30">
        <v>117</v>
      </c>
      <c r="C74" s="31" t="s">
        <v>375</v>
      </c>
      <c r="D74" s="32" t="s">
        <v>376</v>
      </c>
    </row>
    <row r="75" spans="1:4" x14ac:dyDescent="0.25">
      <c r="A75" s="184" t="s">
        <v>377</v>
      </c>
      <c r="B75" s="30">
        <v>417</v>
      </c>
      <c r="C75" s="31" t="s">
        <v>378</v>
      </c>
      <c r="D75" s="32" t="s">
        <v>379</v>
      </c>
    </row>
    <row r="76" spans="1:4" x14ac:dyDescent="0.25">
      <c r="A76" s="184" t="s">
        <v>380</v>
      </c>
      <c r="B76" s="30">
        <v>220</v>
      </c>
      <c r="C76" s="31" t="s">
        <v>381</v>
      </c>
      <c r="D76" s="32" t="s">
        <v>382</v>
      </c>
    </row>
    <row r="77" spans="1:4" x14ac:dyDescent="0.25">
      <c r="A77" s="184" t="s">
        <v>383</v>
      </c>
      <c r="B77" s="30">
        <v>507</v>
      </c>
      <c r="C77" s="31" t="s">
        <v>384</v>
      </c>
      <c r="D77" s="32" t="s">
        <v>614</v>
      </c>
    </row>
    <row r="78" spans="1:4" x14ac:dyDescent="0.25">
      <c r="A78" s="184" t="s">
        <v>385</v>
      </c>
      <c r="B78" s="30">
        <v>302</v>
      </c>
      <c r="C78" s="31" t="s">
        <v>386</v>
      </c>
      <c r="D78" s="32" t="s">
        <v>387</v>
      </c>
    </row>
    <row r="79" spans="1:4" x14ac:dyDescent="0.25">
      <c r="A79" s="184" t="s">
        <v>388</v>
      </c>
      <c r="B79" s="30">
        <v>107</v>
      </c>
      <c r="C79" s="31" t="s">
        <v>389</v>
      </c>
      <c r="D79" s="32" t="s">
        <v>390</v>
      </c>
    </row>
    <row r="80" spans="1:4" ht="42" x14ac:dyDescent="0.25">
      <c r="A80" s="184" t="s">
        <v>391</v>
      </c>
      <c r="B80" s="30">
        <v>225</v>
      </c>
      <c r="C80" s="31" t="s">
        <v>392</v>
      </c>
      <c r="D80" s="32" t="s">
        <v>618</v>
      </c>
    </row>
    <row r="81" spans="1:4" x14ac:dyDescent="0.25">
      <c r="A81" s="184" t="s">
        <v>393</v>
      </c>
      <c r="B81" s="30">
        <v>512</v>
      </c>
      <c r="C81" s="31" t="s">
        <v>394</v>
      </c>
      <c r="D81" s="32" t="s">
        <v>395</v>
      </c>
    </row>
    <row r="82" spans="1:4" x14ac:dyDescent="0.25">
      <c r="A82" s="184" t="s">
        <v>396</v>
      </c>
      <c r="B82" s="30">
        <v>311</v>
      </c>
      <c r="C82" s="31" t="s">
        <v>397</v>
      </c>
      <c r="D82" s="32" t="s">
        <v>398</v>
      </c>
    </row>
    <row r="83" spans="1:4" x14ac:dyDescent="0.25">
      <c r="A83" s="184" t="s">
        <v>399</v>
      </c>
      <c r="B83" s="30">
        <v>106</v>
      </c>
      <c r="C83" s="31" t="s">
        <v>400</v>
      </c>
      <c r="D83" s="32" t="s">
        <v>401</v>
      </c>
    </row>
    <row r="84" spans="1:4" x14ac:dyDescent="0.25">
      <c r="A84" s="184" t="s">
        <v>622</v>
      </c>
      <c r="B84" s="30">
        <v>142</v>
      </c>
      <c r="C84" s="31" t="s">
        <v>624</v>
      </c>
      <c r="D84" s="32" t="s">
        <v>625</v>
      </c>
    </row>
    <row r="85" spans="1:4" x14ac:dyDescent="0.25">
      <c r="A85" s="184" t="s">
        <v>402</v>
      </c>
      <c r="B85" s="30">
        <v>610</v>
      </c>
      <c r="C85" s="31" t="s">
        <v>403</v>
      </c>
      <c r="D85" s="32" t="s">
        <v>627</v>
      </c>
    </row>
    <row r="86" spans="1:4" ht="28" x14ac:dyDescent="0.25">
      <c r="A86" s="184" t="s">
        <v>404</v>
      </c>
      <c r="B86" s="30">
        <v>224</v>
      </c>
      <c r="C86" s="31" t="s">
        <v>405</v>
      </c>
      <c r="D86" s="32" t="s">
        <v>406</v>
      </c>
    </row>
    <row r="87" spans="1:4" ht="28" x14ac:dyDescent="0.25">
      <c r="A87" s="184" t="s">
        <v>407</v>
      </c>
      <c r="B87" s="30">
        <v>127</v>
      </c>
      <c r="C87" s="31" t="s">
        <v>408</v>
      </c>
      <c r="D87" s="32" t="s">
        <v>409</v>
      </c>
    </row>
    <row r="88" spans="1:4" x14ac:dyDescent="0.25">
      <c r="A88" s="184" t="s">
        <v>410</v>
      </c>
      <c r="B88" s="30">
        <v>126</v>
      </c>
      <c r="C88" s="31" t="s">
        <v>411</v>
      </c>
      <c r="D88" s="32" t="s">
        <v>412</v>
      </c>
    </row>
    <row r="89" spans="1:4" x14ac:dyDescent="0.25">
      <c r="A89" s="184" t="s">
        <v>413</v>
      </c>
      <c r="B89" s="30">
        <v>403</v>
      </c>
      <c r="C89" s="31" t="s">
        <v>414</v>
      </c>
      <c r="D89" s="32" t="s">
        <v>415</v>
      </c>
    </row>
    <row r="90" spans="1:4" x14ac:dyDescent="0.25">
      <c r="A90" s="184" t="s">
        <v>416</v>
      </c>
      <c r="B90" s="30">
        <v>121</v>
      </c>
      <c r="C90" s="31" t="s">
        <v>417</v>
      </c>
      <c r="D90" s="32" t="s">
        <v>418</v>
      </c>
    </row>
    <row r="91" spans="1:4" x14ac:dyDescent="0.25">
      <c r="A91" s="184" t="s">
        <v>419</v>
      </c>
      <c r="B91" s="30">
        <v>402</v>
      </c>
      <c r="C91" s="31" t="s">
        <v>420</v>
      </c>
      <c r="D91" s="32" t="s">
        <v>634</v>
      </c>
    </row>
    <row r="92" spans="1:4" x14ac:dyDescent="0.25">
      <c r="A92" s="184" t="s">
        <v>421</v>
      </c>
      <c r="B92" s="30">
        <v>404</v>
      </c>
      <c r="C92" s="31" t="s">
        <v>422</v>
      </c>
      <c r="D92" s="32" t="s">
        <v>423</v>
      </c>
    </row>
    <row r="93" spans="1:4" x14ac:dyDescent="0.25">
      <c r="A93" s="184" t="s">
        <v>424</v>
      </c>
      <c r="B93" s="30">
        <v>616</v>
      </c>
      <c r="C93" s="31" t="s">
        <v>425</v>
      </c>
      <c r="D93" s="32" t="s">
        <v>426</v>
      </c>
    </row>
    <row r="94" spans="1:4" x14ac:dyDescent="0.25">
      <c r="A94" s="184" t="s">
        <v>427</v>
      </c>
      <c r="B94" s="30">
        <v>304</v>
      </c>
      <c r="C94" s="31" t="s">
        <v>428</v>
      </c>
      <c r="D94" s="32" t="s">
        <v>429</v>
      </c>
    </row>
    <row r="95" spans="1:4" x14ac:dyDescent="0.25">
      <c r="A95" s="184" t="s">
        <v>430</v>
      </c>
      <c r="B95" s="30">
        <v>101</v>
      </c>
      <c r="C95" s="31" t="s">
        <v>431</v>
      </c>
      <c r="D95" s="32" t="s">
        <v>432</v>
      </c>
    </row>
    <row r="96" spans="1:4" ht="98" x14ac:dyDescent="0.25">
      <c r="A96" s="184" t="s">
        <v>433</v>
      </c>
      <c r="B96" s="30">
        <v>201</v>
      </c>
      <c r="C96" s="31" t="s">
        <v>434</v>
      </c>
      <c r="D96" s="32" t="s">
        <v>435</v>
      </c>
    </row>
    <row r="97" spans="1:4" ht="70" x14ac:dyDescent="0.25">
      <c r="A97" s="184" t="s">
        <v>640</v>
      </c>
      <c r="B97" s="30">
        <v>602</v>
      </c>
      <c r="C97" s="31" t="s">
        <v>436</v>
      </c>
      <c r="D97" s="32" t="s">
        <v>642</v>
      </c>
    </row>
    <row r="98" spans="1:4" ht="28" x14ac:dyDescent="0.25">
      <c r="A98" s="184" t="s">
        <v>437</v>
      </c>
      <c r="B98" s="30">
        <v>613</v>
      </c>
      <c r="C98" s="31" t="s">
        <v>438</v>
      </c>
      <c r="D98" s="32" t="s">
        <v>439</v>
      </c>
    </row>
    <row r="99" spans="1:4" x14ac:dyDescent="0.25">
      <c r="A99" s="184" t="s">
        <v>440</v>
      </c>
      <c r="B99" s="30">
        <v>609</v>
      </c>
      <c r="C99" s="31" t="s">
        <v>441</v>
      </c>
      <c r="D99" s="32" t="s">
        <v>442</v>
      </c>
    </row>
    <row r="100" spans="1:4" x14ac:dyDescent="0.25">
      <c r="A100" s="184" t="s">
        <v>443</v>
      </c>
      <c r="B100" s="30">
        <v>312</v>
      </c>
      <c r="C100" s="31" t="s">
        <v>444</v>
      </c>
      <c r="D100" s="32" t="s">
        <v>445</v>
      </c>
    </row>
    <row r="101" spans="1:4" ht="28" x14ac:dyDescent="0.25">
      <c r="A101" s="184" t="s">
        <v>446</v>
      </c>
      <c r="B101" s="30">
        <v>301</v>
      </c>
      <c r="C101" s="31" t="s">
        <v>447</v>
      </c>
      <c r="D101" s="32" t="s">
        <v>647</v>
      </c>
    </row>
    <row r="102" spans="1:4" x14ac:dyDescent="0.25">
      <c r="A102" s="184" t="s">
        <v>448</v>
      </c>
      <c r="B102" s="30">
        <v>221</v>
      </c>
      <c r="C102" s="31" t="s">
        <v>449</v>
      </c>
      <c r="D102" s="32" t="s">
        <v>450</v>
      </c>
    </row>
    <row r="103" spans="1:4" ht="28" x14ac:dyDescent="0.25">
      <c r="A103" s="184" t="s">
        <v>451</v>
      </c>
      <c r="B103" s="30">
        <v>303</v>
      </c>
      <c r="C103" s="31" t="s">
        <v>452</v>
      </c>
      <c r="D103" s="32" t="s">
        <v>650</v>
      </c>
    </row>
    <row r="104" spans="1:4" x14ac:dyDescent="0.25">
      <c r="A104" s="184" t="s">
        <v>453</v>
      </c>
      <c r="B104" s="30">
        <v>612</v>
      </c>
      <c r="C104" s="31" t="s">
        <v>454</v>
      </c>
      <c r="D104" s="32" t="s">
        <v>455</v>
      </c>
    </row>
    <row r="105" spans="1:4" x14ac:dyDescent="0.25">
      <c r="A105" s="184" t="s">
        <v>652</v>
      </c>
      <c r="B105" s="30">
        <v>141</v>
      </c>
      <c r="C105" s="31" t="s">
        <v>654</v>
      </c>
      <c r="D105" s="33" t="s">
        <v>456</v>
      </c>
    </row>
    <row r="106" spans="1:4" x14ac:dyDescent="0.25">
      <c r="A106" s="184" t="s">
        <v>457</v>
      </c>
      <c r="B106" s="30">
        <v>125</v>
      </c>
      <c r="C106" s="31" t="s">
        <v>458</v>
      </c>
      <c r="D106" s="32" t="s">
        <v>656</v>
      </c>
    </row>
    <row r="107" spans="1:4" x14ac:dyDescent="0.25">
      <c r="A107" s="184" t="s">
        <v>459</v>
      </c>
      <c r="B107" s="30">
        <v>506</v>
      </c>
      <c r="C107" s="31" t="s">
        <v>460</v>
      </c>
      <c r="D107" s="32" t="s">
        <v>461</v>
      </c>
    </row>
    <row r="108" spans="1:4" x14ac:dyDescent="0.25">
      <c r="A108" s="184" t="s">
        <v>462</v>
      </c>
      <c r="B108" s="30">
        <v>415</v>
      </c>
      <c r="C108" s="31" t="s">
        <v>463</v>
      </c>
      <c r="D108" s="32" t="s">
        <v>659</v>
      </c>
    </row>
    <row r="109" spans="1:4" x14ac:dyDescent="0.25">
      <c r="A109" s="184" t="s">
        <v>464</v>
      </c>
      <c r="B109" s="30">
        <v>310</v>
      </c>
      <c r="C109" s="31" t="s">
        <v>465</v>
      </c>
      <c r="D109" s="32" t="s">
        <v>466</v>
      </c>
    </row>
    <row r="110" spans="1:4" x14ac:dyDescent="0.25">
      <c r="A110" s="184" t="s">
        <v>467</v>
      </c>
      <c r="B110" s="30">
        <v>223</v>
      </c>
      <c r="C110" s="31" t="s">
        <v>468</v>
      </c>
      <c r="D110" s="32" t="s">
        <v>469</v>
      </c>
    </row>
    <row r="111" spans="1:4" ht="28" x14ac:dyDescent="0.25">
      <c r="A111" s="185" t="s">
        <v>662</v>
      </c>
      <c r="B111" s="34">
        <v>143</v>
      </c>
      <c r="C111" s="35" t="s">
        <v>664</v>
      </c>
      <c r="D111" s="36" t="s">
        <v>665</v>
      </c>
    </row>
    <row r="112" spans="1:4" x14ac:dyDescent="0.25">
      <c r="A112" s="26"/>
      <c r="B112" s="26"/>
      <c r="C112" s="27"/>
      <c r="D112" s="28"/>
    </row>
    <row r="113" spans="1:4" x14ac:dyDescent="0.25">
      <c r="A113" s="26"/>
      <c r="B113" s="26"/>
      <c r="C113" s="27"/>
      <c r="D113" s="28"/>
    </row>
    <row r="114" spans="1:4" x14ac:dyDescent="0.25">
      <c r="A114" s="26"/>
      <c r="B114" s="26"/>
      <c r="C114" s="27"/>
      <c r="D114" s="28"/>
    </row>
    <row r="115" spans="1:4" x14ac:dyDescent="0.25">
      <c r="A115" s="26"/>
      <c r="B115" s="26"/>
      <c r="C115" s="27"/>
      <c r="D115" s="28"/>
    </row>
  </sheetData>
  <phoneticPr fontId="2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13</vt:i4>
      </vt:variant>
    </vt:vector>
  </HeadingPairs>
  <TitlesOfParts>
    <vt:vector size="23" baseType="lpstr">
      <vt:lpstr>증여내용입력</vt:lpstr>
      <vt:lpstr>1. 증여세신고서</vt:lpstr>
      <vt:lpstr>2. 평가명세서</vt:lpstr>
      <vt:lpstr>(참고) 2. 평가명세서 작성방법</vt:lpstr>
      <vt:lpstr>3. 납부서</vt:lpstr>
      <vt:lpstr>세무서(가나다순)</vt:lpstr>
      <vt:lpstr>증여세계산(대납액)</vt:lpstr>
      <vt:lpstr>세무서코드</vt:lpstr>
      <vt:lpstr>자료</vt:lpstr>
      <vt:lpstr>세무서</vt:lpstr>
      <vt:lpstr>'1. 증여세신고서'!Print_Area</vt:lpstr>
      <vt:lpstr>'2. 평가명세서'!Print_Area</vt:lpstr>
      <vt:lpstr>'3. 납부서'!Print_Area</vt:lpstr>
      <vt:lpstr>세무서코드!Print_Area</vt:lpstr>
      <vt:lpstr>관할세무서</vt:lpstr>
      <vt:lpstr>납부할세액</vt:lpstr>
      <vt:lpstr>세대생략여부</vt:lpstr>
      <vt:lpstr>수증자선택</vt:lpstr>
      <vt:lpstr>예정신고여부</vt:lpstr>
      <vt:lpstr>증여공제액</vt:lpstr>
      <vt:lpstr>증여일</vt:lpstr>
      <vt:lpstr>증여자와의관계</vt:lpstr>
      <vt:lpstr>증여재산</vt:lpstr>
    </vt:vector>
  </TitlesOfParts>
  <Company>mirae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태오 엄</cp:lastModifiedBy>
  <cp:lastPrinted>2022-08-12T01:12:03Z</cp:lastPrinted>
  <dcterms:created xsi:type="dcterms:W3CDTF">2007-09-13T08:52:25Z</dcterms:created>
  <dcterms:modified xsi:type="dcterms:W3CDTF">2024-07-03T05:57:19Z</dcterms:modified>
</cp:coreProperties>
</file>