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AB82B690-9B11-46AB-A08A-3B29278AB136}" xr6:coauthVersionLast="47" xr6:coauthVersionMax="47" xr10:uidLastSave="{00000000-0000-0000-0000-000000000000}"/>
  <bookViews>
    <workbookView xWindow="-28920" yWindow="-120" windowWidth="29040" windowHeight="15720" tabRatio="854" xr2:uid="{1DE5CCF6-03E2-480B-B1EA-F2577FCE6B33}"/>
  </bookViews>
  <sheets>
    <sheet name="자기주식이익소각 실무  " sheetId="19" r:id="rId1"/>
    <sheet name="자기주식이익소각 실무 (이사회O)" sheetId="16" r:id="rId2"/>
    <sheet name="신이익소각 실무" sheetId="17" r:id="rId3"/>
    <sheet name="신이익소각 실무 (이사회O)" sheetId="18" r:id="rId4"/>
  </sheets>
  <definedNames>
    <definedName name="_xlnm.Print_Area" localSheetId="2">'신이익소각 실무'!$B$2:$K$28</definedName>
    <definedName name="_xlnm.Print_Area" localSheetId="3">'신이익소각 실무 (이사회O)'!$B$2:$K$24</definedName>
    <definedName name="_xlnm.Print_Area" localSheetId="0">'자기주식이익소각 실무  '!$B$2:$K$25</definedName>
    <definedName name="_xlnm.Print_Area" localSheetId="1">'자기주식이익소각 실무 (이사회O)'!$B$2:$K$29</definedName>
    <definedName name="자사주취득결의주총" localSheetId="0">'자기주식이익소각 실무  '!$H$16</definedName>
    <definedName name="자사주취득결의주총">'자기주식이익소각 실무 (이사회O)'!$H$18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3" i="19" l="1"/>
  <c r="H20" i="19"/>
  <c r="J20" i="16"/>
  <c r="H17" i="19"/>
  <c r="J17" i="19" s="1"/>
  <c r="H18" i="19" s="1"/>
  <c r="J18" i="19" s="1"/>
  <c r="H19" i="19" s="1"/>
  <c r="J16" i="19"/>
  <c r="J14" i="19"/>
  <c r="J13" i="19"/>
  <c r="J12" i="19"/>
  <c r="J11" i="19"/>
  <c r="J10" i="19"/>
  <c r="J9" i="19"/>
  <c r="J8" i="19"/>
  <c r="H17" i="18"/>
  <c r="J17" i="18" s="1"/>
  <c r="H18" i="18" s="1"/>
  <c r="J18" i="18" s="1"/>
  <c r="H19" i="18" s="1"/>
  <c r="H20" i="18" s="1"/>
  <c r="H14" i="18"/>
  <c r="J12" i="18"/>
  <c r="J10" i="18"/>
  <c r="J9" i="18"/>
  <c r="J8" i="18"/>
  <c r="H21" i="17"/>
  <c r="J21" i="17" s="1"/>
  <c r="H22" i="17" s="1"/>
  <c r="J22" i="17" s="1"/>
  <c r="H23" i="17" s="1"/>
  <c r="H24" i="17" s="1"/>
  <c r="H18" i="17"/>
  <c r="J16" i="17"/>
  <c r="J14" i="17"/>
  <c r="J13" i="17"/>
  <c r="J12" i="17"/>
  <c r="J11" i="17"/>
  <c r="J10" i="17"/>
  <c r="J9" i="17"/>
  <c r="J8" i="17"/>
  <c r="H21" i="16"/>
  <c r="J21" i="16" s="1"/>
  <c r="H22" i="16" s="1"/>
  <c r="J22" i="16" s="1"/>
  <c r="H23" i="16" s="1"/>
  <c r="J9" i="16"/>
  <c r="J10" i="16"/>
  <c r="J11" i="16"/>
  <c r="J12" i="16"/>
  <c r="J13" i="16"/>
  <c r="J14" i="16"/>
  <c r="J16" i="16"/>
  <c r="J18" i="16"/>
  <c r="J8" i="16"/>
  <c r="J19" i="19" l="1"/>
  <c r="H23" i="18"/>
  <c r="H21" i="18"/>
  <c r="J21" i="18" s="1"/>
  <c r="H27" i="17"/>
  <c r="H25" i="17"/>
  <c r="J25" i="17" s="1"/>
  <c r="J23" i="16"/>
  <c r="H24" i="16"/>
  <c r="H21" i="19" l="1"/>
  <c r="J21" i="19" s="1"/>
  <c r="J20" i="19"/>
  <c r="H24" i="18"/>
  <c r="J24" i="18" s="1"/>
  <c r="J23" i="18"/>
  <c r="H28" i="17"/>
  <c r="J28" i="17" s="1"/>
  <c r="J27" i="17"/>
  <c r="H27" i="16"/>
  <c r="H25" i="16"/>
  <c r="J25" i="16" s="1"/>
  <c r="J24" i="16"/>
  <c r="H24" i="19" l="1"/>
  <c r="J24" i="19" s="1"/>
  <c r="J23" i="19"/>
  <c r="J27" i="16"/>
  <c r="H28" i="16"/>
  <c r="J28" i="16" s="1"/>
</calcChain>
</file>

<file path=xl/sharedStrings.xml><?xml version="1.0" encoding="utf-8"?>
<sst xmlns="http://schemas.openxmlformats.org/spreadsheetml/2006/main" count="213" uniqueCount="61">
  <si>
    <t>내용</t>
    <phoneticPr fontId="2" type="noConversion"/>
  </si>
  <si>
    <t>담당</t>
    <phoneticPr fontId="2" type="noConversion"/>
  </si>
  <si>
    <t>진행률</t>
    <phoneticPr fontId="2" type="noConversion"/>
  </si>
  <si>
    <t>작업일수</t>
    <phoneticPr fontId="2" type="noConversion"/>
  </si>
  <si>
    <t>단계</t>
    <phoneticPr fontId="2" type="noConversion"/>
  </si>
  <si>
    <t>자문계약 체결일</t>
    <phoneticPr fontId="2" type="noConversion"/>
  </si>
  <si>
    <t>회사명 / 대표자명</t>
    <phoneticPr fontId="2" type="noConversion"/>
  </si>
  <si>
    <t xml:space="preserve">홈택스 인지세 신고 </t>
    <phoneticPr fontId="2" type="noConversion"/>
  </si>
  <si>
    <t>자기주식취득</t>
    <phoneticPr fontId="2" type="noConversion"/>
  </si>
  <si>
    <t>변경등기</t>
    <phoneticPr fontId="2" type="noConversion"/>
  </si>
  <si>
    <t>주식가치평가</t>
    <phoneticPr fontId="2" type="noConversion"/>
  </si>
  <si>
    <t>고객필요서류 안내</t>
    <phoneticPr fontId="2" type="noConversion"/>
  </si>
  <si>
    <t>법무서식 작성</t>
    <phoneticPr fontId="2" type="noConversion"/>
  </si>
  <si>
    <t>이사회 개최 - 자기주식취득 세부사항 결의(이사회 없을 경우 주주총회로 결의)</t>
    <phoneticPr fontId="2" type="noConversion"/>
  </si>
  <si>
    <t>자기주식 취득신청기간</t>
    <phoneticPr fontId="2" type="noConversion"/>
  </si>
  <si>
    <t>자기주식 취득신청일</t>
    <phoneticPr fontId="2" type="noConversion"/>
  </si>
  <si>
    <t>양도계약 체결(자기주식취득)</t>
    <phoneticPr fontId="2" type="noConversion"/>
  </si>
  <si>
    <t>이익소각결의</t>
    <phoneticPr fontId="2" type="noConversion"/>
  </si>
  <si>
    <t>고객 미팅</t>
    <phoneticPr fontId="2" type="noConversion"/>
  </si>
  <si>
    <t>이사회 소집통지(가능할 경우 전원 동의로 생략)</t>
    <phoneticPr fontId="2" type="noConversion"/>
  </si>
  <si>
    <t>이사회 개최 - 주총소집의 건</t>
    <phoneticPr fontId="2" type="noConversion"/>
  </si>
  <si>
    <t>주주총회 개최 - 자기주식취득 결의, 정관변경의 건(주식소각규정)</t>
    <phoneticPr fontId="2" type="noConversion"/>
  </si>
  <si>
    <t>자기주식 취득현황 주주통지</t>
    <phoneticPr fontId="2" type="noConversion"/>
  </si>
  <si>
    <t>이사회 결의 - 자기주식 소각 결의(이사회 없을 경우 주주총회로 결의)</t>
    <phoneticPr fontId="2" type="noConversion"/>
  </si>
  <si>
    <t>자기주식 소각 변경등기(소각으로 인한 발행주식수 변경)</t>
    <phoneticPr fontId="2" type="noConversion"/>
  </si>
  <si>
    <t>자기주식 취득대금 지급</t>
    <phoneticPr fontId="2" type="noConversion"/>
  </si>
  <si>
    <t>세금신고</t>
    <phoneticPr fontId="2" type="noConversion"/>
  </si>
  <si>
    <t xml:space="preserve">주권발행 - 인쇄소 발행 요청 및 수령 </t>
    <phoneticPr fontId="2" type="noConversion"/>
  </si>
  <si>
    <t>배우자 주식 증여시
(필요 시)</t>
    <phoneticPr fontId="2" type="noConversion"/>
  </si>
  <si>
    <t>필요</t>
    <phoneticPr fontId="2" type="noConversion"/>
  </si>
  <si>
    <t xml:space="preserve">주식증여계약서 작성, 주권전달, 증여세 신고 </t>
    <phoneticPr fontId="2" type="noConversion"/>
  </si>
  <si>
    <t>전담파트너</t>
    <phoneticPr fontId="2" type="noConversion"/>
  </si>
  <si>
    <t>법무사</t>
    <phoneticPr fontId="2" type="noConversion"/>
  </si>
  <si>
    <t>법무서식 고객 안내 및 도장 날인, 고객필요서류 수령</t>
    <phoneticPr fontId="2" type="noConversion"/>
  </si>
  <si>
    <t>생략</t>
    <phoneticPr fontId="2" type="noConversion"/>
  </si>
  <si>
    <t>내년 5월</t>
    <phoneticPr fontId="2" type="noConversion"/>
  </si>
  <si>
    <t>주주총회 소집통지(가능할 경우 주주 전원 동의로 생략)</t>
    <phoneticPr fontId="2" type="noConversion"/>
  </si>
  <si>
    <t>이사회 소집통지(가능할 경우 이사회 전원 동의로 생략)</t>
    <phoneticPr fontId="2" type="noConversion"/>
  </si>
  <si>
    <t>이사회 소집통지(가능할 경우 전원 이사회 동의로 생략)</t>
    <phoneticPr fontId="2" type="noConversion"/>
  </si>
  <si>
    <t>자기주식 소각에 따른 배당소득 종합소득세 신고</t>
    <phoneticPr fontId="2" type="noConversion"/>
  </si>
  <si>
    <t>법무서식 작성(정관변경, 자사주 취득 및 변경등기 서류 작성)</t>
    <phoneticPr fontId="2" type="noConversion"/>
  </si>
  <si>
    <t>㈜좋은회사 / 홍길동 대표</t>
    <phoneticPr fontId="2" type="noConversion"/>
  </si>
  <si>
    <t>씨오팀/법무사</t>
    <phoneticPr fontId="2" type="noConversion"/>
  </si>
  <si>
    <t>완료</t>
  </si>
  <si>
    <t>시작일</t>
    <phoneticPr fontId="2" type="noConversion"/>
  </si>
  <si>
    <t>▶ 자기주식이익소각 컨설팅 추진 세부 일정</t>
    <phoneticPr fontId="2" type="noConversion"/>
  </si>
  <si>
    <t>완료일</t>
    <phoneticPr fontId="2" type="noConversion"/>
  </si>
  <si>
    <t>전담파트너/씨오팀</t>
    <phoneticPr fontId="2" type="noConversion"/>
  </si>
  <si>
    <t>주주총회 개최 - 자기주식취득 결의, 세부사항 결의, 정관변경의 건(주식소각규정)</t>
    <phoneticPr fontId="2" type="noConversion"/>
  </si>
  <si>
    <t>주주총회결의 - 자기주식 소각 결의(이사회 있을 경우 이사회 결의)</t>
    <phoneticPr fontId="2" type="noConversion"/>
  </si>
  <si>
    <r>
      <rPr>
        <b/>
        <sz val="11"/>
        <color theme="1"/>
        <rFont val="Segoe UI Symbol"/>
        <family val="2"/>
      </rPr>
      <t>※</t>
    </r>
    <r>
      <rPr>
        <b/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2"/>
        <charset val="129"/>
      </rPr>
      <t>이사회 없을 때</t>
    </r>
    <phoneticPr fontId="2" type="noConversion"/>
  </si>
  <si>
    <r>
      <t>※</t>
    </r>
    <r>
      <rPr>
        <b/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2"/>
        <charset val="129"/>
      </rPr>
      <t xml:space="preserve">이사회 있을때 </t>
    </r>
    <phoneticPr fontId="2" type="noConversion"/>
  </si>
  <si>
    <r>
      <t>※</t>
    </r>
    <r>
      <rPr>
        <b/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2"/>
        <charset val="129"/>
      </rPr>
      <t>이사회 있을때</t>
    </r>
    <phoneticPr fontId="2" type="noConversion"/>
  </si>
  <si>
    <t>자사주취득</t>
    <phoneticPr fontId="2" type="noConversion"/>
  </si>
  <si>
    <r>
      <t>※</t>
    </r>
    <r>
      <rPr>
        <b/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2"/>
        <charset val="129"/>
      </rPr>
      <t>이사회 없을때</t>
    </r>
    <phoneticPr fontId="2" type="noConversion"/>
  </si>
  <si>
    <t>이사회 개최 - 자기주식취득 세부사항 결의</t>
    <phoneticPr fontId="2" type="noConversion"/>
  </si>
  <si>
    <t>주주총회결의 - 자기주식 소각 결의</t>
    <phoneticPr fontId="2" type="noConversion"/>
  </si>
  <si>
    <t>이사회 결의 - 자기주식 소각 결의</t>
    <phoneticPr fontId="2" type="noConversion"/>
  </si>
  <si>
    <t>세무사</t>
    <phoneticPr fontId="2" type="noConversion"/>
  </si>
  <si>
    <t>전담파트너/법무사</t>
    <phoneticPr fontId="2" type="noConversion"/>
  </si>
  <si>
    <t>세무사/전담파트너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</si>
</sst>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일&quot;"/>
    <numFmt numFmtId="177" formatCode="mm&quot;월&quot;\ dd&quot;일&quot;"/>
  </numFmts>
  <fonts count="13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FF6FB"/>
        <bgColor indexed="64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</borders>
  <cellStyleXfs count="6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14" fontId="4" fillId="2" borderId="0" xfId="0" applyNumberFormat="1" applyFont="1" applyFill="1">
      <alignment vertical="center"/>
    </xf>
    <xf numFmtId="14" fontId="0" fillId="2" borderId="0" xfId="0" applyNumberFormat="1" applyFill="1">
      <alignment vertical="center"/>
    </xf>
    <xf numFmtId="14" fontId="5" fillId="2" borderId="1" xfId="0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14" fontId="6" fillId="2" borderId="0" xfId="0" applyNumberFormat="1" applyFont="1" applyFill="1">
      <alignment vertical="center"/>
    </xf>
    <xf numFmtId="0" fontId="3" fillId="2" borderId="0" xfId="0" applyFont="1" applyFill="1" applyAlignment="1">
      <alignment horizontal="left" vertical="center" indent="1"/>
    </xf>
    <xf numFmtId="14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indent="1"/>
    </xf>
    <xf numFmtId="0" fontId="5" fillId="2" borderId="10" xfId="0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9" fontId="5" fillId="2" borderId="10" xfId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 indent="1"/>
    </xf>
    <xf numFmtId="176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9" fontId="5" fillId="2" borderId="1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 indent="1"/>
    </xf>
    <xf numFmtId="14" fontId="0" fillId="2" borderId="19" xfId="0" applyNumberForma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177" fontId="0" fillId="2" borderId="0" xfId="0" applyNumberFormat="1" applyFill="1">
      <alignment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left" vertical="center" indent="1"/>
    </xf>
    <xf numFmtId="176" fontId="5" fillId="2" borderId="22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4" fontId="5" fillId="2" borderId="22" xfId="0" applyNumberFormat="1" applyFont="1" applyFill="1" applyBorder="1" applyAlignment="1">
      <alignment horizontal="center" vertical="center"/>
    </xf>
    <xf numFmtId="9" fontId="5" fillId="2" borderId="22" xfId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</cellXfs>
  <cellStyles count="6">
    <cellStyle name="백분율" xfId="1" builtinId="5"/>
    <cellStyle name="백분율 2" xfId="3" xr:uid="{DB675889-425D-4F27-8AF3-D434A19AB767}"/>
    <cellStyle name="백분율 3" xfId="5" xr:uid="{CD76816A-7381-464F-B3EA-F59FC2D1C40C}"/>
    <cellStyle name="표준" xfId="0" builtinId="0"/>
    <cellStyle name="표준 2" xfId="2" xr:uid="{5A5A8821-F0B8-40D9-815E-018C11E261FB}"/>
    <cellStyle name="표준 2 2" xfId="4" xr:uid="{1FC60D37-0FC6-45FA-91E5-0658C6197664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EC3C-97FE-4BA4-BDC8-1C98AEEDE836}">
  <sheetPr>
    <pageSetUpPr fitToPage="1"/>
  </sheetPr>
  <dimension ref="B2:O25"/>
  <sheetViews>
    <sheetView tabSelected="1" topLeftCell="A2" zoomScaleNormal="100" workbookViewId="0">
      <selection activeCell="B2" sqref="B2"/>
    </sheetView>
  </sheetViews>
  <sheetFormatPr defaultColWidth="8.75" defaultRowHeight="16.5" x14ac:dyDescent="0.3"/>
  <cols>
    <col min="1" max="1" width="2.75" style="1" customWidth="1"/>
    <col min="2" max="2" width="4.25" style="1" customWidth="1"/>
    <col min="3" max="3" width="17.375" style="1" customWidth="1"/>
    <col min="4" max="4" width="5" style="1" customWidth="1"/>
    <col min="5" max="5" width="61.5" style="1" customWidth="1"/>
    <col min="6" max="6" width="9.875" style="1" customWidth="1"/>
    <col min="7" max="7" width="16" style="18" customWidth="1"/>
    <col min="8" max="8" width="11.875" style="4" customWidth="1"/>
    <col min="9" max="9" width="8.625" style="4" customWidth="1"/>
    <col min="10" max="10" width="11.125" style="4" customWidth="1"/>
    <col min="11" max="11" width="7.75" style="1" customWidth="1"/>
    <col min="12" max="12" width="8.75" style="1"/>
    <col min="13" max="13" width="12" style="1" customWidth="1"/>
    <col min="14" max="14" width="8.75" style="1"/>
    <col min="15" max="15" width="26.25" style="1" customWidth="1"/>
    <col min="16" max="16384" width="8.75" style="1"/>
  </cols>
  <sheetData>
    <row r="2" spans="2:11" ht="51.4" customHeight="1" x14ac:dyDescent="0.3">
      <c r="B2" s="2" t="s">
        <v>45</v>
      </c>
      <c r="C2" s="3"/>
      <c r="D2" s="3"/>
      <c r="I2" s="3"/>
      <c r="J2" s="3"/>
    </row>
    <row r="3" spans="2:11" ht="22.9" customHeight="1" x14ac:dyDescent="0.3">
      <c r="B3" s="56" t="s">
        <v>6</v>
      </c>
      <c r="C3" s="57"/>
      <c r="D3" s="57"/>
      <c r="E3" s="33" t="s">
        <v>41</v>
      </c>
      <c r="F3" s="12"/>
      <c r="G3" s="19"/>
      <c r="H3" s="11"/>
    </row>
    <row r="4" spans="2:11" ht="22.9" customHeight="1" x14ac:dyDescent="0.3">
      <c r="B4" s="58" t="s">
        <v>5</v>
      </c>
      <c r="C4" s="59"/>
      <c r="D4" s="59"/>
      <c r="E4" s="34">
        <v>45556</v>
      </c>
      <c r="F4" s="12"/>
      <c r="G4" s="19"/>
      <c r="H4" s="11"/>
    </row>
    <row r="5" spans="2:11" ht="9.4" customHeight="1" x14ac:dyDescent="0.3">
      <c r="C5" s="2"/>
      <c r="D5" s="2"/>
      <c r="H5" s="3"/>
      <c r="I5" s="3"/>
      <c r="J5" s="3"/>
    </row>
    <row r="6" spans="2:11" ht="23.25" customHeight="1" x14ac:dyDescent="0.3">
      <c r="B6" s="49" t="s">
        <v>54</v>
      </c>
      <c r="C6" s="2"/>
      <c r="D6" s="2"/>
      <c r="H6" s="3"/>
      <c r="I6" s="3"/>
      <c r="J6" s="3"/>
    </row>
    <row r="7" spans="2:11" ht="22.5" customHeight="1" x14ac:dyDescent="0.3">
      <c r="B7" s="60" t="s">
        <v>4</v>
      </c>
      <c r="C7" s="61"/>
      <c r="D7" s="62"/>
      <c r="E7" s="17" t="s">
        <v>0</v>
      </c>
      <c r="F7" s="9" t="s">
        <v>18</v>
      </c>
      <c r="G7" s="9" t="s">
        <v>1</v>
      </c>
      <c r="H7" s="10" t="s">
        <v>44</v>
      </c>
      <c r="I7" s="10" t="s">
        <v>3</v>
      </c>
      <c r="J7" s="10" t="s">
        <v>46</v>
      </c>
      <c r="K7" s="9" t="s">
        <v>2</v>
      </c>
    </row>
    <row r="8" spans="2:11" ht="19.899999999999999" customHeight="1" x14ac:dyDescent="0.3">
      <c r="B8" s="50">
        <v>1</v>
      </c>
      <c r="C8" s="50" t="s">
        <v>28</v>
      </c>
      <c r="D8" s="35">
        <v>1</v>
      </c>
      <c r="E8" s="8" t="s">
        <v>27</v>
      </c>
      <c r="F8" s="32"/>
      <c r="G8" s="16" t="s">
        <v>31</v>
      </c>
      <c r="H8" s="5">
        <v>45558</v>
      </c>
      <c r="I8" s="7">
        <v>3</v>
      </c>
      <c r="J8" s="42">
        <f>H8+I8-1</f>
        <v>45560</v>
      </c>
      <c r="K8" s="6" t="s">
        <v>43</v>
      </c>
    </row>
    <row r="9" spans="2:11" ht="19.899999999999999" customHeight="1" x14ac:dyDescent="0.3">
      <c r="B9" s="50"/>
      <c r="C9" s="50"/>
      <c r="D9" s="35">
        <v>2</v>
      </c>
      <c r="E9" s="8" t="s">
        <v>7</v>
      </c>
      <c r="F9" s="7"/>
      <c r="G9" s="16" t="s">
        <v>31</v>
      </c>
      <c r="H9" s="5">
        <v>45558</v>
      </c>
      <c r="I9" s="7">
        <v>1</v>
      </c>
      <c r="J9" s="5">
        <f t="shared" ref="J9:J23" si="0">H9+I9-1</f>
        <v>45558</v>
      </c>
      <c r="K9" s="6"/>
    </row>
    <row r="10" spans="2:11" ht="19.899999999999999" customHeight="1" x14ac:dyDescent="0.3">
      <c r="B10" s="50"/>
      <c r="C10" s="50"/>
      <c r="D10" s="35">
        <v>3</v>
      </c>
      <c r="E10" s="8" t="s">
        <v>10</v>
      </c>
      <c r="F10" s="7"/>
      <c r="G10" s="16" t="s">
        <v>58</v>
      </c>
      <c r="H10" s="5">
        <v>45536</v>
      </c>
      <c r="I10" s="7">
        <v>1</v>
      </c>
      <c r="J10" s="5">
        <f t="shared" si="0"/>
        <v>45536</v>
      </c>
      <c r="K10" s="6"/>
    </row>
    <row r="11" spans="2:11" ht="19.899999999999999" customHeight="1" x14ac:dyDescent="0.3">
      <c r="B11" s="51"/>
      <c r="C11" s="51"/>
      <c r="D11" s="36">
        <v>4</v>
      </c>
      <c r="E11" s="22" t="s">
        <v>30</v>
      </c>
      <c r="F11" s="24" t="s">
        <v>29</v>
      </c>
      <c r="G11" s="23" t="s">
        <v>31</v>
      </c>
      <c r="H11" s="25">
        <v>45558</v>
      </c>
      <c r="I11" s="24">
        <v>1</v>
      </c>
      <c r="J11" s="25">
        <f t="shared" si="0"/>
        <v>45558</v>
      </c>
      <c r="K11" s="26"/>
    </row>
    <row r="12" spans="2:11" ht="19.899999999999999" customHeight="1" x14ac:dyDescent="0.3">
      <c r="B12" s="54">
        <v>2</v>
      </c>
      <c r="C12" s="54" t="s">
        <v>12</v>
      </c>
      <c r="D12" s="37">
        <v>5</v>
      </c>
      <c r="E12" s="20" t="s">
        <v>11</v>
      </c>
      <c r="F12" s="14"/>
      <c r="G12" s="21" t="s">
        <v>31</v>
      </c>
      <c r="H12" s="13">
        <v>45558</v>
      </c>
      <c r="I12" s="14">
        <v>1</v>
      </c>
      <c r="J12" s="13">
        <f t="shared" si="0"/>
        <v>45558</v>
      </c>
      <c r="K12" s="15"/>
    </row>
    <row r="13" spans="2:11" ht="19.899999999999999" customHeight="1" x14ac:dyDescent="0.3">
      <c r="B13" s="50"/>
      <c r="C13" s="50"/>
      <c r="D13" s="35">
        <v>6</v>
      </c>
      <c r="E13" s="8" t="s">
        <v>40</v>
      </c>
      <c r="F13" s="7"/>
      <c r="G13" s="16" t="s">
        <v>59</v>
      </c>
      <c r="H13" s="5">
        <v>45552</v>
      </c>
      <c r="I13" s="7">
        <v>7</v>
      </c>
      <c r="J13" s="5">
        <f t="shared" si="0"/>
        <v>45558</v>
      </c>
      <c r="K13" s="6"/>
    </row>
    <row r="14" spans="2:11" ht="19.899999999999999" customHeight="1" x14ac:dyDescent="0.3">
      <c r="B14" s="51"/>
      <c r="C14" s="51"/>
      <c r="D14" s="36">
        <v>7</v>
      </c>
      <c r="E14" s="22" t="s">
        <v>33</v>
      </c>
      <c r="F14" s="24" t="s">
        <v>29</v>
      </c>
      <c r="G14" s="23" t="s">
        <v>31</v>
      </c>
      <c r="H14" s="25">
        <v>45558</v>
      </c>
      <c r="I14" s="24">
        <v>1</v>
      </c>
      <c r="J14" s="25">
        <f t="shared" si="0"/>
        <v>45558</v>
      </c>
      <c r="K14" s="26"/>
    </row>
    <row r="15" spans="2:11" ht="19.899999999999999" customHeight="1" x14ac:dyDescent="0.3">
      <c r="B15" s="50">
        <v>3</v>
      </c>
      <c r="C15" s="50" t="s">
        <v>53</v>
      </c>
      <c r="D15" s="35">
        <v>8</v>
      </c>
      <c r="E15" s="8" t="s">
        <v>36</v>
      </c>
      <c r="F15" s="7"/>
      <c r="G15" s="52" t="s">
        <v>31</v>
      </c>
      <c r="H15" s="5" t="s">
        <v>34</v>
      </c>
      <c r="I15" s="7"/>
      <c r="J15" s="5"/>
      <c r="K15" s="6"/>
    </row>
    <row r="16" spans="2:11" ht="19.899999999999999" customHeight="1" x14ac:dyDescent="0.3">
      <c r="B16" s="50"/>
      <c r="C16" s="50"/>
      <c r="D16" s="35">
        <v>9</v>
      </c>
      <c r="E16" s="8" t="s">
        <v>48</v>
      </c>
      <c r="F16" s="7"/>
      <c r="G16" s="52"/>
      <c r="H16" s="5">
        <v>45558</v>
      </c>
      <c r="I16" s="7">
        <v>1</v>
      </c>
      <c r="J16" s="5">
        <f t="shared" si="0"/>
        <v>45558</v>
      </c>
      <c r="K16" s="6"/>
    </row>
    <row r="17" spans="2:15" ht="19.899999999999999" customHeight="1" x14ac:dyDescent="0.3">
      <c r="B17" s="50"/>
      <c r="C17" s="50"/>
      <c r="D17" s="35">
        <v>10</v>
      </c>
      <c r="E17" s="8" t="s">
        <v>22</v>
      </c>
      <c r="F17" s="7"/>
      <c r="G17" s="52"/>
      <c r="H17" s="5">
        <f>자사주취득결의주총</f>
        <v>45558</v>
      </c>
      <c r="I17" s="7">
        <v>15</v>
      </c>
      <c r="J17" s="5">
        <f>H17+I17</f>
        <v>45573</v>
      </c>
      <c r="K17" s="6"/>
      <c r="O17" s="39"/>
    </row>
    <row r="18" spans="2:15" x14ac:dyDescent="0.3">
      <c r="B18" s="50"/>
      <c r="C18" s="50"/>
      <c r="D18" s="35">
        <v>11</v>
      </c>
      <c r="E18" s="8" t="s">
        <v>14</v>
      </c>
      <c r="F18" s="7"/>
      <c r="G18" s="52"/>
      <c r="H18" s="5">
        <f>J17</f>
        <v>45573</v>
      </c>
      <c r="I18" s="7">
        <v>21</v>
      </c>
      <c r="J18" s="5">
        <f>H18+I18</f>
        <v>45594</v>
      </c>
      <c r="K18" s="6"/>
    </row>
    <row r="19" spans="2:15" ht="19.899999999999999" customHeight="1" x14ac:dyDescent="0.3">
      <c r="B19" s="50"/>
      <c r="C19" s="50"/>
      <c r="D19" s="35">
        <v>12</v>
      </c>
      <c r="E19" s="8" t="s">
        <v>15</v>
      </c>
      <c r="F19" s="7"/>
      <c r="G19" s="52"/>
      <c r="H19" s="5">
        <f>J18</f>
        <v>45594</v>
      </c>
      <c r="I19" s="7">
        <v>1</v>
      </c>
      <c r="J19" s="5">
        <f t="shared" si="0"/>
        <v>45594</v>
      </c>
      <c r="K19" s="6"/>
    </row>
    <row r="20" spans="2:15" ht="19.899999999999999" customHeight="1" x14ac:dyDescent="0.3">
      <c r="B20" s="50"/>
      <c r="C20" s="50"/>
      <c r="D20" s="35">
        <v>13</v>
      </c>
      <c r="E20" s="8" t="s">
        <v>16</v>
      </c>
      <c r="F20" s="7"/>
      <c r="G20" s="52"/>
      <c r="H20" s="5">
        <f>H19+1</f>
        <v>45595</v>
      </c>
      <c r="I20" s="7">
        <v>1</v>
      </c>
      <c r="J20" s="5">
        <f t="shared" si="0"/>
        <v>45595</v>
      </c>
      <c r="K20" s="6"/>
    </row>
    <row r="21" spans="2:15" ht="19.899999999999999" customHeight="1" x14ac:dyDescent="0.3">
      <c r="B21" s="51"/>
      <c r="C21" s="51"/>
      <c r="D21" s="36">
        <v>14</v>
      </c>
      <c r="E21" s="22" t="s">
        <v>25</v>
      </c>
      <c r="F21" s="24"/>
      <c r="G21" s="53"/>
      <c r="H21" s="25">
        <f>H20</f>
        <v>45595</v>
      </c>
      <c r="I21" s="24">
        <v>30</v>
      </c>
      <c r="J21" s="25">
        <f>H21+I21</f>
        <v>45625</v>
      </c>
      <c r="K21" s="26"/>
    </row>
    <row r="22" spans="2:15" ht="19.899999999999999" customHeight="1" x14ac:dyDescent="0.3">
      <c r="B22" s="54">
        <v>4</v>
      </c>
      <c r="C22" s="54" t="s">
        <v>17</v>
      </c>
      <c r="D22" s="37">
        <v>15</v>
      </c>
      <c r="E22" s="8" t="s">
        <v>36</v>
      </c>
      <c r="F22" s="14"/>
      <c r="G22" s="55" t="s">
        <v>59</v>
      </c>
      <c r="H22" s="13" t="s">
        <v>34</v>
      </c>
      <c r="I22" s="14"/>
      <c r="J22" s="13"/>
      <c r="K22" s="15"/>
    </row>
    <row r="23" spans="2:15" ht="19.899999999999999" customHeight="1" x14ac:dyDescent="0.3">
      <c r="B23" s="51"/>
      <c r="C23" s="51"/>
      <c r="D23" s="36">
        <v>16</v>
      </c>
      <c r="E23" s="22" t="s">
        <v>56</v>
      </c>
      <c r="F23" s="24"/>
      <c r="G23" s="53"/>
      <c r="H23" s="25">
        <f>H20+2</f>
        <v>45597</v>
      </c>
      <c r="I23" s="24">
        <v>1</v>
      </c>
      <c r="J23" s="25">
        <f t="shared" si="0"/>
        <v>45597</v>
      </c>
      <c r="K23" s="26"/>
    </row>
    <row r="24" spans="2:15" ht="19.899999999999999" customHeight="1" x14ac:dyDescent="0.3">
      <c r="B24" s="40">
        <v>5</v>
      </c>
      <c r="C24" s="40" t="s">
        <v>9</v>
      </c>
      <c r="D24" s="38">
        <v>17</v>
      </c>
      <c r="E24" s="27" t="s">
        <v>24</v>
      </c>
      <c r="F24" s="28"/>
      <c r="G24" s="29" t="s">
        <v>32</v>
      </c>
      <c r="H24" s="30">
        <f>H23</f>
        <v>45597</v>
      </c>
      <c r="I24" s="28">
        <v>14</v>
      </c>
      <c r="J24" s="30">
        <f>H24+I24</f>
        <v>45611</v>
      </c>
      <c r="K24" s="31"/>
    </row>
    <row r="25" spans="2:15" ht="19.899999999999999" customHeight="1" x14ac:dyDescent="0.3">
      <c r="B25" s="41">
        <v>6</v>
      </c>
      <c r="C25" s="41" t="s">
        <v>26</v>
      </c>
      <c r="D25" s="37">
        <v>18</v>
      </c>
      <c r="E25" s="20" t="s">
        <v>39</v>
      </c>
      <c r="F25" s="14"/>
      <c r="G25" s="21" t="s">
        <v>60</v>
      </c>
      <c r="H25" s="13" t="s">
        <v>35</v>
      </c>
      <c r="I25" s="14"/>
      <c r="J25" s="13"/>
      <c r="K25" s="15"/>
    </row>
  </sheetData>
  <mergeCells count="13">
    <mergeCell ref="B12:B14"/>
    <mergeCell ref="C12:C14"/>
    <mergeCell ref="B3:D3"/>
    <mergeCell ref="B4:D4"/>
    <mergeCell ref="B7:D7"/>
    <mergeCell ref="B8:B11"/>
    <mergeCell ref="C8:C11"/>
    <mergeCell ref="B15:B21"/>
    <mergeCell ref="C15:C21"/>
    <mergeCell ref="G15:G21"/>
    <mergeCell ref="B22:B23"/>
    <mergeCell ref="C22:C23"/>
    <mergeCell ref="G22:G23"/>
  </mergeCells>
  <phoneticPr fontId="2" type="noConversion"/>
  <conditionalFormatting sqref="J8">
    <cfRule type="cellIs" dxfId="2" priority="1" operator="equal">
      <formula>0</formula>
    </cfRule>
  </conditionalFormatting>
  <dataValidations count="1">
    <dataValidation type="list" allowBlank="1" showInputMessage="1" showErrorMessage="1" sqref="K8:K25" xr:uid="{F96F40B8-C32C-4A4D-8500-A2F8A33CA425}">
      <formula1>"완료, 진행"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AADA-1162-44AE-B513-6A718903B67D}">
  <sheetPr>
    <pageSetUpPr fitToPage="1"/>
  </sheetPr>
  <dimension ref="B2:K29"/>
  <sheetViews>
    <sheetView topLeftCell="A2" zoomScaleNormal="100" workbookViewId="0">
      <selection activeCell="E27" sqref="E27"/>
    </sheetView>
  </sheetViews>
  <sheetFormatPr defaultColWidth="8.75" defaultRowHeight="16.5" x14ac:dyDescent="0.3"/>
  <cols>
    <col min="1" max="1" width="2.75" style="1" customWidth="1"/>
    <col min="2" max="2" width="4.25" style="1" customWidth="1"/>
    <col min="3" max="3" width="17.375" style="1" customWidth="1"/>
    <col min="4" max="4" width="5" style="1" customWidth="1"/>
    <col min="5" max="5" width="61.5" style="1" customWidth="1"/>
    <col min="6" max="6" width="9.875" style="1" customWidth="1"/>
    <col min="7" max="7" width="13" style="18" customWidth="1"/>
    <col min="8" max="8" width="11.875" style="4" customWidth="1"/>
    <col min="9" max="9" width="8.625" style="4" customWidth="1"/>
    <col min="10" max="10" width="11.125" style="4" customWidth="1"/>
    <col min="11" max="11" width="7.75" style="1" customWidth="1"/>
    <col min="12" max="12" width="8.75" style="1"/>
    <col min="13" max="13" width="12" style="1" customWidth="1"/>
    <col min="14" max="14" width="8.75" style="1"/>
    <col min="15" max="15" width="26.25" style="1" customWidth="1"/>
    <col min="16" max="16384" width="8.75" style="1"/>
  </cols>
  <sheetData>
    <row r="2" spans="2:11" ht="51.4" customHeight="1" x14ac:dyDescent="0.3">
      <c r="B2" s="2" t="s">
        <v>45</v>
      </c>
      <c r="C2" s="3"/>
      <c r="D2" s="3"/>
      <c r="I2" s="3"/>
      <c r="J2" s="3"/>
    </row>
    <row r="3" spans="2:11" ht="22.9" customHeight="1" x14ac:dyDescent="0.3">
      <c r="B3" s="56" t="s">
        <v>6</v>
      </c>
      <c r="C3" s="57"/>
      <c r="D3" s="57"/>
      <c r="E3" s="33" t="s">
        <v>41</v>
      </c>
      <c r="F3" s="12"/>
      <c r="G3" s="19"/>
      <c r="H3" s="11"/>
    </row>
    <row r="4" spans="2:11" ht="22.9" customHeight="1" x14ac:dyDescent="0.3">
      <c r="B4" s="58" t="s">
        <v>5</v>
      </c>
      <c r="C4" s="59"/>
      <c r="D4" s="59"/>
      <c r="E4" s="34"/>
      <c r="F4" s="12"/>
      <c r="G4" s="19"/>
      <c r="H4" s="11"/>
    </row>
    <row r="5" spans="2:11" ht="9.4" customHeight="1" x14ac:dyDescent="0.3">
      <c r="C5" s="2"/>
      <c r="D5" s="2"/>
      <c r="H5" s="3"/>
      <c r="I5" s="3"/>
      <c r="J5" s="3"/>
    </row>
    <row r="6" spans="2:11" ht="23.25" customHeight="1" x14ac:dyDescent="0.3">
      <c r="B6" s="49" t="s">
        <v>51</v>
      </c>
      <c r="C6" s="2"/>
      <c r="D6" s="2"/>
      <c r="H6" s="3"/>
      <c r="I6" s="3"/>
      <c r="J6" s="3"/>
    </row>
    <row r="7" spans="2:11" ht="22.5" customHeight="1" x14ac:dyDescent="0.3">
      <c r="B7" s="60" t="s">
        <v>4</v>
      </c>
      <c r="C7" s="61"/>
      <c r="D7" s="62"/>
      <c r="E7" s="17" t="s">
        <v>0</v>
      </c>
      <c r="F7" s="9" t="s">
        <v>18</v>
      </c>
      <c r="G7" s="9" t="s">
        <v>1</v>
      </c>
      <c r="H7" s="10" t="s">
        <v>44</v>
      </c>
      <c r="I7" s="10" t="s">
        <v>3</v>
      </c>
      <c r="J7" s="10" t="s">
        <v>46</v>
      </c>
      <c r="K7" s="9" t="s">
        <v>2</v>
      </c>
    </row>
    <row r="8" spans="2:11" ht="19.899999999999999" customHeight="1" x14ac:dyDescent="0.3">
      <c r="B8" s="50">
        <v>1</v>
      </c>
      <c r="C8" s="50" t="s">
        <v>28</v>
      </c>
      <c r="D8" s="35">
        <v>1</v>
      </c>
      <c r="E8" s="8" t="s">
        <v>27</v>
      </c>
      <c r="F8" s="32"/>
      <c r="G8" s="16" t="s">
        <v>31</v>
      </c>
      <c r="H8" s="5">
        <v>45139</v>
      </c>
      <c r="I8" s="7">
        <v>3</v>
      </c>
      <c r="J8" s="42">
        <f>H8+I8-1</f>
        <v>45141</v>
      </c>
      <c r="K8" s="6" t="s">
        <v>43</v>
      </c>
    </row>
    <row r="9" spans="2:11" ht="19.899999999999999" customHeight="1" x14ac:dyDescent="0.3">
      <c r="B9" s="50"/>
      <c r="C9" s="50"/>
      <c r="D9" s="35">
        <v>2</v>
      </c>
      <c r="E9" s="8" t="s">
        <v>7</v>
      </c>
      <c r="F9" s="7"/>
      <c r="G9" s="16" t="s">
        <v>31</v>
      </c>
      <c r="H9" s="5">
        <v>45143</v>
      </c>
      <c r="I9" s="7">
        <v>1</v>
      </c>
      <c r="J9" s="5">
        <f t="shared" ref="J9:J27" si="0">H9+I9-1</f>
        <v>45143</v>
      </c>
      <c r="K9" s="6"/>
    </row>
    <row r="10" spans="2:11" ht="19.899999999999999" customHeight="1" x14ac:dyDescent="0.3">
      <c r="B10" s="50"/>
      <c r="C10" s="50"/>
      <c r="D10" s="35">
        <v>3</v>
      </c>
      <c r="E10" s="8" t="s">
        <v>10</v>
      </c>
      <c r="F10" s="7"/>
      <c r="G10" s="16" t="s">
        <v>31</v>
      </c>
      <c r="H10" s="5">
        <v>45143</v>
      </c>
      <c r="I10" s="7">
        <v>1</v>
      </c>
      <c r="J10" s="5">
        <f t="shared" si="0"/>
        <v>45143</v>
      </c>
      <c r="K10" s="6"/>
    </row>
    <row r="11" spans="2:11" ht="19.899999999999999" customHeight="1" x14ac:dyDescent="0.3">
      <c r="B11" s="51"/>
      <c r="C11" s="51"/>
      <c r="D11" s="36">
        <v>4</v>
      </c>
      <c r="E11" s="22" t="s">
        <v>30</v>
      </c>
      <c r="F11" s="24" t="s">
        <v>29</v>
      </c>
      <c r="G11" s="23" t="s">
        <v>31</v>
      </c>
      <c r="H11" s="25">
        <v>45148</v>
      </c>
      <c r="I11" s="24">
        <v>1</v>
      </c>
      <c r="J11" s="25">
        <f t="shared" si="0"/>
        <v>45148</v>
      </c>
      <c r="K11" s="26"/>
    </row>
    <row r="12" spans="2:11" ht="19.899999999999999" customHeight="1" x14ac:dyDescent="0.3">
      <c r="B12" s="54">
        <v>2</v>
      </c>
      <c r="C12" s="54" t="s">
        <v>12</v>
      </c>
      <c r="D12" s="37">
        <v>5</v>
      </c>
      <c r="E12" s="20" t="s">
        <v>11</v>
      </c>
      <c r="F12" s="14"/>
      <c r="G12" s="21" t="s">
        <v>31</v>
      </c>
      <c r="H12" s="13">
        <v>45170</v>
      </c>
      <c r="I12" s="14">
        <v>1</v>
      </c>
      <c r="J12" s="13">
        <f t="shared" si="0"/>
        <v>45170</v>
      </c>
      <c r="K12" s="15"/>
    </row>
    <row r="13" spans="2:11" ht="19.899999999999999" customHeight="1" x14ac:dyDescent="0.3">
      <c r="B13" s="50"/>
      <c r="C13" s="50"/>
      <c r="D13" s="35">
        <v>6</v>
      </c>
      <c r="E13" s="8" t="s">
        <v>40</v>
      </c>
      <c r="F13" s="7"/>
      <c r="G13" s="16" t="s">
        <v>42</v>
      </c>
      <c r="H13" s="5">
        <v>45171</v>
      </c>
      <c r="I13" s="7">
        <v>7</v>
      </c>
      <c r="J13" s="5">
        <f t="shared" si="0"/>
        <v>45177</v>
      </c>
      <c r="K13" s="6"/>
    </row>
    <row r="14" spans="2:11" ht="19.899999999999999" customHeight="1" x14ac:dyDescent="0.3">
      <c r="B14" s="51"/>
      <c r="C14" s="51"/>
      <c r="D14" s="36">
        <v>7</v>
      </c>
      <c r="E14" s="22" t="s">
        <v>33</v>
      </c>
      <c r="F14" s="24" t="s">
        <v>29</v>
      </c>
      <c r="G14" s="23" t="s">
        <v>31</v>
      </c>
      <c r="H14" s="25">
        <v>45179</v>
      </c>
      <c r="I14" s="24">
        <v>1</v>
      </c>
      <c r="J14" s="25">
        <f t="shared" si="0"/>
        <v>45179</v>
      </c>
      <c r="K14" s="26"/>
    </row>
    <row r="15" spans="2:11" ht="19.899999999999999" customHeight="1" x14ac:dyDescent="0.3">
      <c r="B15" s="54">
        <v>3</v>
      </c>
      <c r="C15" s="54" t="s">
        <v>8</v>
      </c>
      <c r="D15" s="37">
        <v>8</v>
      </c>
      <c r="E15" s="20" t="s">
        <v>37</v>
      </c>
      <c r="F15" s="14"/>
      <c r="G15" s="55" t="s">
        <v>42</v>
      </c>
      <c r="H15" s="13" t="s">
        <v>34</v>
      </c>
      <c r="I15" s="14"/>
      <c r="J15" s="13"/>
      <c r="K15" s="15"/>
    </row>
    <row r="16" spans="2:11" ht="19.899999999999999" customHeight="1" x14ac:dyDescent="0.3">
      <c r="B16" s="50"/>
      <c r="C16" s="50"/>
      <c r="D16" s="35">
        <v>9</v>
      </c>
      <c r="E16" s="8" t="s">
        <v>20</v>
      </c>
      <c r="F16" s="7"/>
      <c r="G16" s="52"/>
      <c r="H16" s="5">
        <v>45183</v>
      </c>
      <c r="I16" s="7">
        <v>1</v>
      </c>
      <c r="J16" s="5">
        <f t="shared" si="0"/>
        <v>45183</v>
      </c>
      <c r="K16" s="6"/>
    </row>
    <row r="17" spans="2:11" ht="19.899999999999999" customHeight="1" x14ac:dyDescent="0.3">
      <c r="B17" s="50"/>
      <c r="C17" s="50"/>
      <c r="D17" s="35">
        <v>10</v>
      </c>
      <c r="E17" s="8" t="s">
        <v>36</v>
      </c>
      <c r="F17" s="7"/>
      <c r="G17" s="52"/>
      <c r="H17" s="5" t="s">
        <v>34</v>
      </c>
      <c r="I17" s="7"/>
      <c r="J17" s="5"/>
      <c r="K17" s="6"/>
    </row>
    <row r="18" spans="2:11" ht="19.899999999999999" customHeight="1" x14ac:dyDescent="0.3">
      <c r="B18" s="50"/>
      <c r="C18" s="50"/>
      <c r="D18" s="35">
        <v>11</v>
      </c>
      <c r="E18" s="8" t="s">
        <v>21</v>
      </c>
      <c r="F18" s="7"/>
      <c r="G18" s="52"/>
      <c r="H18" s="5">
        <v>45183</v>
      </c>
      <c r="I18" s="7">
        <v>1</v>
      </c>
      <c r="J18" s="5">
        <f t="shared" si="0"/>
        <v>45183</v>
      </c>
      <c r="K18" s="6"/>
    </row>
    <row r="19" spans="2:11" ht="19.899999999999999" customHeight="1" x14ac:dyDescent="0.3">
      <c r="B19" s="50"/>
      <c r="C19" s="50"/>
      <c r="D19" s="35">
        <v>12</v>
      </c>
      <c r="E19" s="8" t="s">
        <v>19</v>
      </c>
      <c r="F19" s="7"/>
      <c r="G19" s="52"/>
      <c r="H19" s="5" t="s">
        <v>34</v>
      </c>
      <c r="I19" s="7"/>
      <c r="J19" s="5"/>
      <c r="K19" s="6"/>
    </row>
    <row r="20" spans="2:11" ht="19.899999999999999" customHeight="1" x14ac:dyDescent="0.3">
      <c r="B20" s="50"/>
      <c r="C20" s="50"/>
      <c r="D20" s="35">
        <v>13</v>
      </c>
      <c r="E20" s="8" t="s">
        <v>55</v>
      </c>
      <c r="F20" s="7"/>
      <c r="G20" s="52"/>
      <c r="H20" s="5">
        <v>45184</v>
      </c>
      <c r="I20" s="7">
        <v>1</v>
      </c>
      <c r="J20" s="5">
        <f t="shared" ref="J20" si="1">H20+I20-1</f>
        <v>45184</v>
      </c>
      <c r="K20" s="6"/>
    </row>
    <row r="21" spans="2:11" ht="19.899999999999999" customHeight="1" x14ac:dyDescent="0.3">
      <c r="B21" s="50"/>
      <c r="C21" s="50"/>
      <c r="D21" s="35">
        <v>14</v>
      </c>
      <c r="E21" s="8" t="s">
        <v>22</v>
      </c>
      <c r="F21" s="7"/>
      <c r="G21" s="52"/>
      <c r="H21" s="5">
        <f>자사주취득결의주총</f>
        <v>45183</v>
      </c>
      <c r="I21" s="7">
        <v>14</v>
      </c>
      <c r="J21" s="5">
        <f>H21+I21</f>
        <v>45197</v>
      </c>
      <c r="K21" s="6"/>
    </row>
    <row r="22" spans="2:11" x14ac:dyDescent="0.3">
      <c r="B22" s="50"/>
      <c r="C22" s="50"/>
      <c r="D22" s="35">
        <v>15</v>
      </c>
      <c r="E22" s="8" t="s">
        <v>14</v>
      </c>
      <c r="F22" s="7"/>
      <c r="G22" s="52"/>
      <c r="H22" s="5">
        <f>J21</f>
        <v>45197</v>
      </c>
      <c r="I22" s="7">
        <v>20</v>
      </c>
      <c r="J22" s="5">
        <f>H22+I22</f>
        <v>45217</v>
      </c>
      <c r="K22" s="6"/>
    </row>
    <row r="23" spans="2:11" ht="19.899999999999999" customHeight="1" x14ac:dyDescent="0.3">
      <c r="B23" s="50"/>
      <c r="C23" s="50"/>
      <c r="D23" s="35">
        <v>16</v>
      </c>
      <c r="E23" s="8" t="s">
        <v>15</v>
      </c>
      <c r="F23" s="7"/>
      <c r="G23" s="52"/>
      <c r="H23" s="5">
        <f>J22</f>
        <v>45217</v>
      </c>
      <c r="I23" s="7">
        <v>1</v>
      </c>
      <c r="J23" s="5">
        <f t="shared" si="0"/>
        <v>45217</v>
      </c>
      <c r="K23" s="6"/>
    </row>
    <row r="24" spans="2:11" ht="19.899999999999999" customHeight="1" x14ac:dyDescent="0.3">
      <c r="B24" s="50"/>
      <c r="C24" s="50"/>
      <c r="D24" s="35">
        <v>17</v>
      </c>
      <c r="E24" s="8" t="s">
        <v>16</v>
      </c>
      <c r="F24" s="7"/>
      <c r="G24" s="52"/>
      <c r="H24" s="5">
        <f>H23+1</f>
        <v>45218</v>
      </c>
      <c r="I24" s="7">
        <v>1</v>
      </c>
      <c r="J24" s="5">
        <f t="shared" si="0"/>
        <v>45218</v>
      </c>
      <c r="K24" s="6"/>
    </row>
    <row r="25" spans="2:11" ht="19.899999999999999" customHeight="1" x14ac:dyDescent="0.3">
      <c r="B25" s="51"/>
      <c r="C25" s="51"/>
      <c r="D25" s="36">
        <v>18</v>
      </c>
      <c r="E25" s="22" t="s">
        <v>25</v>
      </c>
      <c r="F25" s="24"/>
      <c r="G25" s="53"/>
      <c r="H25" s="25">
        <f>H24</f>
        <v>45218</v>
      </c>
      <c r="I25" s="24">
        <v>30</v>
      </c>
      <c r="J25" s="25">
        <f>H25+I25</f>
        <v>45248</v>
      </c>
      <c r="K25" s="26"/>
    </row>
    <row r="26" spans="2:11" ht="19.899999999999999" customHeight="1" x14ac:dyDescent="0.3">
      <c r="B26" s="54">
        <v>4</v>
      </c>
      <c r="C26" s="54" t="s">
        <v>17</v>
      </c>
      <c r="D26" s="37">
        <v>19</v>
      </c>
      <c r="E26" s="20" t="s">
        <v>38</v>
      </c>
      <c r="F26" s="14"/>
      <c r="G26" s="55" t="s">
        <v>42</v>
      </c>
      <c r="H26" s="13" t="s">
        <v>34</v>
      </c>
      <c r="I26" s="14"/>
      <c r="J26" s="13"/>
      <c r="K26" s="15"/>
    </row>
    <row r="27" spans="2:11" ht="19.899999999999999" customHeight="1" x14ac:dyDescent="0.3">
      <c r="B27" s="51"/>
      <c r="C27" s="51"/>
      <c r="D27" s="36">
        <v>20</v>
      </c>
      <c r="E27" s="22" t="s">
        <v>57</v>
      </c>
      <c r="F27" s="24"/>
      <c r="G27" s="53"/>
      <c r="H27" s="25">
        <f>H24+5</f>
        <v>45223</v>
      </c>
      <c r="I27" s="24">
        <v>1</v>
      </c>
      <c r="J27" s="25">
        <f t="shared" si="0"/>
        <v>45223</v>
      </c>
      <c r="K27" s="26"/>
    </row>
    <row r="28" spans="2:11" ht="19.899999999999999" customHeight="1" x14ac:dyDescent="0.3">
      <c r="B28" s="40">
        <v>5</v>
      </c>
      <c r="C28" s="40" t="s">
        <v>9</v>
      </c>
      <c r="D28" s="38">
        <v>21</v>
      </c>
      <c r="E28" s="27" t="s">
        <v>24</v>
      </c>
      <c r="F28" s="28"/>
      <c r="G28" s="29" t="s">
        <v>32</v>
      </c>
      <c r="H28" s="30">
        <f>H27</f>
        <v>45223</v>
      </c>
      <c r="I28" s="28">
        <v>14</v>
      </c>
      <c r="J28" s="30">
        <f>H28+I28</f>
        <v>45237</v>
      </c>
      <c r="K28" s="31"/>
    </row>
    <row r="29" spans="2:11" ht="19.899999999999999" customHeight="1" x14ac:dyDescent="0.3">
      <c r="B29" s="41">
        <v>6</v>
      </c>
      <c r="C29" s="41" t="s">
        <v>26</v>
      </c>
      <c r="D29" s="37">
        <v>22</v>
      </c>
      <c r="E29" s="20" t="s">
        <v>39</v>
      </c>
      <c r="F29" s="14"/>
      <c r="G29" s="21" t="s">
        <v>31</v>
      </c>
      <c r="H29" s="13" t="s">
        <v>35</v>
      </c>
      <c r="I29" s="14"/>
      <c r="J29" s="13"/>
      <c r="K29" s="15"/>
    </row>
  </sheetData>
  <mergeCells count="13">
    <mergeCell ref="B3:D3"/>
    <mergeCell ref="B4:D4"/>
    <mergeCell ref="G15:G25"/>
    <mergeCell ref="G26:G27"/>
    <mergeCell ref="B7:D7"/>
    <mergeCell ref="C8:C11"/>
    <mergeCell ref="C12:C14"/>
    <mergeCell ref="C15:C25"/>
    <mergeCell ref="C26:C27"/>
    <mergeCell ref="B8:B11"/>
    <mergeCell ref="B12:B14"/>
    <mergeCell ref="B15:B25"/>
    <mergeCell ref="B26:B27"/>
  </mergeCells>
  <phoneticPr fontId="2" type="noConversion"/>
  <conditionalFormatting sqref="J8">
    <cfRule type="cellIs" dxfId="1" priority="1" operator="equal">
      <formula>0</formula>
    </cfRule>
  </conditionalFormatting>
  <dataValidations count="1">
    <dataValidation type="list" allowBlank="1" showInputMessage="1" showErrorMessage="1" sqref="K8:K29" xr:uid="{DC293071-91F1-451D-9B09-7EF86A2ABC94}">
      <formula1>"완료, 진행"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2036-D776-4BDC-A589-E2167FBCF348}">
  <sheetPr>
    <pageSetUpPr fitToPage="1"/>
  </sheetPr>
  <dimension ref="B2:O28"/>
  <sheetViews>
    <sheetView zoomScaleNormal="100" workbookViewId="0">
      <selection activeCell="E31" sqref="E31"/>
    </sheetView>
  </sheetViews>
  <sheetFormatPr defaultColWidth="8.75" defaultRowHeight="16.5" x14ac:dyDescent="0.3"/>
  <cols>
    <col min="1" max="1" width="2.75" style="1" customWidth="1"/>
    <col min="2" max="2" width="4.25" style="1" customWidth="1"/>
    <col min="3" max="3" width="17.375" style="1" customWidth="1"/>
    <col min="4" max="4" width="5" style="1" customWidth="1"/>
    <col min="5" max="5" width="62.875" style="1" customWidth="1"/>
    <col min="6" max="6" width="9.875" style="1" customWidth="1"/>
    <col min="7" max="7" width="14.875" style="18" customWidth="1"/>
    <col min="8" max="8" width="11.875" style="4" customWidth="1"/>
    <col min="9" max="9" width="8.625" style="4" customWidth="1"/>
    <col min="10" max="10" width="11.125" style="4" customWidth="1"/>
    <col min="11" max="11" width="7.75" style="1" customWidth="1"/>
    <col min="12" max="12" width="8.75" style="1"/>
    <col min="13" max="13" width="12" style="1" customWidth="1"/>
    <col min="14" max="14" width="8.75" style="1"/>
    <col min="15" max="15" width="26.25" style="1" customWidth="1"/>
    <col min="16" max="16384" width="8.75" style="1"/>
  </cols>
  <sheetData>
    <row r="2" spans="2:11" ht="51.4" customHeight="1" x14ac:dyDescent="0.3">
      <c r="B2" s="2" t="s">
        <v>45</v>
      </c>
      <c r="C2" s="3"/>
      <c r="D2" s="3"/>
      <c r="I2" s="3"/>
      <c r="J2" s="3"/>
    </row>
    <row r="3" spans="2:11" ht="22.9" customHeight="1" x14ac:dyDescent="0.3">
      <c r="B3" s="56" t="s">
        <v>6</v>
      </c>
      <c r="C3" s="57"/>
      <c r="D3" s="57"/>
      <c r="E3" s="33" t="s">
        <v>41</v>
      </c>
      <c r="F3" s="12"/>
      <c r="G3" s="19"/>
      <c r="H3" s="11"/>
    </row>
    <row r="4" spans="2:11" ht="22.9" customHeight="1" x14ac:dyDescent="0.3">
      <c r="B4" s="58" t="s">
        <v>5</v>
      </c>
      <c r="C4" s="59"/>
      <c r="D4" s="59"/>
      <c r="E4" s="34"/>
      <c r="F4" s="12"/>
      <c r="G4" s="19"/>
      <c r="H4" s="11"/>
    </row>
    <row r="5" spans="2:11" ht="9.4" customHeight="1" x14ac:dyDescent="0.3">
      <c r="C5" s="2"/>
      <c r="D5" s="2"/>
      <c r="H5" s="3"/>
      <c r="I5" s="3"/>
      <c r="J5" s="3"/>
    </row>
    <row r="6" spans="2:11" ht="23.25" customHeight="1" x14ac:dyDescent="0.3">
      <c r="B6" s="49" t="s">
        <v>50</v>
      </c>
      <c r="C6" s="2"/>
      <c r="D6" s="2"/>
      <c r="H6" s="3"/>
      <c r="I6" s="3"/>
      <c r="J6" s="3"/>
    </row>
    <row r="7" spans="2:11" ht="22.5" customHeight="1" x14ac:dyDescent="0.3">
      <c r="B7" s="60" t="s">
        <v>4</v>
      </c>
      <c r="C7" s="61"/>
      <c r="D7" s="62"/>
      <c r="E7" s="17" t="s">
        <v>0</v>
      </c>
      <c r="F7" s="9" t="s">
        <v>18</v>
      </c>
      <c r="G7" s="9" t="s">
        <v>1</v>
      </c>
      <c r="H7" s="10" t="s">
        <v>44</v>
      </c>
      <c r="I7" s="10" t="s">
        <v>3</v>
      </c>
      <c r="J7" s="10" t="s">
        <v>46</v>
      </c>
      <c r="K7" s="9" t="s">
        <v>2</v>
      </c>
    </row>
    <row r="8" spans="2:11" ht="19.899999999999999" hidden="1" customHeight="1" x14ac:dyDescent="0.3">
      <c r="B8" s="50">
        <v>1</v>
      </c>
      <c r="C8" s="50" t="s">
        <v>28</v>
      </c>
      <c r="D8" s="35">
        <v>1</v>
      </c>
      <c r="E8" s="8" t="s">
        <v>27</v>
      </c>
      <c r="F8" s="32"/>
      <c r="G8" s="16" t="s">
        <v>31</v>
      </c>
      <c r="H8" s="5">
        <v>45139</v>
      </c>
      <c r="I8" s="7">
        <v>3</v>
      </c>
      <c r="J8" s="42">
        <f>H8+I8-1</f>
        <v>45141</v>
      </c>
      <c r="K8" s="6" t="s">
        <v>43</v>
      </c>
    </row>
    <row r="9" spans="2:11" ht="19.899999999999999" hidden="1" customHeight="1" x14ac:dyDescent="0.3">
      <c r="B9" s="50"/>
      <c r="C9" s="50"/>
      <c r="D9" s="35">
        <v>2</v>
      </c>
      <c r="E9" s="8" t="s">
        <v>7</v>
      </c>
      <c r="F9" s="7"/>
      <c r="G9" s="16" t="s">
        <v>31</v>
      </c>
      <c r="H9" s="5">
        <v>45143</v>
      </c>
      <c r="I9" s="7">
        <v>1</v>
      </c>
      <c r="J9" s="5">
        <f t="shared" ref="J9:J27" si="0">H9+I9-1</f>
        <v>45143</v>
      </c>
      <c r="K9" s="6"/>
    </row>
    <row r="10" spans="2:11" ht="19.899999999999999" hidden="1" customHeight="1" x14ac:dyDescent="0.3">
      <c r="B10" s="50"/>
      <c r="C10" s="50"/>
      <c r="D10" s="35">
        <v>3</v>
      </c>
      <c r="E10" s="8" t="s">
        <v>10</v>
      </c>
      <c r="F10" s="7"/>
      <c r="G10" s="16" t="s">
        <v>31</v>
      </c>
      <c r="H10" s="5">
        <v>45143</v>
      </c>
      <c r="I10" s="7">
        <v>1</v>
      </c>
      <c r="J10" s="5">
        <f t="shared" si="0"/>
        <v>45143</v>
      </c>
      <c r="K10" s="6"/>
    </row>
    <row r="11" spans="2:11" ht="19.899999999999999" hidden="1" customHeight="1" x14ac:dyDescent="0.3">
      <c r="B11" s="63"/>
      <c r="C11" s="63"/>
      <c r="D11" s="43">
        <v>4</v>
      </c>
      <c r="E11" s="44" t="s">
        <v>30</v>
      </c>
      <c r="F11" s="45" t="s">
        <v>29</v>
      </c>
      <c r="G11" s="46" t="s">
        <v>31</v>
      </c>
      <c r="H11" s="47">
        <v>45148</v>
      </c>
      <c r="I11" s="45">
        <v>1</v>
      </c>
      <c r="J11" s="47">
        <f t="shared" si="0"/>
        <v>45148</v>
      </c>
      <c r="K11" s="48"/>
    </row>
    <row r="12" spans="2:11" ht="19.899999999999999" customHeight="1" x14ac:dyDescent="0.3">
      <c r="B12" s="50">
        <v>1</v>
      </c>
      <c r="C12" s="50" t="s">
        <v>12</v>
      </c>
      <c r="D12" s="37">
        <v>1</v>
      </c>
      <c r="E12" s="20" t="s">
        <v>11</v>
      </c>
      <c r="F12" s="14"/>
      <c r="G12" s="21" t="s">
        <v>31</v>
      </c>
      <c r="H12" s="13">
        <v>45425</v>
      </c>
      <c r="I12" s="14">
        <v>1</v>
      </c>
      <c r="J12" s="13">
        <f t="shared" si="0"/>
        <v>45425</v>
      </c>
      <c r="K12" s="15"/>
    </row>
    <row r="13" spans="2:11" ht="19.899999999999999" customHeight="1" x14ac:dyDescent="0.3">
      <c r="B13" s="50"/>
      <c r="C13" s="50"/>
      <c r="D13" s="35">
        <v>2</v>
      </c>
      <c r="E13" s="8" t="s">
        <v>40</v>
      </c>
      <c r="F13" s="7"/>
      <c r="G13" s="16" t="s">
        <v>42</v>
      </c>
      <c r="H13" s="5">
        <v>45428</v>
      </c>
      <c r="I13" s="7">
        <v>2</v>
      </c>
      <c r="J13" s="5">
        <f t="shared" si="0"/>
        <v>45429</v>
      </c>
      <c r="K13" s="6"/>
    </row>
    <row r="14" spans="2:11" ht="19.899999999999999" customHeight="1" x14ac:dyDescent="0.3">
      <c r="B14" s="51"/>
      <c r="C14" s="51"/>
      <c r="D14" s="36">
        <v>3</v>
      </c>
      <c r="E14" s="22" t="s">
        <v>33</v>
      </c>
      <c r="F14" s="24" t="s">
        <v>29</v>
      </c>
      <c r="G14" s="23" t="s">
        <v>47</v>
      </c>
      <c r="H14" s="25">
        <v>45429</v>
      </c>
      <c r="I14" s="24">
        <v>1</v>
      </c>
      <c r="J14" s="25">
        <f t="shared" si="0"/>
        <v>45429</v>
      </c>
      <c r="K14" s="26"/>
    </row>
    <row r="15" spans="2:11" ht="19.899999999999999" hidden="1" customHeight="1" x14ac:dyDescent="0.3">
      <c r="B15" s="54">
        <v>3</v>
      </c>
      <c r="C15" s="54" t="s">
        <v>8</v>
      </c>
      <c r="D15" s="37">
        <v>8</v>
      </c>
      <c r="E15" s="20" t="s">
        <v>37</v>
      </c>
      <c r="F15" s="14"/>
      <c r="G15" s="55" t="s">
        <v>42</v>
      </c>
      <c r="H15" s="13" t="s">
        <v>34</v>
      </c>
      <c r="I15" s="14"/>
      <c r="J15" s="13"/>
      <c r="K15" s="15"/>
    </row>
    <row r="16" spans="2:11" ht="19.899999999999999" hidden="1" customHeight="1" x14ac:dyDescent="0.3">
      <c r="B16" s="50"/>
      <c r="C16" s="50"/>
      <c r="D16" s="35">
        <v>9</v>
      </c>
      <c r="E16" s="8" t="s">
        <v>20</v>
      </c>
      <c r="F16" s="7"/>
      <c r="G16" s="52"/>
      <c r="H16" s="5">
        <v>45183</v>
      </c>
      <c r="I16" s="7">
        <v>1</v>
      </c>
      <c r="J16" s="5">
        <f t="shared" si="0"/>
        <v>45183</v>
      </c>
      <c r="K16" s="6"/>
    </row>
    <row r="17" spans="2:15" ht="19.899999999999999" customHeight="1" x14ac:dyDescent="0.3">
      <c r="B17" s="50"/>
      <c r="C17" s="50"/>
      <c r="D17" s="35">
        <v>4</v>
      </c>
      <c r="E17" s="8" t="s">
        <v>36</v>
      </c>
      <c r="F17" s="7"/>
      <c r="G17" s="52"/>
      <c r="H17" s="5" t="s">
        <v>34</v>
      </c>
      <c r="I17" s="7"/>
      <c r="J17" s="5"/>
      <c r="K17" s="6"/>
    </row>
    <row r="18" spans="2:15" ht="19.899999999999999" customHeight="1" x14ac:dyDescent="0.3">
      <c r="B18" s="50"/>
      <c r="C18" s="50"/>
      <c r="D18" s="35">
        <v>5</v>
      </c>
      <c r="E18" s="8" t="s">
        <v>48</v>
      </c>
      <c r="F18" s="7"/>
      <c r="G18" s="52"/>
      <c r="H18" s="5">
        <f>H13</f>
        <v>45428</v>
      </c>
      <c r="I18" s="7">
        <v>1</v>
      </c>
      <c r="J18" s="5"/>
      <c r="K18" s="6"/>
    </row>
    <row r="19" spans="2:15" ht="19.899999999999999" hidden="1" customHeight="1" x14ac:dyDescent="0.3">
      <c r="B19" s="50"/>
      <c r="C19" s="50"/>
      <c r="D19" s="35">
        <v>6</v>
      </c>
      <c r="E19" s="8" t="s">
        <v>19</v>
      </c>
      <c r="F19" s="7"/>
      <c r="G19" s="52"/>
      <c r="H19" s="5"/>
      <c r="I19" s="7"/>
      <c r="J19" s="5"/>
      <c r="K19" s="6"/>
    </row>
    <row r="20" spans="2:15" ht="19.899999999999999" hidden="1" customHeight="1" x14ac:dyDescent="0.3">
      <c r="B20" s="50"/>
      <c r="C20" s="50"/>
      <c r="D20" s="35">
        <v>7</v>
      </c>
      <c r="E20" s="8" t="s">
        <v>13</v>
      </c>
      <c r="F20" s="7"/>
      <c r="G20" s="52"/>
      <c r="H20" s="5"/>
      <c r="I20" s="7">
        <v>1</v>
      </c>
      <c r="J20" s="5"/>
      <c r="K20" s="6"/>
      <c r="O20" s="39"/>
    </row>
    <row r="21" spans="2:15" ht="19.899999999999999" customHeight="1" x14ac:dyDescent="0.3">
      <c r="B21" s="50"/>
      <c r="C21" s="50"/>
      <c r="D21" s="35">
        <v>6</v>
      </c>
      <c r="E21" s="8" t="s">
        <v>22</v>
      </c>
      <c r="F21" s="7"/>
      <c r="G21" s="52"/>
      <c r="H21" s="5">
        <f>H13</f>
        <v>45428</v>
      </c>
      <c r="I21" s="7">
        <v>14</v>
      </c>
      <c r="J21" s="5">
        <f>H21+I21</f>
        <v>45442</v>
      </c>
      <c r="K21" s="6"/>
      <c r="O21" s="39"/>
    </row>
    <row r="22" spans="2:15" x14ac:dyDescent="0.3">
      <c r="B22" s="50"/>
      <c r="C22" s="50"/>
      <c r="D22" s="35">
        <v>7</v>
      </c>
      <c r="E22" s="8" t="s">
        <v>14</v>
      </c>
      <c r="F22" s="7"/>
      <c r="G22" s="52"/>
      <c r="H22" s="5">
        <f>J21</f>
        <v>45442</v>
      </c>
      <c r="I22" s="7">
        <v>20</v>
      </c>
      <c r="J22" s="5">
        <f>H22+I22</f>
        <v>45462</v>
      </c>
      <c r="K22" s="6"/>
    </row>
    <row r="23" spans="2:15" ht="19.899999999999999" customHeight="1" x14ac:dyDescent="0.3">
      <c r="B23" s="50"/>
      <c r="C23" s="50"/>
      <c r="D23" s="35">
        <v>8</v>
      </c>
      <c r="E23" s="8" t="s">
        <v>15</v>
      </c>
      <c r="F23" s="7"/>
      <c r="G23" s="52"/>
      <c r="H23" s="5">
        <f>J22</f>
        <v>45462</v>
      </c>
      <c r="I23" s="7">
        <v>1</v>
      </c>
      <c r="J23" s="5"/>
      <c r="K23" s="6"/>
    </row>
    <row r="24" spans="2:15" ht="19.899999999999999" customHeight="1" x14ac:dyDescent="0.3">
      <c r="B24" s="50"/>
      <c r="C24" s="50"/>
      <c r="D24" s="35">
        <v>9</v>
      </c>
      <c r="E24" s="8" t="s">
        <v>16</v>
      </c>
      <c r="F24" s="7"/>
      <c r="G24" s="52"/>
      <c r="H24" s="5">
        <f>H23+1</f>
        <v>45463</v>
      </c>
      <c r="I24" s="7">
        <v>1</v>
      </c>
      <c r="J24" s="5"/>
      <c r="K24" s="6"/>
    </row>
    <row r="25" spans="2:15" ht="19.899999999999999" customHeight="1" x14ac:dyDescent="0.3">
      <c r="B25" s="51"/>
      <c r="C25" s="51"/>
      <c r="D25" s="36">
        <v>10</v>
      </c>
      <c r="E25" s="22" t="s">
        <v>25</v>
      </c>
      <c r="F25" s="24"/>
      <c r="G25" s="53"/>
      <c r="H25" s="25">
        <f>H24</f>
        <v>45463</v>
      </c>
      <c r="I25" s="24">
        <v>30</v>
      </c>
      <c r="J25" s="25">
        <f>H25+I25</f>
        <v>45493</v>
      </c>
      <c r="K25" s="26"/>
    </row>
    <row r="26" spans="2:15" ht="19.899999999999999" customHeight="1" x14ac:dyDescent="0.3">
      <c r="B26" s="54">
        <v>4</v>
      </c>
      <c r="C26" s="54" t="s">
        <v>17</v>
      </c>
      <c r="D26" s="37">
        <v>11</v>
      </c>
      <c r="E26" s="8" t="s">
        <v>36</v>
      </c>
      <c r="F26" s="14"/>
      <c r="G26" s="55" t="s">
        <v>42</v>
      </c>
      <c r="H26" s="13" t="s">
        <v>34</v>
      </c>
      <c r="I26" s="14"/>
      <c r="J26" s="13"/>
      <c r="K26" s="15"/>
    </row>
    <row r="27" spans="2:15" ht="19.899999999999999" customHeight="1" x14ac:dyDescent="0.3">
      <c r="B27" s="51"/>
      <c r="C27" s="51"/>
      <c r="D27" s="36">
        <v>12</v>
      </c>
      <c r="E27" s="22" t="s">
        <v>49</v>
      </c>
      <c r="F27" s="24"/>
      <c r="G27" s="53"/>
      <c r="H27" s="25">
        <f>H24+1</f>
        <v>45464</v>
      </c>
      <c r="I27" s="24">
        <v>1</v>
      </c>
      <c r="J27" s="25">
        <f t="shared" si="0"/>
        <v>45464</v>
      </c>
      <c r="K27" s="26"/>
    </row>
    <row r="28" spans="2:15" ht="19.899999999999999" customHeight="1" x14ac:dyDescent="0.3">
      <c r="B28" s="40">
        <v>5</v>
      </c>
      <c r="C28" s="40" t="s">
        <v>9</v>
      </c>
      <c r="D28" s="38">
        <v>13</v>
      </c>
      <c r="E28" s="27" t="s">
        <v>24</v>
      </c>
      <c r="F28" s="28"/>
      <c r="G28" s="29" t="s">
        <v>32</v>
      </c>
      <c r="H28" s="30">
        <f>H27</f>
        <v>45464</v>
      </c>
      <c r="I28" s="28">
        <v>14</v>
      </c>
      <c r="J28" s="30">
        <f>H28+I28</f>
        <v>45478</v>
      </c>
      <c r="K28" s="31"/>
    </row>
  </sheetData>
  <mergeCells count="13">
    <mergeCell ref="B15:B25"/>
    <mergeCell ref="C15:C25"/>
    <mergeCell ref="G15:G25"/>
    <mergeCell ref="B26:B27"/>
    <mergeCell ref="C26:C27"/>
    <mergeCell ref="G26:G27"/>
    <mergeCell ref="B12:B14"/>
    <mergeCell ref="C12:C14"/>
    <mergeCell ref="B3:D3"/>
    <mergeCell ref="B4:D4"/>
    <mergeCell ref="B7:D7"/>
    <mergeCell ref="B8:B11"/>
    <mergeCell ref="C8:C11"/>
  </mergeCells>
  <phoneticPr fontId="2" type="noConversion"/>
  <conditionalFormatting sqref="J8">
    <cfRule type="cellIs" dxfId="0" priority="1" operator="equal">
      <formula>0</formula>
    </cfRule>
  </conditionalFormatting>
  <dataValidations count="1">
    <dataValidation type="list" allowBlank="1" showInputMessage="1" showErrorMessage="1" sqref="K8:K28" xr:uid="{71C93731-0151-4057-BF7C-B384CC91FC59}">
      <formula1>"완료, 진행"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196D-A6C9-444F-A037-769D5E876E7C}">
  <sheetPr>
    <pageSetUpPr fitToPage="1"/>
  </sheetPr>
  <dimension ref="B2:O24"/>
  <sheetViews>
    <sheetView zoomScaleNormal="100" workbookViewId="0">
      <selection activeCell="E24" sqref="E24"/>
    </sheetView>
  </sheetViews>
  <sheetFormatPr defaultColWidth="8.75" defaultRowHeight="16.5" x14ac:dyDescent="0.3"/>
  <cols>
    <col min="1" max="1" width="2.75" style="1" customWidth="1"/>
    <col min="2" max="2" width="4.25" style="1" customWidth="1"/>
    <col min="3" max="3" width="17.375" style="1" customWidth="1"/>
    <col min="4" max="4" width="5" style="1" customWidth="1"/>
    <col min="5" max="5" width="62.875" style="1" customWidth="1"/>
    <col min="6" max="6" width="9.875" style="1" customWidth="1"/>
    <col min="7" max="7" width="14.875" style="18" customWidth="1"/>
    <col min="8" max="8" width="11.875" style="4" customWidth="1"/>
    <col min="9" max="9" width="8.625" style="4" customWidth="1"/>
    <col min="10" max="10" width="11.125" style="4" customWidth="1"/>
    <col min="11" max="11" width="7.75" style="1" customWidth="1"/>
    <col min="12" max="12" width="8.75" style="1"/>
    <col min="13" max="13" width="12" style="1" customWidth="1"/>
    <col min="14" max="14" width="8.75" style="1"/>
    <col min="15" max="15" width="26.25" style="1" customWidth="1"/>
    <col min="16" max="16384" width="8.75" style="1"/>
  </cols>
  <sheetData>
    <row r="2" spans="2:15" ht="51.4" customHeight="1" x14ac:dyDescent="0.3">
      <c r="B2" s="2" t="s">
        <v>45</v>
      </c>
      <c r="C2" s="3"/>
      <c r="D2" s="3"/>
      <c r="I2" s="3"/>
      <c r="J2" s="3"/>
    </row>
    <row r="3" spans="2:15" ht="22.9" customHeight="1" x14ac:dyDescent="0.3">
      <c r="B3" s="56" t="s">
        <v>6</v>
      </c>
      <c r="C3" s="57"/>
      <c r="D3" s="57"/>
      <c r="E3" s="33" t="s">
        <v>41</v>
      </c>
      <c r="F3" s="12"/>
      <c r="G3" s="19"/>
      <c r="H3" s="11"/>
    </row>
    <row r="4" spans="2:15" ht="22.9" customHeight="1" x14ac:dyDescent="0.3">
      <c r="B4" s="58" t="s">
        <v>5</v>
      </c>
      <c r="C4" s="59"/>
      <c r="D4" s="59"/>
      <c r="E4" s="34"/>
      <c r="F4" s="12"/>
      <c r="G4" s="19"/>
      <c r="H4" s="11"/>
    </row>
    <row r="5" spans="2:15" ht="9.4" customHeight="1" x14ac:dyDescent="0.3">
      <c r="C5" s="2"/>
      <c r="D5" s="2"/>
      <c r="H5" s="3"/>
      <c r="I5" s="3"/>
      <c r="J5" s="3"/>
    </row>
    <row r="6" spans="2:15" ht="23.25" customHeight="1" x14ac:dyDescent="0.3">
      <c r="B6" s="49" t="s">
        <v>52</v>
      </c>
      <c r="C6" s="2"/>
      <c r="D6" s="2"/>
      <c r="H6" s="3"/>
      <c r="I6" s="3"/>
      <c r="J6" s="3"/>
    </row>
    <row r="7" spans="2:15" ht="22.5" customHeight="1" x14ac:dyDescent="0.3">
      <c r="B7" s="60" t="s">
        <v>4</v>
      </c>
      <c r="C7" s="61"/>
      <c r="D7" s="62"/>
      <c r="E7" s="17" t="s">
        <v>0</v>
      </c>
      <c r="F7" s="9" t="s">
        <v>18</v>
      </c>
      <c r="G7" s="9" t="s">
        <v>1</v>
      </c>
      <c r="H7" s="10" t="s">
        <v>44</v>
      </c>
      <c r="I7" s="10" t="s">
        <v>3</v>
      </c>
      <c r="J7" s="10" t="s">
        <v>46</v>
      </c>
      <c r="K7" s="9" t="s">
        <v>2</v>
      </c>
    </row>
    <row r="8" spans="2:15" ht="19.899999999999999" customHeight="1" x14ac:dyDescent="0.3">
      <c r="B8" s="50">
        <v>1</v>
      </c>
      <c r="C8" s="50" t="s">
        <v>12</v>
      </c>
      <c r="D8" s="37">
        <v>1</v>
      </c>
      <c r="E8" s="20" t="s">
        <v>11</v>
      </c>
      <c r="F8" s="14"/>
      <c r="G8" s="21" t="s">
        <v>31</v>
      </c>
      <c r="H8" s="13">
        <v>45425</v>
      </c>
      <c r="I8" s="14">
        <v>1</v>
      </c>
      <c r="J8" s="13">
        <f t="shared" ref="J8:J23" si="0">H8+I8-1</f>
        <v>45425</v>
      </c>
      <c r="K8" s="15"/>
    </row>
    <row r="9" spans="2:15" ht="19.899999999999999" customHeight="1" x14ac:dyDescent="0.3">
      <c r="B9" s="50"/>
      <c r="C9" s="50"/>
      <c r="D9" s="35">
        <v>2</v>
      </c>
      <c r="E9" s="8" t="s">
        <v>40</v>
      </c>
      <c r="F9" s="7"/>
      <c r="G9" s="16" t="s">
        <v>42</v>
      </c>
      <c r="H9" s="5">
        <v>45428</v>
      </c>
      <c r="I9" s="7">
        <v>2</v>
      </c>
      <c r="J9" s="5">
        <f t="shared" si="0"/>
        <v>45429</v>
      </c>
      <c r="K9" s="6"/>
    </row>
    <row r="10" spans="2:15" ht="19.899999999999999" customHeight="1" x14ac:dyDescent="0.3">
      <c r="B10" s="51"/>
      <c r="C10" s="51"/>
      <c r="D10" s="36">
        <v>3</v>
      </c>
      <c r="E10" s="22" t="s">
        <v>33</v>
      </c>
      <c r="F10" s="24" t="s">
        <v>29</v>
      </c>
      <c r="G10" s="23" t="s">
        <v>47</v>
      </c>
      <c r="H10" s="25">
        <v>45429</v>
      </c>
      <c r="I10" s="24">
        <v>1</v>
      </c>
      <c r="J10" s="25">
        <f t="shared" si="0"/>
        <v>45429</v>
      </c>
      <c r="K10" s="26"/>
    </row>
    <row r="11" spans="2:15" ht="19.899999999999999" customHeight="1" x14ac:dyDescent="0.3">
      <c r="B11" s="54">
        <v>3</v>
      </c>
      <c r="C11" s="54" t="s">
        <v>8</v>
      </c>
      <c r="D11" s="37">
        <v>8</v>
      </c>
      <c r="E11" s="20" t="s">
        <v>37</v>
      </c>
      <c r="F11" s="14"/>
      <c r="G11" s="55" t="s">
        <v>42</v>
      </c>
      <c r="H11" s="13" t="s">
        <v>34</v>
      </c>
      <c r="I11" s="14"/>
      <c r="J11" s="13"/>
      <c r="K11" s="15"/>
    </row>
    <row r="12" spans="2:15" ht="19.899999999999999" customHeight="1" x14ac:dyDescent="0.3">
      <c r="B12" s="50"/>
      <c r="C12" s="50"/>
      <c r="D12" s="35">
        <v>9</v>
      </c>
      <c r="E12" s="8" t="s">
        <v>20</v>
      </c>
      <c r="F12" s="7"/>
      <c r="G12" s="52"/>
      <c r="H12" s="5">
        <v>45183</v>
      </c>
      <c r="I12" s="7">
        <v>1</v>
      </c>
      <c r="J12" s="5">
        <f t="shared" si="0"/>
        <v>45183</v>
      </c>
      <c r="K12" s="6"/>
    </row>
    <row r="13" spans="2:15" ht="19.899999999999999" customHeight="1" x14ac:dyDescent="0.3">
      <c r="B13" s="50"/>
      <c r="C13" s="50"/>
      <c r="D13" s="35">
        <v>4</v>
      </c>
      <c r="E13" s="8" t="s">
        <v>36</v>
      </c>
      <c r="F13" s="7"/>
      <c r="G13" s="52"/>
      <c r="H13" s="5" t="s">
        <v>34</v>
      </c>
      <c r="I13" s="7"/>
      <c r="J13" s="5"/>
      <c r="K13" s="6"/>
    </row>
    <row r="14" spans="2:15" ht="19.899999999999999" customHeight="1" x14ac:dyDescent="0.3">
      <c r="B14" s="50"/>
      <c r="C14" s="50"/>
      <c r="D14" s="35">
        <v>5</v>
      </c>
      <c r="E14" s="8" t="s">
        <v>48</v>
      </c>
      <c r="F14" s="7"/>
      <c r="G14" s="52"/>
      <c r="H14" s="5">
        <f>H9</f>
        <v>45428</v>
      </c>
      <c r="I14" s="7">
        <v>1</v>
      </c>
      <c r="J14" s="5"/>
      <c r="K14" s="6"/>
    </row>
    <row r="15" spans="2:15" ht="19.899999999999999" customHeight="1" x14ac:dyDescent="0.3">
      <c r="B15" s="50"/>
      <c r="C15" s="50"/>
      <c r="D15" s="35">
        <v>6</v>
      </c>
      <c r="E15" s="8" t="s">
        <v>19</v>
      </c>
      <c r="F15" s="7"/>
      <c r="G15" s="52"/>
      <c r="H15" s="5"/>
      <c r="I15" s="7"/>
      <c r="J15" s="5"/>
      <c r="K15" s="6"/>
    </row>
    <row r="16" spans="2:15" ht="19.899999999999999" customHeight="1" x14ac:dyDescent="0.3">
      <c r="B16" s="50"/>
      <c r="C16" s="50"/>
      <c r="D16" s="35">
        <v>7</v>
      </c>
      <c r="E16" s="8" t="s">
        <v>13</v>
      </c>
      <c r="F16" s="7"/>
      <c r="G16" s="52"/>
      <c r="H16" s="5"/>
      <c r="I16" s="7">
        <v>1</v>
      </c>
      <c r="J16" s="5"/>
      <c r="K16" s="6"/>
      <c r="O16" s="39"/>
    </row>
    <row r="17" spans="2:15" ht="19.899999999999999" customHeight="1" x14ac:dyDescent="0.3">
      <c r="B17" s="50"/>
      <c r="C17" s="50"/>
      <c r="D17" s="35">
        <v>6</v>
      </c>
      <c r="E17" s="8" t="s">
        <v>22</v>
      </c>
      <c r="F17" s="7"/>
      <c r="G17" s="52"/>
      <c r="H17" s="5">
        <f>H9</f>
        <v>45428</v>
      </c>
      <c r="I17" s="7">
        <v>14</v>
      </c>
      <c r="J17" s="5">
        <f>H17+I17</f>
        <v>45442</v>
      </c>
      <c r="K17" s="6"/>
      <c r="O17" s="39"/>
    </row>
    <row r="18" spans="2:15" x14ac:dyDescent="0.3">
      <c r="B18" s="50"/>
      <c r="C18" s="50"/>
      <c r="D18" s="35">
        <v>7</v>
      </c>
      <c r="E18" s="8" t="s">
        <v>14</v>
      </c>
      <c r="F18" s="7"/>
      <c r="G18" s="52"/>
      <c r="H18" s="5">
        <f>J17</f>
        <v>45442</v>
      </c>
      <c r="I18" s="7">
        <v>20</v>
      </c>
      <c r="J18" s="5">
        <f>H18+I18</f>
        <v>45462</v>
      </c>
      <c r="K18" s="6"/>
    </row>
    <row r="19" spans="2:15" ht="19.899999999999999" customHeight="1" x14ac:dyDescent="0.3">
      <c r="B19" s="50"/>
      <c r="C19" s="50"/>
      <c r="D19" s="35">
        <v>8</v>
      </c>
      <c r="E19" s="8" t="s">
        <v>15</v>
      </c>
      <c r="F19" s="7"/>
      <c r="G19" s="52"/>
      <c r="H19" s="5">
        <f>J18</f>
        <v>45462</v>
      </c>
      <c r="I19" s="7">
        <v>1</v>
      </c>
      <c r="J19" s="5"/>
      <c r="K19" s="6"/>
    </row>
    <row r="20" spans="2:15" ht="19.899999999999999" customHeight="1" x14ac:dyDescent="0.3">
      <c r="B20" s="50"/>
      <c r="C20" s="50"/>
      <c r="D20" s="35">
        <v>9</v>
      </c>
      <c r="E20" s="8" t="s">
        <v>16</v>
      </c>
      <c r="F20" s="7"/>
      <c r="G20" s="52"/>
      <c r="H20" s="5">
        <f>H19+1</f>
        <v>45463</v>
      </c>
      <c r="I20" s="7">
        <v>1</v>
      </c>
      <c r="J20" s="5"/>
      <c r="K20" s="6"/>
    </row>
    <row r="21" spans="2:15" ht="19.899999999999999" customHeight="1" x14ac:dyDescent="0.3">
      <c r="B21" s="51"/>
      <c r="C21" s="51"/>
      <c r="D21" s="36">
        <v>10</v>
      </c>
      <c r="E21" s="22" t="s">
        <v>25</v>
      </c>
      <c r="F21" s="24"/>
      <c r="G21" s="53"/>
      <c r="H21" s="25">
        <f>H20</f>
        <v>45463</v>
      </c>
      <c r="I21" s="24">
        <v>30</v>
      </c>
      <c r="J21" s="25">
        <f>H21+I21</f>
        <v>45493</v>
      </c>
      <c r="K21" s="26"/>
    </row>
    <row r="22" spans="2:15" ht="19.899999999999999" customHeight="1" x14ac:dyDescent="0.3">
      <c r="B22" s="54">
        <v>4</v>
      </c>
      <c r="C22" s="54" t="s">
        <v>17</v>
      </c>
      <c r="D22" s="37">
        <v>11</v>
      </c>
      <c r="E22" s="20" t="s">
        <v>38</v>
      </c>
      <c r="F22" s="14"/>
      <c r="G22" s="55" t="s">
        <v>42</v>
      </c>
      <c r="H22" s="13" t="s">
        <v>34</v>
      </c>
      <c r="I22" s="14"/>
      <c r="J22" s="13"/>
      <c r="K22" s="15"/>
    </row>
    <row r="23" spans="2:15" ht="19.899999999999999" customHeight="1" x14ac:dyDescent="0.3">
      <c r="B23" s="51"/>
      <c r="C23" s="51"/>
      <c r="D23" s="36">
        <v>12</v>
      </c>
      <c r="E23" s="22" t="s">
        <v>23</v>
      </c>
      <c r="F23" s="24"/>
      <c r="G23" s="53"/>
      <c r="H23" s="25">
        <f>H20+1</f>
        <v>45464</v>
      </c>
      <c r="I23" s="24">
        <v>1</v>
      </c>
      <c r="J23" s="25">
        <f t="shared" si="0"/>
        <v>45464</v>
      </c>
      <c r="K23" s="26"/>
    </row>
    <row r="24" spans="2:15" ht="19.899999999999999" customHeight="1" x14ac:dyDescent="0.3">
      <c r="B24" s="40">
        <v>5</v>
      </c>
      <c r="C24" s="40" t="s">
        <v>9</v>
      </c>
      <c r="D24" s="38">
        <v>13</v>
      </c>
      <c r="E24" s="27" t="s">
        <v>24</v>
      </c>
      <c r="F24" s="28"/>
      <c r="G24" s="29" t="s">
        <v>32</v>
      </c>
      <c r="H24" s="30">
        <f>H23</f>
        <v>45464</v>
      </c>
      <c r="I24" s="28">
        <v>14</v>
      </c>
      <c r="J24" s="30">
        <f>H24+I24</f>
        <v>45478</v>
      </c>
      <c r="K24" s="31"/>
    </row>
  </sheetData>
  <mergeCells count="11">
    <mergeCell ref="B3:D3"/>
    <mergeCell ref="B4:D4"/>
    <mergeCell ref="B7:D7"/>
    <mergeCell ref="B8:B10"/>
    <mergeCell ref="C8:C10"/>
    <mergeCell ref="B11:B21"/>
    <mergeCell ref="C11:C21"/>
    <mergeCell ref="G11:G21"/>
    <mergeCell ref="B22:B23"/>
    <mergeCell ref="C22:C23"/>
    <mergeCell ref="G22:G23"/>
  </mergeCells>
  <phoneticPr fontId="2" type="noConversion"/>
  <dataValidations count="1">
    <dataValidation type="list" allowBlank="1" showInputMessage="1" showErrorMessage="1" sqref="K8:K24" xr:uid="{7065B31F-1C57-427B-835F-046B5D5474F8}">
      <formula1>"완료, 진행"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자기주식이익소각 실무  </vt:lpstr>
      <vt:lpstr>자기주식이익소각 실무 (이사회O)</vt:lpstr>
      <vt:lpstr>신이익소각 실무</vt:lpstr>
      <vt:lpstr>신이익소각 실무 (이사회O)</vt:lpstr>
      <vt:lpstr>'신이익소각 실무'!Print_Area</vt:lpstr>
      <vt:lpstr>'신이익소각 실무 (이사회O)'!Print_Area</vt:lpstr>
      <vt:lpstr>'자기주식이익소각 실무  '!Print_Area</vt:lpstr>
      <vt:lpstr>'자기주식이익소각 실무 (이사회O)'!Print_Area</vt:lpstr>
      <vt:lpstr>'자기주식이익소각 실무  '!자사주취득결의주총</vt:lpstr>
      <vt:lpstr>자사주취득결의주총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태오 엄</cp:lastModifiedBy>
  <cp:lastPrinted>2024-01-03T11:11:00Z</cp:lastPrinted>
  <dcterms:created xsi:type="dcterms:W3CDTF">2023-09-13T01:24:59Z</dcterms:created>
  <dcterms:modified xsi:type="dcterms:W3CDTF">2024-09-19T01:28:19Z</dcterms:modified>
</cp:coreProperties>
</file>