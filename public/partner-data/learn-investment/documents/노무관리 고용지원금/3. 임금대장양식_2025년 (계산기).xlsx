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docs.live.net/256015b203ef4bcb/런인베스트 아카데미/법인컨설팅/0. 법인컨설팅 자료/[자료] 노무서식 (2025년)/"/>
    </mc:Choice>
  </mc:AlternateContent>
  <xr:revisionPtr revIDLastSave="931" documentId="13_ncr:1_{BCDDFBE9-E2DD-4307-8D84-B1644831A7ED}" xr6:coauthVersionLast="47" xr6:coauthVersionMax="47" xr10:uidLastSave="{48F7CA8F-12D7-4641-959A-8C3CF6E9B18E}"/>
  <workbookProtection workbookAlgorithmName="SHA-512" workbookHashValue="lATmGOTgsLYPec64CcSElK/BDKMEzLzeoXGbFL7F2wYDNw94JL1ANGTyGm1FGDjoMnrYBt3ofboLj3tg4/Maug==" workbookSaltValue="fb6SNlI7V8ABMexz1K8b2Q==" workbookSpinCount="100000" lockStructure="1"/>
  <bookViews>
    <workbookView xWindow="-110" yWindow="-110" windowWidth="19420" windowHeight="10300" xr2:uid="{00000000-000D-0000-FFFF-FFFF00000000}"/>
  </bookViews>
  <sheets>
    <sheet name="정규직 월급제 포괄임금" sheetId="7" r:id="rId1"/>
    <sheet name="단시간근로자" sheetId="9" r:id="rId2"/>
    <sheet name="임금대장 양식" sheetId="13" r:id="rId3"/>
    <sheet name="임금대장수식" sheetId="12" state="hidden" r:id="rId4"/>
  </sheets>
  <definedNames>
    <definedName name="_xlnm.Print_Area" localSheetId="1">단시간근로자!$B$2:$K$8</definedName>
    <definedName name="_xlnm.Print_Area" localSheetId="2">'임금대장 양식'!$B$2:$AD$11</definedName>
    <definedName name="_xlnm.Print_Area" localSheetId="3">임금대장수식!$B$2:$U$11</definedName>
    <definedName name="_xlnm.Print_Area" localSheetId="0">'정규직 월급제 포괄임금'!$B$2:$AC$25</definedName>
    <definedName name="고정연장근로" localSheetId="3">임금대장수식!$X$2</definedName>
    <definedName name="사업장">'정규직 월급제 포괄임금'!$AF$4</definedName>
    <definedName name="최저시급">'정규직 월급제 포괄임금'!$F$16</definedName>
    <definedName name="최저월급여환산액">'정규직 월급제 포괄임금'!$E$16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13" l="1"/>
  <c r="Z14" i="13"/>
  <c r="AA14" i="13"/>
  <c r="AB14" i="13"/>
  <c r="AC14" i="13"/>
  <c r="I12" i="13"/>
  <c r="H12" i="13"/>
  <c r="G12" i="13"/>
  <c r="I10" i="13"/>
  <c r="H10" i="13"/>
  <c r="G10" i="13"/>
  <c r="I8" i="13"/>
  <c r="H8" i="13"/>
  <c r="G8" i="13"/>
  <c r="B16" i="12"/>
  <c r="C16" i="12" a="1"/>
  <c r="C16" i="12"/>
  <c r="D16" i="12"/>
  <c r="E16" i="12"/>
  <c r="F16" i="12"/>
  <c r="H16" i="12"/>
  <c r="I16" i="12"/>
  <c r="J16" i="12"/>
  <c r="K16" i="12"/>
  <c r="L16" i="12"/>
  <c r="R16" i="12"/>
  <c r="S16" i="12"/>
  <c r="T16" i="12"/>
  <c r="U16" i="12"/>
  <c r="D17" i="12"/>
  <c r="J17" i="12"/>
  <c r="K17" i="12"/>
  <c r="L17" i="12"/>
  <c r="B18" i="12"/>
  <c r="C18" i="12" a="1"/>
  <c r="C18" i="12"/>
  <c r="D18" i="12"/>
  <c r="E18" i="12"/>
  <c r="F18" i="12"/>
  <c r="H18" i="12"/>
  <c r="I18" i="12"/>
  <c r="J18" i="12"/>
  <c r="K18" i="12"/>
  <c r="L18" i="12"/>
  <c r="R18" i="12"/>
  <c r="S18" i="12"/>
  <c r="T18" i="12"/>
  <c r="U18" i="12"/>
  <c r="D19" i="12"/>
  <c r="J19" i="12"/>
  <c r="M18" i="12" s="1"/>
  <c r="G18" i="12" s="1"/>
  <c r="K19" i="12"/>
  <c r="L19" i="12"/>
  <c r="B20" i="12"/>
  <c r="C20" i="12" a="1"/>
  <c r="C20" i="12"/>
  <c r="D20" i="12"/>
  <c r="E20" i="12"/>
  <c r="F20" i="12"/>
  <c r="H20" i="12"/>
  <c r="I20" i="12"/>
  <c r="J20" i="12"/>
  <c r="K20" i="12"/>
  <c r="L20" i="12"/>
  <c r="R20" i="12"/>
  <c r="S20" i="12"/>
  <c r="T20" i="12"/>
  <c r="U20" i="12"/>
  <c r="D21" i="12"/>
  <c r="J21" i="12"/>
  <c r="K21" i="12"/>
  <c r="L21" i="12"/>
  <c r="M20" i="12" s="1"/>
  <c r="G20" i="12" s="1"/>
  <c r="B22" i="12"/>
  <c r="C22" i="12" a="1"/>
  <c r="C22" i="12"/>
  <c r="D22" i="12"/>
  <c r="E22" i="12"/>
  <c r="F22" i="12"/>
  <c r="H22" i="12"/>
  <c r="I22" i="12"/>
  <c r="J22" i="12"/>
  <c r="K22" i="12"/>
  <c r="L22" i="12"/>
  <c r="M22" i="12"/>
  <c r="G22" i="12" s="1"/>
  <c r="R22" i="12"/>
  <c r="S22" i="12"/>
  <c r="T22" i="12"/>
  <c r="U22" i="12"/>
  <c r="D23" i="12"/>
  <c r="J23" i="12"/>
  <c r="K23" i="12"/>
  <c r="L23" i="12"/>
  <c r="B24" i="12"/>
  <c r="C24" i="12" a="1"/>
  <c r="C24" i="12"/>
  <c r="D24" i="12"/>
  <c r="E24" i="12"/>
  <c r="F24" i="12"/>
  <c r="H24" i="12"/>
  <c r="I24" i="12"/>
  <c r="J24" i="12"/>
  <c r="K24" i="12"/>
  <c r="L24" i="12"/>
  <c r="R24" i="12"/>
  <c r="S24" i="12"/>
  <c r="T24" i="12"/>
  <c r="U24" i="12"/>
  <c r="D25" i="12"/>
  <c r="J25" i="12"/>
  <c r="M24" i="12" s="1"/>
  <c r="G24" i="12" s="1"/>
  <c r="K25" i="12"/>
  <c r="L25" i="12"/>
  <c r="B26" i="12"/>
  <c r="C26" i="12" a="1"/>
  <c r="C26" i="12"/>
  <c r="D26" i="12"/>
  <c r="E26" i="12"/>
  <c r="F26" i="12"/>
  <c r="G26" i="12"/>
  <c r="P26" i="12" s="1"/>
  <c r="H26" i="12"/>
  <c r="I26" i="12"/>
  <c r="J26" i="12"/>
  <c r="K26" i="12"/>
  <c r="L26" i="12"/>
  <c r="M26" i="12"/>
  <c r="N26" i="12"/>
  <c r="O26" i="12"/>
  <c r="R26" i="12"/>
  <c r="S26" i="12"/>
  <c r="T26" i="12"/>
  <c r="U26" i="12"/>
  <c r="D27" i="12"/>
  <c r="J27" i="12"/>
  <c r="K27" i="12"/>
  <c r="L27" i="12"/>
  <c r="B28" i="12"/>
  <c r="C28" i="12" a="1"/>
  <c r="C28" i="12"/>
  <c r="D28" i="12"/>
  <c r="E28" i="12"/>
  <c r="F28" i="12"/>
  <c r="H28" i="12"/>
  <c r="I28" i="12"/>
  <c r="J28" i="12"/>
  <c r="K28" i="12"/>
  <c r="L28" i="12"/>
  <c r="M28" i="12"/>
  <c r="G28" i="12" s="1"/>
  <c r="R28" i="12"/>
  <c r="S28" i="12"/>
  <c r="T28" i="12"/>
  <c r="U28" i="12"/>
  <c r="D29" i="12"/>
  <c r="J29" i="12"/>
  <c r="K29" i="12"/>
  <c r="L29" i="12"/>
  <c r="B30" i="12"/>
  <c r="C30" i="12" a="1"/>
  <c r="C30" i="12"/>
  <c r="D30" i="12"/>
  <c r="E30" i="12"/>
  <c r="F30" i="12"/>
  <c r="H30" i="12"/>
  <c r="I30" i="12"/>
  <c r="J30" i="12"/>
  <c r="K30" i="12"/>
  <c r="L30" i="12"/>
  <c r="R30" i="12"/>
  <c r="S30" i="12"/>
  <c r="T30" i="12"/>
  <c r="U30" i="12"/>
  <c r="D31" i="12"/>
  <c r="J31" i="12"/>
  <c r="K31" i="12"/>
  <c r="L31" i="12"/>
  <c r="B32" i="12"/>
  <c r="C32" i="12" a="1"/>
  <c r="C32" i="12"/>
  <c r="D32" i="12"/>
  <c r="E32" i="12"/>
  <c r="F32" i="12"/>
  <c r="H32" i="12"/>
  <c r="I32" i="12"/>
  <c r="J32" i="12"/>
  <c r="K32" i="12"/>
  <c r="L32" i="12"/>
  <c r="R32" i="12"/>
  <c r="S32" i="12"/>
  <c r="T32" i="12"/>
  <c r="U32" i="12"/>
  <c r="D33" i="12"/>
  <c r="J33" i="12"/>
  <c r="K33" i="12"/>
  <c r="L33" i="12"/>
  <c r="B34" i="12"/>
  <c r="C34" i="12" a="1"/>
  <c r="C34" i="12"/>
  <c r="D34" i="12"/>
  <c r="E34" i="12"/>
  <c r="F34" i="12"/>
  <c r="H34" i="12"/>
  <c r="I34" i="12"/>
  <c r="J34" i="12"/>
  <c r="K34" i="12"/>
  <c r="L34" i="12"/>
  <c r="R34" i="12"/>
  <c r="S34" i="12"/>
  <c r="T34" i="12"/>
  <c r="U34" i="12"/>
  <c r="D35" i="12"/>
  <c r="J35" i="12"/>
  <c r="M34" i="12" s="1"/>
  <c r="G34" i="12" s="1"/>
  <c r="K35" i="12"/>
  <c r="L35" i="12"/>
  <c r="B36" i="12"/>
  <c r="C36" i="12" a="1"/>
  <c r="C36" i="12"/>
  <c r="D36" i="12"/>
  <c r="E36" i="12"/>
  <c r="F36" i="12"/>
  <c r="H36" i="12"/>
  <c r="I36" i="12"/>
  <c r="J36" i="12"/>
  <c r="K36" i="12"/>
  <c r="L36" i="12"/>
  <c r="R36" i="12"/>
  <c r="S36" i="12"/>
  <c r="T36" i="12"/>
  <c r="U36" i="12"/>
  <c r="D37" i="12"/>
  <c r="J37" i="12"/>
  <c r="K37" i="12"/>
  <c r="L37" i="12"/>
  <c r="M36" i="12" s="1"/>
  <c r="G36" i="12" s="1"/>
  <c r="B38" i="12"/>
  <c r="C38" i="12" a="1"/>
  <c r="C38" i="12"/>
  <c r="D38" i="12"/>
  <c r="E38" i="12"/>
  <c r="F38" i="12"/>
  <c r="H38" i="12"/>
  <c r="I38" i="12"/>
  <c r="J38" i="12"/>
  <c r="K38" i="12"/>
  <c r="L38" i="12"/>
  <c r="M38" i="12"/>
  <c r="G38" i="12" s="1"/>
  <c r="R38" i="12"/>
  <c r="S38" i="12"/>
  <c r="T38" i="12"/>
  <c r="U38" i="12"/>
  <c r="D39" i="12"/>
  <c r="J39" i="12"/>
  <c r="K39" i="12"/>
  <c r="L39" i="12"/>
  <c r="B40" i="12"/>
  <c r="C40" i="12" a="1"/>
  <c r="C40" i="12"/>
  <c r="D40" i="12"/>
  <c r="E40" i="12"/>
  <c r="F40" i="12"/>
  <c r="H40" i="12"/>
  <c r="I40" i="12"/>
  <c r="J40" i="12"/>
  <c r="K40" i="12"/>
  <c r="L40" i="12"/>
  <c r="R40" i="12"/>
  <c r="S40" i="12"/>
  <c r="T40" i="12"/>
  <c r="U40" i="12"/>
  <c r="D41" i="12"/>
  <c r="J41" i="12"/>
  <c r="M40" i="12" s="1"/>
  <c r="G40" i="12" s="1"/>
  <c r="K41" i="12"/>
  <c r="L41" i="12"/>
  <c r="B42" i="12"/>
  <c r="C42" i="12" a="1"/>
  <c r="C42" i="12"/>
  <c r="D42" i="12"/>
  <c r="E42" i="12"/>
  <c r="F42" i="12"/>
  <c r="G42" i="12"/>
  <c r="P42" i="12" s="1"/>
  <c r="H42" i="12"/>
  <c r="I42" i="12"/>
  <c r="J42" i="12"/>
  <c r="K42" i="12"/>
  <c r="L42" i="12"/>
  <c r="M42" i="12"/>
  <c r="N42" i="12"/>
  <c r="O42" i="12"/>
  <c r="Q42" i="12"/>
  <c r="R42" i="12"/>
  <c r="S42" i="12"/>
  <c r="T42" i="12"/>
  <c r="U42" i="12"/>
  <c r="D43" i="12"/>
  <c r="J43" i="12"/>
  <c r="K43" i="12"/>
  <c r="L43" i="12"/>
  <c r="B44" i="12"/>
  <c r="C44" i="12" a="1"/>
  <c r="C44" i="12"/>
  <c r="D44" i="12"/>
  <c r="E44" i="12"/>
  <c r="F44" i="12"/>
  <c r="H44" i="12"/>
  <c r="I44" i="12"/>
  <c r="J44" i="12"/>
  <c r="K44" i="12"/>
  <c r="L44" i="12"/>
  <c r="M44" i="12"/>
  <c r="G44" i="12" s="1"/>
  <c r="R44" i="12"/>
  <c r="S44" i="12"/>
  <c r="T44" i="12"/>
  <c r="U44" i="12"/>
  <c r="D45" i="12"/>
  <c r="J45" i="12"/>
  <c r="K45" i="12"/>
  <c r="L45" i="12"/>
  <c r="B46" i="12"/>
  <c r="C46" i="12" a="1"/>
  <c r="C46" i="12"/>
  <c r="D46" i="12"/>
  <c r="E46" i="12"/>
  <c r="F46" i="12"/>
  <c r="H46" i="12"/>
  <c r="I46" i="12"/>
  <c r="M46" i="12" s="1"/>
  <c r="G46" i="12" s="1"/>
  <c r="Q46" i="12" s="1"/>
  <c r="J46" i="12"/>
  <c r="K46" i="12"/>
  <c r="L46" i="12"/>
  <c r="R46" i="12"/>
  <c r="S46" i="12"/>
  <c r="T46" i="12"/>
  <c r="U46" i="12"/>
  <c r="D47" i="12"/>
  <c r="J47" i="12"/>
  <c r="K47" i="12"/>
  <c r="L47" i="12"/>
  <c r="B48" i="12"/>
  <c r="C48" i="12" a="1"/>
  <c r="C48" i="12"/>
  <c r="D48" i="12"/>
  <c r="E48" i="12"/>
  <c r="F48" i="12"/>
  <c r="H48" i="12"/>
  <c r="I48" i="12"/>
  <c r="J48" i="12"/>
  <c r="K48" i="12"/>
  <c r="L48" i="12"/>
  <c r="R48" i="12"/>
  <c r="S48" i="12"/>
  <c r="T48" i="12"/>
  <c r="U48" i="12"/>
  <c r="D49" i="12"/>
  <c r="J49" i="12"/>
  <c r="K49" i="12"/>
  <c r="L49" i="12"/>
  <c r="B50" i="12"/>
  <c r="C50" i="12" a="1"/>
  <c r="C50" i="12"/>
  <c r="D50" i="12"/>
  <c r="E50" i="12"/>
  <c r="F50" i="12"/>
  <c r="H50" i="12"/>
  <c r="I50" i="12"/>
  <c r="J50" i="12"/>
  <c r="K50" i="12"/>
  <c r="L50" i="12"/>
  <c r="O50" i="12"/>
  <c r="R50" i="12"/>
  <c r="S50" i="12"/>
  <c r="T50" i="12"/>
  <c r="U50" i="12"/>
  <c r="D51" i="12"/>
  <c r="J51" i="12"/>
  <c r="M50" i="12" s="1"/>
  <c r="G50" i="12" s="1"/>
  <c r="K51" i="12"/>
  <c r="L51" i="12"/>
  <c r="B52" i="12"/>
  <c r="C52" i="12" a="1"/>
  <c r="C52" i="12"/>
  <c r="D52" i="12"/>
  <c r="E52" i="12"/>
  <c r="F52" i="12"/>
  <c r="H52" i="12"/>
  <c r="I52" i="12"/>
  <c r="J52" i="12"/>
  <c r="K52" i="12"/>
  <c r="L52" i="12"/>
  <c r="R52" i="12"/>
  <c r="S52" i="12"/>
  <c r="T52" i="12"/>
  <c r="U52" i="12"/>
  <c r="D53" i="12"/>
  <c r="J53" i="12"/>
  <c r="K53" i="12"/>
  <c r="L53" i="12"/>
  <c r="M52" i="12" s="1"/>
  <c r="G52" i="12" s="1"/>
  <c r="B54" i="12"/>
  <c r="C54" i="12" a="1"/>
  <c r="C54" i="12"/>
  <c r="D54" i="12"/>
  <c r="E54" i="12"/>
  <c r="F54" i="12"/>
  <c r="H54" i="12"/>
  <c r="I54" i="12"/>
  <c r="J54" i="12"/>
  <c r="K54" i="12"/>
  <c r="L54" i="12"/>
  <c r="M54" i="12"/>
  <c r="G54" i="12" s="1"/>
  <c r="R54" i="12"/>
  <c r="S54" i="12"/>
  <c r="T54" i="12"/>
  <c r="U54" i="12"/>
  <c r="D55" i="12"/>
  <c r="J55" i="12"/>
  <c r="K55" i="12"/>
  <c r="L55" i="12"/>
  <c r="B56" i="12"/>
  <c r="C56" i="12" a="1"/>
  <c r="C56" i="12"/>
  <c r="D56" i="12"/>
  <c r="E56" i="12"/>
  <c r="F56" i="12"/>
  <c r="H56" i="12"/>
  <c r="I56" i="12"/>
  <c r="J56" i="12"/>
  <c r="K56" i="12"/>
  <c r="L56" i="12"/>
  <c r="R56" i="12"/>
  <c r="S56" i="12"/>
  <c r="T56" i="12"/>
  <c r="U56" i="12"/>
  <c r="D57" i="12"/>
  <c r="J57" i="12"/>
  <c r="M56" i="12" s="1"/>
  <c r="G56" i="12" s="1"/>
  <c r="K57" i="12"/>
  <c r="L57" i="12"/>
  <c r="B58" i="12"/>
  <c r="C58" i="12" a="1"/>
  <c r="C58" i="12"/>
  <c r="D58" i="12"/>
  <c r="E58" i="12"/>
  <c r="F58" i="12"/>
  <c r="G58" i="12"/>
  <c r="P58" i="12" s="1"/>
  <c r="H58" i="12"/>
  <c r="I58" i="12"/>
  <c r="J58" i="12"/>
  <c r="K58" i="12"/>
  <c r="L58" i="12"/>
  <c r="M58" i="12"/>
  <c r="N58" i="12"/>
  <c r="O58" i="12"/>
  <c r="Q58" i="12"/>
  <c r="R58" i="12"/>
  <c r="S58" i="12"/>
  <c r="T58" i="12"/>
  <c r="U58" i="12"/>
  <c r="D59" i="12"/>
  <c r="J59" i="12"/>
  <c r="K59" i="12"/>
  <c r="L59" i="12"/>
  <c r="B60" i="12"/>
  <c r="C60" i="12" a="1"/>
  <c r="C60" i="12"/>
  <c r="D60" i="12"/>
  <c r="E60" i="12"/>
  <c r="F60" i="12"/>
  <c r="H60" i="12"/>
  <c r="I60" i="12"/>
  <c r="J60" i="12"/>
  <c r="K60" i="12"/>
  <c r="L60" i="12"/>
  <c r="M60" i="12"/>
  <c r="G60" i="12" s="1"/>
  <c r="R60" i="12"/>
  <c r="S60" i="12"/>
  <c r="T60" i="12"/>
  <c r="U60" i="12"/>
  <c r="D61" i="12"/>
  <c r="J61" i="12"/>
  <c r="K61" i="12"/>
  <c r="L61" i="12"/>
  <c r="B62" i="12"/>
  <c r="C62" i="12" a="1"/>
  <c r="C62" i="12"/>
  <c r="D62" i="12"/>
  <c r="E62" i="12"/>
  <c r="F62" i="12"/>
  <c r="H62" i="12"/>
  <c r="I62" i="12"/>
  <c r="J62" i="12"/>
  <c r="K62" i="12"/>
  <c r="L62" i="12"/>
  <c r="R62" i="12"/>
  <c r="S62" i="12"/>
  <c r="T62" i="12"/>
  <c r="U62" i="12"/>
  <c r="D63" i="12"/>
  <c r="J63" i="12"/>
  <c r="K63" i="12"/>
  <c r="L63" i="12"/>
  <c r="B64" i="12"/>
  <c r="C64" i="12" a="1"/>
  <c r="C64" i="12"/>
  <c r="D64" i="12"/>
  <c r="E64" i="12"/>
  <c r="F64" i="12"/>
  <c r="H64" i="12"/>
  <c r="M64" i="12" s="1"/>
  <c r="G64" i="12" s="1"/>
  <c r="I64" i="12"/>
  <c r="J64" i="12"/>
  <c r="K64" i="12"/>
  <c r="L64" i="12"/>
  <c r="P64" i="12"/>
  <c r="R64" i="12"/>
  <c r="S64" i="12"/>
  <c r="T64" i="12"/>
  <c r="U64" i="12"/>
  <c r="D65" i="12"/>
  <c r="J65" i="12"/>
  <c r="K65" i="12"/>
  <c r="L65" i="12"/>
  <c r="B66" i="12"/>
  <c r="C66" i="12" a="1"/>
  <c r="C66" i="12"/>
  <c r="D66" i="12"/>
  <c r="E66" i="12"/>
  <c r="F66" i="12"/>
  <c r="G66" i="12"/>
  <c r="H66" i="12"/>
  <c r="I66" i="12"/>
  <c r="J66" i="12"/>
  <c r="K66" i="12"/>
  <c r="L66" i="12"/>
  <c r="M66" i="12"/>
  <c r="R66" i="12"/>
  <c r="S66" i="12"/>
  <c r="T66" i="12"/>
  <c r="U66" i="12"/>
  <c r="D67" i="12"/>
  <c r="J67" i="12"/>
  <c r="K67" i="12"/>
  <c r="L67" i="12"/>
  <c r="B68" i="12"/>
  <c r="C68" i="12" a="1"/>
  <c r="C68" i="12"/>
  <c r="D68" i="12"/>
  <c r="E68" i="12"/>
  <c r="F68" i="12"/>
  <c r="H68" i="12"/>
  <c r="I68" i="12"/>
  <c r="J68" i="12"/>
  <c r="K68" i="12"/>
  <c r="L68" i="12"/>
  <c r="R68" i="12"/>
  <c r="S68" i="12"/>
  <c r="T68" i="12"/>
  <c r="U68" i="12"/>
  <c r="D69" i="12"/>
  <c r="J69" i="12"/>
  <c r="K69" i="12"/>
  <c r="L69" i="12"/>
  <c r="M68" i="12" s="1"/>
  <c r="G68" i="12" s="1"/>
  <c r="B70" i="12"/>
  <c r="C70" i="12" a="1"/>
  <c r="C70" i="12"/>
  <c r="D70" i="12"/>
  <c r="E70" i="12"/>
  <c r="F70" i="12"/>
  <c r="H70" i="12"/>
  <c r="I70" i="12"/>
  <c r="J70" i="12"/>
  <c r="K70" i="12"/>
  <c r="L70" i="12"/>
  <c r="M70" i="12"/>
  <c r="G70" i="12" s="1"/>
  <c r="R70" i="12"/>
  <c r="S70" i="12"/>
  <c r="T70" i="12"/>
  <c r="U70" i="12"/>
  <c r="D71" i="12"/>
  <c r="J71" i="12"/>
  <c r="K71" i="12"/>
  <c r="L71" i="12"/>
  <c r="B72" i="12"/>
  <c r="C72" i="12" a="1"/>
  <c r="C72" i="12"/>
  <c r="D72" i="12"/>
  <c r="E72" i="12"/>
  <c r="F72" i="12"/>
  <c r="H72" i="12"/>
  <c r="I72" i="12"/>
  <c r="J72" i="12"/>
  <c r="K72" i="12"/>
  <c r="L72" i="12"/>
  <c r="R72" i="12"/>
  <c r="S72" i="12"/>
  <c r="T72" i="12"/>
  <c r="U72" i="12"/>
  <c r="D73" i="12"/>
  <c r="J73" i="12"/>
  <c r="M72" i="12" s="1"/>
  <c r="G72" i="12" s="1"/>
  <c r="K73" i="12"/>
  <c r="L73" i="12"/>
  <c r="B74" i="12"/>
  <c r="C74" i="12" a="1"/>
  <c r="C74" i="12"/>
  <c r="D74" i="12"/>
  <c r="E74" i="12"/>
  <c r="F74" i="12"/>
  <c r="H74" i="12"/>
  <c r="I74" i="12"/>
  <c r="J74" i="12"/>
  <c r="K74" i="12"/>
  <c r="L74" i="12"/>
  <c r="M74" i="12"/>
  <c r="G74" i="12" s="1"/>
  <c r="R74" i="12"/>
  <c r="S74" i="12"/>
  <c r="T74" i="12"/>
  <c r="U74" i="12"/>
  <c r="D75" i="12"/>
  <c r="J75" i="12"/>
  <c r="K75" i="12"/>
  <c r="L75" i="12"/>
  <c r="B76" i="12"/>
  <c r="C76" i="12" a="1"/>
  <c r="C76" i="12"/>
  <c r="D76" i="12"/>
  <c r="E76" i="12"/>
  <c r="F76" i="12"/>
  <c r="H76" i="12"/>
  <c r="I76" i="12"/>
  <c r="J76" i="12"/>
  <c r="K76" i="12"/>
  <c r="L76" i="12"/>
  <c r="M76" i="12"/>
  <c r="G76" i="12" s="1"/>
  <c r="R76" i="12"/>
  <c r="S76" i="12"/>
  <c r="T76" i="12"/>
  <c r="U76" i="12"/>
  <c r="D77" i="12"/>
  <c r="J77" i="12"/>
  <c r="K77" i="12"/>
  <c r="L77" i="12"/>
  <c r="B78" i="12"/>
  <c r="C78" i="12" a="1"/>
  <c r="C78" i="12"/>
  <c r="D78" i="12"/>
  <c r="E78" i="12"/>
  <c r="F78" i="12"/>
  <c r="H78" i="12"/>
  <c r="I78" i="12"/>
  <c r="M78" i="12" s="1"/>
  <c r="G78" i="12" s="1"/>
  <c r="J78" i="12"/>
  <c r="K78" i="12"/>
  <c r="L78" i="12"/>
  <c r="R78" i="12"/>
  <c r="S78" i="12"/>
  <c r="T78" i="12"/>
  <c r="U78" i="12"/>
  <c r="D79" i="12"/>
  <c r="J79" i="12"/>
  <c r="K79" i="12"/>
  <c r="L79" i="12"/>
  <c r="B80" i="12"/>
  <c r="C80" i="12" a="1"/>
  <c r="C80" i="12"/>
  <c r="D80" i="12"/>
  <c r="E80" i="12"/>
  <c r="F80" i="12"/>
  <c r="H80" i="12"/>
  <c r="M80" i="12" s="1"/>
  <c r="G80" i="12" s="1"/>
  <c r="I80" i="12"/>
  <c r="J80" i="12"/>
  <c r="K80" i="12"/>
  <c r="L80" i="12"/>
  <c r="P80" i="12"/>
  <c r="R80" i="12"/>
  <c r="S80" i="12"/>
  <c r="T80" i="12"/>
  <c r="U80" i="12"/>
  <c r="D81" i="12"/>
  <c r="J81" i="12"/>
  <c r="K81" i="12"/>
  <c r="L81" i="12"/>
  <c r="B82" i="12"/>
  <c r="C82" i="12" a="1"/>
  <c r="C82" i="12"/>
  <c r="D82" i="12"/>
  <c r="E82" i="12"/>
  <c r="F82" i="12"/>
  <c r="G82" i="12"/>
  <c r="H82" i="12"/>
  <c r="I82" i="12"/>
  <c r="J82" i="12"/>
  <c r="K82" i="12"/>
  <c r="L82" i="12"/>
  <c r="M82" i="12"/>
  <c r="R82" i="12"/>
  <c r="S82" i="12"/>
  <c r="T82" i="12"/>
  <c r="U82" i="12"/>
  <c r="D83" i="12"/>
  <c r="J83" i="12"/>
  <c r="K83" i="12"/>
  <c r="L83" i="12"/>
  <c r="B84" i="12"/>
  <c r="C84" i="12" a="1"/>
  <c r="C84" i="12"/>
  <c r="D84" i="12"/>
  <c r="E84" i="12"/>
  <c r="F84" i="12"/>
  <c r="H84" i="12"/>
  <c r="I84" i="12"/>
  <c r="J84" i="12"/>
  <c r="K84" i="12"/>
  <c r="L84" i="12"/>
  <c r="R84" i="12"/>
  <c r="S84" i="12"/>
  <c r="T84" i="12"/>
  <c r="U84" i="12"/>
  <c r="D85" i="12"/>
  <c r="J85" i="12"/>
  <c r="K85" i="12"/>
  <c r="L85" i="12"/>
  <c r="M84" i="12" s="1"/>
  <c r="G84" i="12" s="1"/>
  <c r="B86" i="12"/>
  <c r="C86" i="12" a="1"/>
  <c r="C86" i="12"/>
  <c r="D86" i="12"/>
  <c r="E86" i="12"/>
  <c r="F86" i="12"/>
  <c r="H86" i="12"/>
  <c r="I86" i="12"/>
  <c r="J86" i="12"/>
  <c r="K86" i="12"/>
  <c r="L86" i="12"/>
  <c r="M86" i="12"/>
  <c r="G86" i="12" s="1"/>
  <c r="R86" i="12"/>
  <c r="S86" i="12"/>
  <c r="T86" i="12"/>
  <c r="U86" i="12"/>
  <c r="D87" i="12"/>
  <c r="J87" i="12"/>
  <c r="K87" i="12"/>
  <c r="L87" i="12"/>
  <c r="B88" i="12"/>
  <c r="C88" i="12" a="1"/>
  <c r="C88" i="12"/>
  <c r="D88" i="12"/>
  <c r="E88" i="12"/>
  <c r="F88" i="12"/>
  <c r="H88" i="12"/>
  <c r="I88" i="12"/>
  <c r="J88" i="12"/>
  <c r="K88" i="12"/>
  <c r="L88" i="12"/>
  <c r="R88" i="12"/>
  <c r="S88" i="12"/>
  <c r="T88" i="12"/>
  <c r="U88" i="12"/>
  <c r="D89" i="12"/>
  <c r="J89" i="12"/>
  <c r="M88" i="12" s="1"/>
  <c r="G88" i="12" s="1"/>
  <c r="K89" i="12"/>
  <c r="L89" i="12"/>
  <c r="B90" i="12"/>
  <c r="C90" i="12" a="1"/>
  <c r="C90" i="12"/>
  <c r="D90" i="12"/>
  <c r="E90" i="12"/>
  <c r="F90" i="12"/>
  <c r="H90" i="12"/>
  <c r="I90" i="12"/>
  <c r="J90" i="12"/>
  <c r="K90" i="12"/>
  <c r="L90" i="12"/>
  <c r="M90" i="12"/>
  <c r="G90" i="12" s="1"/>
  <c r="R90" i="12"/>
  <c r="S90" i="12"/>
  <c r="T90" i="12"/>
  <c r="U90" i="12"/>
  <c r="D91" i="12"/>
  <c r="J91" i="12"/>
  <c r="K91" i="12"/>
  <c r="L91" i="12"/>
  <c r="B92" i="12"/>
  <c r="C92" i="12" a="1"/>
  <c r="C92" i="12"/>
  <c r="D92" i="12"/>
  <c r="E92" i="12"/>
  <c r="F92" i="12"/>
  <c r="H92" i="12"/>
  <c r="I92" i="12"/>
  <c r="J92" i="12"/>
  <c r="K92" i="12"/>
  <c r="L92" i="12"/>
  <c r="M92" i="12"/>
  <c r="G92" i="12" s="1"/>
  <c r="R92" i="12"/>
  <c r="S92" i="12"/>
  <c r="T92" i="12"/>
  <c r="U92" i="12"/>
  <c r="D93" i="12"/>
  <c r="J93" i="12"/>
  <c r="K93" i="12"/>
  <c r="L93" i="12"/>
  <c r="B94" i="12"/>
  <c r="C94" i="12" a="1"/>
  <c r="C94" i="12"/>
  <c r="D94" i="12"/>
  <c r="E94" i="12"/>
  <c r="F94" i="12"/>
  <c r="H94" i="12"/>
  <c r="I94" i="12"/>
  <c r="M94" i="12" s="1"/>
  <c r="G94" i="12" s="1"/>
  <c r="Q94" i="12" s="1"/>
  <c r="J94" i="12"/>
  <c r="K94" i="12"/>
  <c r="L94" i="12"/>
  <c r="R94" i="12"/>
  <c r="S94" i="12"/>
  <c r="T94" i="12"/>
  <c r="U94" i="12"/>
  <c r="D95" i="12"/>
  <c r="J95" i="12"/>
  <c r="K95" i="12"/>
  <c r="L95" i="12"/>
  <c r="B96" i="12"/>
  <c r="C96" i="12" a="1"/>
  <c r="C96" i="12"/>
  <c r="D96" i="12"/>
  <c r="E96" i="12"/>
  <c r="F96" i="12"/>
  <c r="I96" i="12" s="1"/>
  <c r="H96" i="12"/>
  <c r="J96" i="12"/>
  <c r="K96" i="12"/>
  <c r="L96" i="12"/>
  <c r="R96" i="12"/>
  <c r="S96" i="12"/>
  <c r="T96" i="12"/>
  <c r="U96" i="12"/>
  <c r="D97" i="12"/>
  <c r="J97" i="12"/>
  <c r="K97" i="12"/>
  <c r="L97" i="12"/>
  <c r="B98" i="12"/>
  <c r="C98" i="12" a="1"/>
  <c r="C98" i="12"/>
  <c r="D98" i="12"/>
  <c r="E98" i="12"/>
  <c r="F98" i="12"/>
  <c r="G98" i="12"/>
  <c r="H98" i="12"/>
  <c r="I98" i="12"/>
  <c r="J98" i="12"/>
  <c r="K98" i="12"/>
  <c r="L98" i="12"/>
  <c r="M98" i="12"/>
  <c r="R98" i="12"/>
  <c r="S98" i="12"/>
  <c r="T98" i="12"/>
  <c r="U98" i="12"/>
  <c r="D99" i="12"/>
  <c r="J99" i="12"/>
  <c r="K99" i="12"/>
  <c r="L99" i="12"/>
  <c r="B100" i="12"/>
  <c r="C100" i="12" a="1"/>
  <c r="C100" i="12"/>
  <c r="D100" i="12"/>
  <c r="E100" i="12"/>
  <c r="F100" i="12"/>
  <c r="H100" i="12"/>
  <c r="I100" i="12"/>
  <c r="J100" i="12"/>
  <c r="K100" i="12"/>
  <c r="L100" i="12"/>
  <c r="R100" i="12"/>
  <c r="S100" i="12"/>
  <c r="T100" i="12"/>
  <c r="U100" i="12"/>
  <c r="D101" i="12"/>
  <c r="J101" i="12"/>
  <c r="K101" i="12"/>
  <c r="L101" i="12"/>
  <c r="M100" i="12" s="1"/>
  <c r="G100" i="12" s="1"/>
  <c r="B102" i="12"/>
  <c r="C102" i="12" a="1"/>
  <c r="C102" i="12"/>
  <c r="D102" i="12"/>
  <c r="E102" i="12"/>
  <c r="F102" i="12"/>
  <c r="H102" i="12"/>
  <c r="I102" i="12"/>
  <c r="J102" i="12"/>
  <c r="K102" i="12"/>
  <c r="L102" i="12"/>
  <c r="M102" i="12"/>
  <c r="G102" i="12" s="1"/>
  <c r="R102" i="12"/>
  <c r="S102" i="12"/>
  <c r="T102" i="12"/>
  <c r="U102" i="12"/>
  <c r="D103" i="12"/>
  <c r="J103" i="12"/>
  <c r="K103" i="12"/>
  <c r="L103" i="12"/>
  <c r="B104" i="12"/>
  <c r="C104" i="12" a="1"/>
  <c r="C104" i="12" s="1"/>
  <c r="D104" i="12"/>
  <c r="E104" i="12"/>
  <c r="F104" i="12"/>
  <c r="H104" i="12"/>
  <c r="I104" i="12"/>
  <c r="J104" i="12"/>
  <c r="K104" i="12"/>
  <c r="L104" i="12"/>
  <c r="R104" i="12"/>
  <c r="S104" i="12"/>
  <c r="T104" i="12"/>
  <c r="U104" i="12"/>
  <c r="D105" i="12"/>
  <c r="J105" i="12"/>
  <c r="M104" i="12" s="1"/>
  <c r="G104" i="12" s="1"/>
  <c r="K105" i="12"/>
  <c r="L105" i="12"/>
  <c r="B106" i="12"/>
  <c r="C106" i="12" a="1"/>
  <c r="C106" i="12"/>
  <c r="D106" i="12"/>
  <c r="E106" i="12"/>
  <c r="F106" i="12"/>
  <c r="H106" i="12"/>
  <c r="I106" i="12"/>
  <c r="M106" i="12" s="1"/>
  <c r="G106" i="12" s="1"/>
  <c r="J106" i="12"/>
  <c r="K106" i="12"/>
  <c r="L106" i="12"/>
  <c r="R106" i="12"/>
  <c r="S106" i="12"/>
  <c r="T106" i="12"/>
  <c r="U106" i="12"/>
  <c r="D107" i="12"/>
  <c r="J107" i="12"/>
  <c r="K107" i="12"/>
  <c r="L107" i="12"/>
  <c r="B108" i="12"/>
  <c r="C108" i="12" a="1"/>
  <c r="C108" i="12"/>
  <c r="D108" i="12"/>
  <c r="E108" i="12"/>
  <c r="F108" i="12"/>
  <c r="H108" i="12"/>
  <c r="M108" i="12" s="1"/>
  <c r="G108" i="12" s="1"/>
  <c r="I108" i="12"/>
  <c r="J108" i="12"/>
  <c r="K108" i="12"/>
  <c r="L108" i="12"/>
  <c r="R108" i="12"/>
  <c r="S108" i="12"/>
  <c r="T108" i="12"/>
  <c r="U108" i="12"/>
  <c r="D109" i="12"/>
  <c r="J109" i="12"/>
  <c r="K109" i="12"/>
  <c r="L109" i="12"/>
  <c r="B110" i="12"/>
  <c r="C110" i="12" a="1"/>
  <c r="C110" i="12"/>
  <c r="D110" i="12"/>
  <c r="E110" i="12"/>
  <c r="F110" i="12"/>
  <c r="H110" i="12"/>
  <c r="I110" i="12"/>
  <c r="M110" i="12" s="1"/>
  <c r="G110" i="12" s="1"/>
  <c r="J110" i="12"/>
  <c r="K110" i="12"/>
  <c r="L110" i="12"/>
  <c r="R110" i="12"/>
  <c r="S110" i="12"/>
  <c r="T110" i="12"/>
  <c r="U110" i="12"/>
  <c r="D111" i="12"/>
  <c r="J111" i="12"/>
  <c r="K111" i="12"/>
  <c r="L111" i="12"/>
  <c r="B112" i="12"/>
  <c r="C112" i="12" a="1"/>
  <c r="C112" i="12"/>
  <c r="D112" i="12"/>
  <c r="E112" i="12"/>
  <c r="F112" i="12"/>
  <c r="I112" i="12" s="1"/>
  <c r="H112" i="12"/>
  <c r="J112" i="12"/>
  <c r="K112" i="12"/>
  <c r="L112" i="12"/>
  <c r="R112" i="12"/>
  <c r="S112" i="12"/>
  <c r="T112" i="12"/>
  <c r="U112" i="12"/>
  <c r="D113" i="12"/>
  <c r="J113" i="12"/>
  <c r="K113" i="12"/>
  <c r="L113" i="12"/>
  <c r="B114" i="12"/>
  <c r="C114" i="12" a="1"/>
  <c r="C114" i="12"/>
  <c r="D114" i="12"/>
  <c r="E114" i="12"/>
  <c r="F114" i="12"/>
  <c r="G114" i="12"/>
  <c r="H114" i="12"/>
  <c r="I114" i="12"/>
  <c r="J114" i="12"/>
  <c r="K114" i="12"/>
  <c r="L114" i="12"/>
  <c r="M114" i="12"/>
  <c r="O114" i="12"/>
  <c r="R114" i="12"/>
  <c r="S114" i="12"/>
  <c r="T114" i="12"/>
  <c r="U114" i="12"/>
  <c r="D115" i="12"/>
  <c r="J115" i="12"/>
  <c r="K115" i="12"/>
  <c r="L115" i="12"/>
  <c r="B116" i="12"/>
  <c r="C116" i="12" a="1"/>
  <c r="C116" i="12"/>
  <c r="D116" i="12"/>
  <c r="E116" i="12"/>
  <c r="F116" i="12"/>
  <c r="H116" i="12"/>
  <c r="I116" i="12"/>
  <c r="J116" i="12"/>
  <c r="K116" i="12"/>
  <c r="L116" i="12"/>
  <c r="L117" i="12" s="1"/>
  <c r="M116" i="12" s="1"/>
  <c r="G116" i="12" s="1"/>
  <c r="N116" i="12" s="1"/>
  <c r="R116" i="12"/>
  <c r="S116" i="12"/>
  <c r="T116" i="12"/>
  <c r="U116" i="12"/>
  <c r="D117" i="12"/>
  <c r="J117" i="12"/>
  <c r="K117" i="12"/>
  <c r="B118" i="12"/>
  <c r="C118" i="12" a="1"/>
  <c r="C118" i="12"/>
  <c r="D118" i="12"/>
  <c r="E118" i="12"/>
  <c r="F118" i="12"/>
  <c r="H118" i="12"/>
  <c r="I118" i="12"/>
  <c r="J118" i="12"/>
  <c r="K118" i="12"/>
  <c r="K119" i="12" s="1"/>
  <c r="M118" i="12" s="1"/>
  <c r="G118" i="12" s="1"/>
  <c r="L118" i="12"/>
  <c r="R118" i="12"/>
  <c r="S118" i="12"/>
  <c r="T118" i="12"/>
  <c r="U118" i="12"/>
  <c r="D119" i="12"/>
  <c r="J119" i="12"/>
  <c r="L119" i="12"/>
  <c r="B120" i="12"/>
  <c r="C120" i="12" a="1"/>
  <c r="C120" i="12" s="1"/>
  <c r="D120" i="12"/>
  <c r="E120" i="12"/>
  <c r="F120" i="12"/>
  <c r="H120" i="12"/>
  <c r="I120" i="12"/>
  <c r="J120" i="12"/>
  <c r="J121" i="12" s="1"/>
  <c r="K120" i="12"/>
  <c r="L120" i="12"/>
  <c r="R120" i="12"/>
  <c r="S120" i="12"/>
  <c r="T120" i="12"/>
  <c r="U120" i="12"/>
  <c r="D121" i="12"/>
  <c r="K121" i="12"/>
  <c r="L121" i="12"/>
  <c r="B122" i="12"/>
  <c r="C122" i="12" a="1"/>
  <c r="C122" i="12"/>
  <c r="D122" i="12"/>
  <c r="E122" i="12"/>
  <c r="F122" i="12"/>
  <c r="H122" i="12"/>
  <c r="I122" i="12"/>
  <c r="M122" i="12" s="1"/>
  <c r="G122" i="12" s="1"/>
  <c r="J122" i="12"/>
  <c r="K122" i="12"/>
  <c r="L122" i="12"/>
  <c r="R122" i="12"/>
  <c r="S122" i="12"/>
  <c r="T122" i="12"/>
  <c r="U122" i="12"/>
  <c r="D123" i="12"/>
  <c r="J123" i="12"/>
  <c r="K123" i="12"/>
  <c r="L123" i="12"/>
  <c r="B124" i="12"/>
  <c r="C124" i="12" a="1"/>
  <c r="C124" i="12"/>
  <c r="D124" i="12"/>
  <c r="E124" i="12"/>
  <c r="F124" i="12"/>
  <c r="H124" i="12"/>
  <c r="M124" i="12" s="1"/>
  <c r="G124" i="12" s="1"/>
  <c r="I124" i="12"/>
  <c r="J124" i="12"/>
  <c r="K124" i="12"/>
  <c r="L124" i="12"/>
  <c r="R124" i="12"/>
  <c r="S124" i="12"/>
  <c r="T124" i="12"/>
  <c r="U124" i="12"/>
  <c r="D125" i="12"/>
  <c r="J125" i="12"/>
  <c r="K125" i="12"/>
  <c r="L125" i="12"/>
  <c r="B126" i="12"/>
  <c r="C126" i="12" a="1"/>
  <c r="C126" i="12"/>
  <c r="D126" i="12"/>
  <c r="E126" i="12"/>
  <c r="F126" i="12"/>
  <c r="H126" i="12"/>
  <c r="I126" i="12"/>
  <c r="M126" i="12" s="1"/>
  <c r="G126" i="12" s="1"/>
  <c r="J126" i="12"/>
  <c r="K126" i="12"/>
  <c r="L126" i="12"/>
  <c r="R126" i="12"/>
  <c r="S126" i="12"/>
  <c r="T126" i="12"/>
  <c r="U126" i="12"/>
  <c r="D127" i="12"/>
  <c r="J127" i="12"/>
  <c r="K127" i="12"/>
  <c r="L127" i="12"/>
  <c r="B128" i="12"/>
  <c r="C128" i="12" a="1"/>
  <c r="C128" i="12"/>
  <c r="D128" i="12"/>
  <c r="E128" i="12"/>
  <c r="F128" i="12"/>
  <c r="I128" i="12" s="1"/>
  <c r="H128" i="12"/>
  <c r="M128" i="12" s="1"/>
  <c r="J128" i="12"/>
  <c r="K128" i="12"/>
  <c r="L128" i="12"/>
  <c r="R128" i="12"/>
  <c r="S128" i="12"/>
  <c r="T128" i="12"/>
  <c r="U128" i="12"/>
  <c r="D129" i="12"/>
  <c r="J129" i="12"/>
  <c r="K129" i="12"/>
  <c r="L129" i="12"/>
  <c r="B130" i="12"/>
  <c r="C130" i="12" a="1"/>
  <c r="C130" i="12"/>
  <c r="D130" i="12"/>
  <c r="E130" i="12"/>
  <c r="F130" i="12"/>
  <c r="H130" i="12"/>
  <c r="I130" i="12"/>
  <c r="J130" i="12"/>
  <c r="K130" i="12"/>
  <c r="L130" i="12"/>
  <c r="R130" i="12"/>
  <c r="S130" i="12"/>
  <c r="T130" i="12"/>
  <c r="U130" i="12"/>
  <c r="D131" i="12"/>
  <c r="J131" i="12"/>
  <c r="M130" i="12" s="1"/>
  <c r="G130" i="12" s="1"/>
  <c r="K131" i="12"/>
  <c r="L131" i="12"/>
  <c r="B132" i="12"/>
  <c r="C132" i="12" a="1"/>
  <c r="C132" i="12"/>
  <c r="D132" i="12"/>
  <c r="E132" i="12"/>
  <c r="F132" i="12"/>
  <c r="J132" i="12"/>
  <c r="K132" i="12"/>
  <c r="L132" i="12"/>
  <c r="L133" i="12" s="1"/>
  <c r="R132" i="12"/>
  <c r="S132" i="12"/>
  <c r="T132" i="12"/>
  <c r="U132" i="12"/>
  <c r="D133" i="12"/>
  <c r="J133" i="12"/>
  <c r="K133" i="12"/>
  <c r="B134" i="12"/>
  <c r="C134" i="12" a="1"/>
  <c r="C134" i="12"/>
  <c r="D134" i="12"/>
  <c r="E134" i="12"/>
  <c r="F134" i="12"/>
  <c r="H134" i="12"/>
  <c r="I134" i="12"/>
  <c r="J134" i="12"/>
  <c r="K134" i="12"/>
  <c r="K135" i="12" s="1"/>
  <c r="L134" i="12"/>
  <c r="M134" i="12"/>
  <c r="G134" i="12" s="1"/>
  <c r="R134" i="12"/>
  <c r="S134" i="12"/>
  <c r="T134" i="12"/>
  <c r="U134" i="12"/>
  <c r="D135" i="12"/>
  <c r="J135" i="12"/>
  <c r="L135" i="12"/>
  <c r="B136" i="12"/>
  <c r="C136" i="12" a="1"/>
  <c r="C136" i="12" s="1"/>
  <c r="D136" i="12"/>
  <c r="E136" i="12"/>
  <c r="F136" i="12"/>
  <c r="H136" i="12"/>
  <c r="I136" i="12"/>
  <c r="J136" i="12"/>
  <c r="J137" i="12" s="1"/>
  <c r="K136" i="12"/>
  <c r="L136" i="12"/>
  <c r="L137" i="12" s="1"/>
  <c r="R136" i="12"/>
  <c r="S136" i="12"/>
  <c r="T136" i="12"/>
  <c r="U136" i="12"/>
  <c r="D137" i="12"/>
  <c r="K137" i="12"/>
  <c r="B138" i="12"/>
  <c r="C138" i="12" a="1"/>
  <c r="C138" i="12"/>
  <c r="D138" i="12"/>
  <c r="E138" i="12"/>
  <c r="F138" i="12"/>
  <c r="H138" i="12"/>
  <c r="I138" i="12"/>
  <c r="M138" i="12" s="1"/>
  <c r="G138" i="12" s="1"/>
  <c r="J138" i="12"/>
  <c r="K138" i="12"/>
  <c r="K139" i="12" s="1"/>
  <c r="L138" i="12"/>
  <c r="R138" i="12"/>
  <c r="S138" i="12"/>
  <c r="T138" i="12"/>
  <c r="U138" i="12"/>
  <c r="D139" i="12"/>
  <c r="J139" i="12"/>
  <c r="L139" i="12"/>
  <c r="B140" i="12"/>
  <c r="C140" i="12" a="1"/>
  <c r="C140" i="12" s="1"/>
  <c r="D140" i="12"/>
  <c r="E140" i="12"/>
  <c r="F140" i="12"/>
  <c r="H140" i="12"/>
  <c r="M140" i="12" s="1"/>
  <c r="G140" i="12" s="1"/>
  <c r="I140" i="12"/>
  <c r="J140" i="12"/>
  <c r="J141" i="12" s="1"/>
  <c r="K140" i="12"/>
  <c r="L140" i="12"/>
  <c r="R140" i="12"/>
  <c r="S140" i="12"/>
  <c r="T140" i="12"/>
  <c r="U140" i="12"/>
  <c r="D141" i="12"/>
  <c r="K141" i="12"/>
  <c r="L141" i="12"/>
  <c r="B142" i="12"/>
  <c r="C142" i="12" a="1"/>
  <c r="C142" i="12"/>
  <c r="D142" i="12"/>
  <c r="E142" i="12"/>
  <c r="F142" i="12"/>
  <c r="H142" i="12"/>
  <c r="I142" i="12"/>
  <c r="J142" i="12"/>
  <c r="K142" i="12"/>
  <c r="L142" i="12"/>
  <c r="R142" i="12"/>
  <c r="S142" i="12"/>
  <c r="T142" i="12"/>
  <c r="U142" i="12"/>
  <c r="D143" i="12"/>
  <c r="J143" i="12"/>
  <c r="K143" i="12"/>
  <c r="L143" i="12"/>
  <c r="B144" i="12"/>
  <c r="C144" i="12" a="1"/>
  <c r="C144" i="12"/>
  <c r="D144" i="12"/>
  <c r="E144" i="12"/>
  <c r="F144" i="12"/>
  <c r="J144" i="12"/>
  <c r="K144" i="12"/>
  <c r="L144" i="12"/>
  <c r="R144" i="12"/>
  <c r="S144" i="12"/>
  <c r="T144" i="12"/>
  <c r="U144" i="12"/>
  <c r="D145" i="12"/>
  <c r="J145" i="12"/>
  <c r="K145" i="12"/>
  <c r="L145" i="12"/>
  <c r="B146" i="12"/>
  <c r="C146" i="12" a="1"/>
  <c r="C146" i="12"/>
  <c r="D146" i="12"/>
  <c r="E146" i="12"/>
  <c r="F146" i="12"/>
  <c r="H146" i="12" s="1"/>
  <c r="J146" i="12"/>
  <c r="K146" i="12"/>
  <c r="L146" i="12"/>
  <c r="R146" i="12"/>
  <c r="S146" i="12"/>
  <c r="T146" i="12"/>
  <c r="U146" i="12"/>
  <c r="D147" i="12"/>
  <c r="J147" i="12"/>
  <c r="K147" i="12"/>
  <c r="L147" i="12"/>
  <c r="B148" i="12"/>
  <c r="C148" i="12" a="1"/>
  <c r="C148" i="12"/>
  <c r="D148" i="12"/>
  <c r="E148" i="12"/>
  <c r="F148" i="12"/>
  <c r="J148" i="12"/>
  <c r="K148" i="12"/>
  <c r="L148" i="12"/>
  <c r="L149" i="12" s="1"/>
  <c r="R148" i="12"/>
  <c r="S148" i="12"/>
  <c r="T148" i="12"/>
  <c r="U148" i="12"/>
  <c r="D149" i="12"/>
  <c r="J149" i="12"/>
  <c r="K149" i="12"/>
  <c r="B150" i="12"/>
  <c r="C150" i="12" a="1"/>
  <c r="C150" i="12"/>
  <c r="D150" i="12"/>
  <c r="E150" i="12"/>
  <c r="F150" i="12"/>
  <c r="H150" i="12"/>
  <c r="I150" i="12"/>
  <c r="J150" i="12"/>
  <c r="K150" i="12"/>
  <c r="K151" i="12" s="1"/>
  <c r="M150" i="12" s="1"/>
  <c r="G150" i="12" s="1"/>
  <c r="L150" i="12"/>
  <c r="L151" i="12" s="1"/>
  <c r="R150" i="12"/>
  <c r="S150" i="12"/>
  <c r="T150" i="12"/>
  <c r="U150" i="12"/>
  <c r="D151" i="12"/>
  <c r="J151" i="12"/>
  <c r="B152" i="12"/>
  <c r="C152" i="12" a="1"/>
  <c r="C152" i="12" s="1"/>
  <c r="D152" i="12"/>
  <c r="E152" i="12"/>
  <c r="F152" i="12"/>
  <c r="H152" i="12"/>
  <c r="I152" i="12"/>
  <c r="J152" i="12"/>
  <c r="J153" i="12" s="1"/>
  <c r="K152" i="12"/>
  <c r="K153" i="12" s="1"/>
  <c r="L152" i="12"/>
  <c r="L153" i="12" s="1"/>
  <c r="R152" i="12"/>
  <c r="S152" i="12"/>
  <c r="T152" i="12"/>
  <c r="U152" i="12"/>
  <c r="D153" i="12"/>
  <c r="B154" i="12"/>
  <c r="C154" i="12" a="1"/>
  <c r="C154" i="12"/>
  <c r="D154" i="12"/>
  <c r="E154" i="12"/>
  <c r="F154" i="12"/>
  <c r="I154" i="12"/>
  <c r="J154" i="12"/>
  <c r="J155" i="12" s="1"/>
  <c r="K154" i="12"/>
  <c r="K155" i="12" s="1"/>
  <c r="L154" i="12"/>
  <c r="R154" i="12"/>
  <c r="S154" i="12"/>
  <c r="T154" i="12"/>
  <c r="U154" i="12"/>
  <c r="D155" i="12"/>
  <c r="L155" i="12"/>
  <c r="B156" i="12"/>
  <c r="C156" i="12" a="1"/>
  <c r="C156" i="12" s="1"/>
  <c r="D156" i="12"/>
  <c r="E156" i="12"/>
  <c r="F156" i="12"/>
  <c r="H156" i="12"/>
  <c r="I156" i="12"/>
  <c r="J156" i="12"/>
  <c r="J157" i="12" s="1"/>
  <c r="K156" i="12"/>
  <c r="L156" i="12"/>
  <c r="R156" i="12"/>
  <c r="S156" i="12"/>
  <c r="T156" i="12"/>
  <c r="U156" i="12"/>
  <c r="D157" i="12"/>
  <c r="K157" i="12"/>
  <c r="L157" i="12"/>
  <c r="B158" i="12"/>
  <c r="C158" i="12" a="1"/>
  <c r="C158" i="12"/>
  <c r="D158" i="12"/>
  <c r="E158" i="12"/>
  <c r="F158" i="12"/>
  <c r="H158" i="12"/>
  <c r="I158" i="12"/>
  <c r="J158" i="12"/>
  <c r="K158" i="12"/>
  <c r="L158" i="12"/>
  <c r="R158" i="12"/>
  <c r="S158" i="12"/>
  <c r="T158" i="12"/>
  <c r="U158" i="12"/>
  <c r="D159" i="12"/>
  <c r="J159" i="12"/>
  <c r="K159" i="12"/>
  <c r="L159" i="12"/>
  <c r="B160" i="12"/>
  <c r="C160" i="12" a="1"/>
  <c r="C160" i="12"/>
  <c r="D160" i="12"/>
  <c r="E160" i="12"/>
  <c r="F160" i="12"/>
  <c r="H160" i="12"/>
  <c r="J160" i="12"/>
  <c r="K160" i="12"/>
  <c r="L160" i="12"/>
  <c r="L161" i="12" s="1"/>
  <c r="R160" i="12"/>
  <c r="S160" i="12"/>
  <c r="T160" i="12"/>
  <c r="U160" i="12"/>
  <c r="D161" i="12"/>
  <c r="J161" i="12"/>
  <c r="K161" i="12"/>
  <c r="B162" i="12"/>
  <c r="C162" i="12" a="1"/>
  <c r="C162" i="12" s="1"/>
  <c r="D162" i="12"/>
  <c r="E162" i="12"/>
  <c r="F162" i="12"/>
  <c r="H162" i="12" s="1"/>
  <c r="J162" i="12"/>
  <c r="K162" i="12"/>
  <c r="K163" i="12" s="1"/>
  <c r="L162" i="12"/>
  <c r="R162" i="12"/>
  <c r="S162" i="12"/>
  <c r="T162" i="12"/>
  <c r="U162" i="12"/>
  <c r="D163" i="12"/>
  <c r="J163" i="12"/>
  <c r="L163" i="12"/>
  <c r="B164" i="12"/>
  <c r="C164" i="12" a="1"/>
  <c r="C164" i="12" s="1"/>
  <c r="D164" i="12"/>
  <c r="E164" i="12"/>
  <c r="F164" i="12"/>
  <c r="J164" i="12"/>
  <c r="J165" i="12" s="1"/>
  <c r="K164" i="12"/>
  <c r="L164" i="12"/>
  <c r="L165" i="12" s="1"/>
  <c r="R164" i="12"/>
  <c r="S164" i="12"/>
  <c r="T164" i="12"/>
  <c r="U164" i="12"/>
  <c r="D165" i="12"/>
  <c r="K165" i="12"/>
  <c r="B166" i="12"/>
  <c r="C166" i="12" a="1"/>
  <c r="C166" i="12"/>
  <c r="D166" i="12"/>
  <c r="E166" i="12"/>
  <c r="F166" i="12"/>
  <c r="H166" i="12"/>
  <c r="I166" i="12"/>
  <c r="J166" i="12"/>
  <c r="K166" i="12"/>
  <c r="K167" i="12" s="1"/>
  <c r="L166" i="12"/>
  <c r="L167" i="12" s="1"/>
  <c r="M166" i="12"/>
  <c r="G166" i="12" s="1"/>
  <c r="R166" i="12"/>
  <c r="S166" i="12"/>
  <c r="T166" i="12"/>
  <c r="U166" i="12"/>
  <c r="D167" i="12"/>
  <c r="J167" i="12"/>
  <c r="B168" i="12"/>
  <c r="C168" i="12" a="1"/>
  <c r="C168" i="12" s="1"/>
  <c r="D168" i="12"/>
  <c r="E168" i="12"/>
  <c r="F168" i="12"/>
  <c r="H168" i="12" s="1"/>
  <c r="J168" i="12"/>
  <c r="J169" i="12" s="1"/>
  <c r="K168" i="12"/>
  <c r="K169" i="12" s="1"/>
  <c r="L168" i="12"/>
  <c r="L169" i="12" s="1"/>
  <c r="R168" i="12"/>
  <c r="S168" i="12"/>
  <c r="T168" i="12"/>
  <c r="U168" i="12"/>
  <c r="D169" i="12"/>
  <c r="B170" i="12"/>
  <c r="C170" i="12" a="1"/>
  <c r="C170" i="12"/>
  <c r="D170" i="12"/>
  <c r="E170" i="12"/>
  <c r="F170" i="12"/>
  <c r="I170" i="12"/>
  <c r="J170" i="12"/>
  <c r="J171" i="12" s="1"/>
  <c r="K170" i="12"/>
  <c r="K171" i="12" s="1"/>
  <c r="L170" i="12"/>
  <c r="R170" i="12"/>
  <c r="S170" i="12"/>
  <c r="T170" i="12"/>
  <c r="U170" i="12"/>
  <c r="D171" i="12"/>
  <c r="L171" i="12"/>
  <c r="B172" i="12"/>
  <c r="C172" i="12" a="1"/>
  <c r="C172" i="12" s="1"/>
  <c r="D172" i="12"/>
  <c r="E172" i="12"/>
  <c r="F172" i="12"/>
  <c r="H172" i="12"/>
  <c r="M172" i="12" s="1"/>
  <c r="I172" i="12"/>
  <c r="J172" i="12"/>
  <c r="J173" i="12" s="1"/>
  <c r="K172" i="12"/>
  <c r="L172" i="12"/>
  <c r="R172" i="12"/>
  <c r="S172" i="12"/>
  <c r="T172" i="12"/>
  <c r="U172" i="12"/>
  <c r="D173" i="12"/>
  <c r="K173" i="12"/>
  <c r="L173" i="12"/>
  <c r="B174" i="12"/>
  <c r="C174" i="12" a="1"/>
  <c r="C174" i="12"/>
  <c r="D174" i="12"/>
  <c r="E174" i="12"/>
  <c r="F174" i="12"/>
  <c r="H174" i="12"/>
  <c r="M174" i="12" s="1"/>
  <c r="G174" i="12" s="1"/>
  <c r="I174" i="12"/>
  <c r="J174" i="12"/>
  <c r="K174" i="12"/>
  <c r="L174" i="12"/>
  <c r="R174" i="12"/>
  <c r="S174" i="12"/>
  <c r="T174" i="12"/>
  <c r="U174" i="12"/>
  <c r="D175" i="12"/>
  <c r="J175" i="12"/>
  <c r="K175" i="12"/>
  <c r="L175" i="12"/>
  <c r="B176" i="12"/>
  <c r="C176" i="12" a="1"/>
  <c r="C176" i="12"/>
  <c r="D176" i="12"/>
  <c r="E176" i="12"/>
  <c r="F176" i="12"/>
  <c r="I176" i="12" s="1"/>
  <c r="H176" i="12"/>
  <c r="J176" i="12"/>
  <c r="K176" i="12"/>
  <c r="L176" i="12"/>
  <c r="L177" i="12" s="1"/>
  <c r="R176" i="12"/>
  <c r="S176" i="12"/>
  <c r="T176" i="12"/>
  <c r="U176" i="12"/>
  <c r="D177" i="12"/>
  <c r="J177" i="12"/>
  <c r="K177" i="12"/>
  <c r="B178" i="12"/>
  <c r="C178" i="12" a="1"/>
  <c r="C178" i="12" s="1"/>
  <c r="D178" i="12"/>
  <c r="E178" i="12"/>
  <c r="F178" i="12"/>
  <c r="J178" i="12"/>
  <c r="K178" i="12"/>
  <c r="L178" i="12"/>
  <c r="R178" i="12"/>
  <c r="S178" i="12"/>
  <c r="T178" i="12"/>
  <c r="U178" i="12"/>
  <c r="D179" i="12"/>
  <c r="J179" i="12"/>
  <c r="K179" i="12"/>
  <c r="L179" i="12"/>
  <c r="B180" i="12"/>
  <c r="C180" i="12" a="1"/>
  <c r="C180" i="12" s="1"/>
  <c r="D180" i="12"/>
  <c r="E180" i="12"/>
  <c r="F180" i="12"/>
  <c r="I180" i="12"/>
  <c r="J180" i="12"/>
  <c r="K180" i="12"/>
  <c r="L180" i="12"/>
  <c r="R180" i="12"/>
  <c r="S180" i="12"/>
  <c r="T180" i="12"/>
  <c r="U180" i="12"/>
  <c r="D181" i="12"/>
  <c r="J181" i="12"/>
  <c r="K181" i="12"/>
  <c r="L181" i="12"/>
  <c r="B182" i="12"/>
  <c r="C182" i="12" a="1"/>
  <c r="C182" i="12"/>
  <c r="D182" i="12"/>
  <c r="E182" i="12"/>
  <c r="F182" i="12"/>
  <c r="I182" i="12" s="1"/>
  <c r="H182" i="12"/>
  <c r="J182" i="12"/>
  <c r="K182" i="12"/>
  <c r="L182" i="12"/>
  <c r="L183" i="12" s="1"/>
  <c r="R182" i="12"/>
  <c r="S182" i="12"/>
  <c r="T182" i="12"/>
  <c r="U182" i="12"/>
  <c r="D183" i="12"/>
  <c r="J183" i="12"/>
  <c r="K183" i="12"/>
  <c r="M182" i="12" s="1"/>
  <c r="G182" i="12" s="1"/>
  <c r="B184" i="12"/>
  <c r="C184" i="12" a="1"/>
  <c r="C184" i="12" s="1"/>
  <c r="D184" i="12"/>
  <c r="E184" i="12"/>
  <c r="F184" i="12"/>
  <c r="H184" i="12" s="1"/>
  <c r="J184" i="12"/>
  <c r="J185" i="12" s="1"/>
  <c r="K184" i="12"/>
  <c r="K185" i="12" s="1"/>
  <c r="L184" i="12"/>
  <c r="L185" i="12" s="1"/>
  <c r="R184" i="12"/>
  <c r="S184" i="12"/>
  <c r="T184" i="12"/>
  <c r="U184" i="12"/>
  <c r="D185" i="12"/>
  <c r="B186" i="12"/>
  <c r="C186" i="12" a="1"/>
  <c r="C186" i="12" s="1"/>
  <c r="D186" i="12"/>
  <c r="E186" i="12"/>
  <c r="F186" i="12"/>
  <c r="I186" i="12" s="1"/>
  <c r="J186" i="12"/>
  <c r="J187" i="12" s="1"/>
  <c r="K186" i="12"/>
  <c r="K187" i="12" s="1"/>
  <c r="L186" i="12"/>
  <c r="R186" i="12"/>
  <c r="S186" i="12"/>
  <c r="T186" i="12"/>
  <c r="U186" i="12"/>
  <c r="D187" i="12"/>
  <c r="L187" i="12"/>
  <c r="B188" i="12"/>
  <c r="C188" i="12" a="1"/>
  <c r="C188" i="12" s="1"/>
  <c r="D188" i="12"/>
  <c r="E188" i="12"/>
  <c r="F188" i="12"/>
  <c r="H188" i="12"/>
  <c r="M188" i="12" s="1"/>
  <c r="I188" i="12"/>
  <c r="J188" i="12"/>
  <c r="J189" i="12" s="1"/>
  <c r="K188" i="12"/>
  <c r="L188" i="12"/>
  <c r="R188" i="12"/>
  <c r="S188" i="12"/>
  <c r="T188" i="12"/>
  <c r="U188" i="12"/>
  <c r="D189" i="12"/>
  <c r="K189" i="12"/>
  <c r="L189" i="12"/>
  <c r="B190" i="12"/>
  <c r="C190" i="12" a="1"/>
  <c r="C190" i="12"/>
  <c r="D190" i="12"/>
  <c r="E190" i="12"/>
  <c r="F190" i="12"/>
  <c r="H190" i="12"/>
  <c r="I190" i="12"/>
  <c r="J190" i="12"/>
  <c r="K190" i="12"/>
  <c r="L190" i="12"/>
  <c r="R190" i="12"/>
  <c r="S190" i="12"/>
  <c r="T190" i="12"/>
  <c r="U190" i="12"/>
  <c r="D191" i="12"/>
  <c r="J191" i="12"/>
  <c r="K191" i="12"/>
  <c r="L191" i="12"/>
  <c r="B192" i="12"/>
  <c r="C192" i="12" a="1"/>
  <c r="C192" i="12"/>
  <c r="D192" i="12"/>
  <c r="E192" i="12"/>
  <c r="F192" i="12"/>
  <c r="J192" i="12"/>
  <c r="J193" i="12" s="1"/>
  <c r="K192" i="12"/>
  <c r="L192" i="12"/>
  <c r="R192" i="12"/>
  <c r="S192" i="12"/>
  <c r="T192" i="12"/>
  <c r="U192" i="12"/>
  <c r="D193" i="12"/>
  <c r="K193" i="12"/>
  <c r="L193" i="12"/>
  <c r="B194" i="12"/>
  <c r="C194" i="12" a="1"/>
  <c r="C194" i="12" s="1"/>
  <c r="D194" i="12"/>
  <c r="E194" i="12"/>
  <c r="F194" i="12"/>
  <c r="H194" i="12"/>
  <c r="I194" i="12"/>
  <c r="J194" i="12"/>
  <c r="K194" i="12"/>
  <c r="L194" i="12"/>
  <c r="M194" i="12"/>
  <c r="G194" i="12" s="1"/>
  <c r="R194" i="12"/>
  <c r="S194" i="12"/>
  <c r="T194" i="12"/>
  <c r="U194" i="12"/>
  <c r="D195" i="12"/>
  <c r="J195" i="12"/>
  <c r="K195" i="12"/>
  <c r="L195" i="12"/>
  <c r="B196" i="12"/>
  <c r="C196" i="12" a="1"/>
  <c r="C196" i="12"/>
  <c r="D196" i="12"/>
  <c r="E196" i="12"/>
  <c r="F196" i="12"/>
  <c r="J196" i="12"/>
  <c r="K196" i="12"/>
  <c r="L196" i="12"/>
  <c r="L197" i="12" s="1"/>
  <c r="R196" i="12"/>
  <c r="S196" i="12"/>
  <c r="T196" i="12"/>
  <c r="U196" i="12"/>
  <c r="D197" i="12"/>
  <c r="J197" i="12"/>
  <c r="K197" i="12"/>
  <c r="B198" i="12"/>
  <c r="C198" i="12" a="1"/>
  <c r="C198" i="12"/>
  <c r="D198" i="12"/>
  <c r="E198" i="12"/>
  <c r="F198" i="12"/>
  <c r="J198" i="12"/>
  <c r="K198" i="12"/>
  <c r="K199" i="12" s="1"/>
  <c r="L198" i="12"/>
  <c r="R198" i="12"/>
  <c r="S198" i="12"/>
  <c r="T198" i="12"/>
  <c r="U198" i="12"/>
  <c r="D199" i="12"/>
  <c r="J199" i="12"/>
  <c r="L199" i="12"/>
  <c r="B200" i="12"/>
  <c r="C200" i="12" a="1"/>
  <c r="C200" i="12" s="1"/>
  <c r="D200" i="12"/>
  <c r="E200" i="12"/>
  <c r="F200" i="12"/>
  <c r="H200" i="12" s="1"/>
  <c r="J200" i="12"/>
  <c r="J201" i="12" s="1"/>
  <c r="K200" i="12"/>
  <c r="L200" i="12"/>
  <c r="L201" i="12" s="1"/>
  <c r="R200" i="12"/>
  <c r="S200" i="12"/>
  <c r="T200" i="12"/>
  <c r="U200" i="12"/>
  <c r="D201" i="12"/>
  <c r="K201" i="12"/>
  <c r="B202" i="12"/>
  <c r="C202" i="12" a="1"/>
  <c r="C202" i="12"/>
  <c r="D202" i="12"/>
  <c r="E202" i="12"/>
  <c r="F202" i="12"/>
  <c r="I202" i="12"/>
  <c r="J202" i="12"/>
  <c r="K202" i="12"/>
  <c r="K203" i="12" s="1"/>
  <c r="L202" i="12"/>
  <c r="R202" i="12"/>
  <c r="S202" i="12"/>
  <c r="T202" i="12"/>
  <c r="U202" i="12"/>
  <c r="D203" i="12"/>
  <c r="J203" i="12"/>
  <c r="L203" i="12"/>
  <c r="B204" i="12"/>
  <c r="C204" i="12" a="1"/>
  <c r="C204" i="12" s="1"/>
  <c r="D204" i="12"/>
  <c r="E204" i="12"/>
  <c r="F204" i="12"/>
  <c r="I204" i="12" s="1"/>
  <c r="H204" i="12"/>
  <c r="J204" i="12"/>
  <c r="J205" i="12" s="1"/>
  <c r="K204" i="12"/>
  <c r="L204" i="12"/>
  <c r="L205" i="12" s="1"/>
  <c r="R204" i="12"/>
  <c r="S204" i="12"/>
  <c r="T204" i="12"/>
  <c r="U204" i="12"/>
  <c r="D205" i="12"/>
  <c r="K205" i="12"/>
  <c r="B206" i="12"/>
  <c r="C206" i="12" a="1"/>
  <c r="C206" i="12" s="1"/>
  <c r="D206" i="12"/>
  <c r="E206" i="12"/>
  <c r="F206" i="12"/>
  <c r="H206" i="12"/>
  <c r="I206" i="12"/>
  <c r="J206" i="12"/>
  <c r="K206" i="12"/>
  <c r="K207" i="12" s="1"/>
  <c r="L206" i="12"/>
  <c r="R206" i="12"/>
  <c r="S206" i="12"/>
  <c r="T206" i="12"/>
  <c r="U206" i="12"/>
  <c r="D207" i="12"/>
  <c r="J207" i="12"/>
  <c r="L207" i="12"/>
  <c r="B208" i="12"/>
  <c r="C208" i="12" a="1"/>
  <c r="C208" i="12" s="1"/>
  <c r="D208" i="12"/>
  <c r="E208" i="12"/>
  <c r="F208" i="12"/>
  <c r="J208" i="12"/>
  <c r="J209" i="12" s="1"/>
  <c r="K208" i="12"/>
  <c r="L208" i="12"/>
  <c r="R208" i="12"/>
  <c r="S208" i="12"/>
  <c r="T208" i="12"/>
  <c r="U208" i="12"/>
  <c r="D209" i="12"/>
  <c r="K209" i="12"/>
  <c r="L209" i="12"/>
  <c r="B210" i="12"/>
  <c r="C210" i="12" a="1"/>
  <c r="C210" i="12" s="1"/>
  <c r="D210" i="12"/>
  <c r="E210" i="12"/>
  <c r="F210" i="12"/>
  <c r="H210" i="12"/>
  <c r="I210" i="12"/>
  <c r="J210" i="12"/>
  <c r="K210" i="12"/>
  <c r="L210" i="12"/>
  <c r="M210" i="12"/>
  <c r="G210" i="12" s="1"/>
  <c r="R210" i="12"/>
  <c r="S210" i="12"/>
  <c r="T210" i="12"/>
  <c r="U210" i="12"/>
  <c r="D211" i="12"/>
  <c r="J211" i="12"/>
  <c r="K211" i="12"/>
  <c r="L211" i="12"/>
  <c r="B212" i="12"/>
  <c r="C212" i="12" a="1"/>
  <c r="C212" i="12" s="1"/>
  <c r="D212" i="12"/>
  <c r="E212" i="12"/>
  <c r="F212" i="12"/>
  <c r="H212" i="12" s="1"/>
  <c r="J212" i="12"/>
  <c r="K212" i="12"/>
  <c r="L212" i="12"/>
  <c r="L213" i="12" s="1"/>
  <c r="R212" i="12"/>
  <c r="S212" i="12"/>
  <c r="T212" i="12"/>
  <c r="U212" i="12"/>
  <c r="D213" i="12"/>
  <c r="J213" i="12"/>
  <c r="K213" i="12"/>
  <c r="B214" i="12"/>
  <c r="C214" i="12" a="1"/>
  <c r="C214" i="12"/>
  <c r="D214" i="12"/>
  <c r="E214" i="12"/>
  <c r="F214" i="12"/>
  <c r="J214" i="12"/>
  <c r="K214" i="12"/>
  <c r="K215" i="12" s="1"/>
  <c r="L214" i="12"/>
  <c r="R214" i="12"/>
  <c r="S214" i="12"/>
  <c r="T214" i="12"/>
  <c r="U214" i="12"/>
  <c r="D215" i="12"/>
  <c r="J215" i="12"/>
  <c r="L215" i="12"/>
  <c r="B216" i="12"/>
  <c r="C216" i="12" a="1"/>
  <c r="C216" i="12" s="1"/>
  <c r="D216" i="12"/>
  <c r="E216" i="12"/>
  <c r="F216" i="12"/>
  <c r="J216" i="12"/>
  <c r="J217" i="12" s="1"/>
  <c r="K216" i="12"/>
  <c r="L216" i="12"/>
  <c r="L217" i="12" s="1"/>
  <c r="R216" i="12"/>
  <c r="S216" i="12"/>
  <c r="T216" i="12"/>
  <c r="U216" i="12"/>
  <c r="D217" i="12"/>
  <c r="K217" i="12"/>
  <c r="B218" i="12"/>
  <c r="C218" i="12" a="1"/>
  <c r="C218" i="12"/>
  <c r="D218" i="12"/>
  <c r="E218" i="12"/>
  <c r="F218" i="12"/>
  <c r="H218" i="12" s="1"/>
  <c r="I218" i="12"/>
  <c r="J218" i="12"/>
  <c r="K218" i="12"/>
  <c r="K219" i="12" s="1"/>
  <c r="L218" i="12"/>
  <c r="R218" i="12"/>
  <c r="S218" i="12"/>
  <c r="T218" i="12"/>
  <c r="U218" i="12"/>
  <c r="D219" i="12"/>
  <c r="J219" i="12"/>
  <c r="L219" i="12"/>
  <c r="B220" i="12"/>
  <c r="C220" i="12" a="1"/>
  <c r="C220" i="12"/>
  <c r="D220" i="12"/>
  <c r="E220" i="12"/>
  <c r="F220" i="12"/>
  <c r="I220" i="12" s="1"/>
  <c r="H220" i="12"/>
  <c r="M220" i="12" s="1"/>
  <c r="J220" i="12"/>
  <c r="J221" i="12" s="1"/>
  <c r="K220" i="12"/>
  <c r="L220" i="12"/>
  <c r="L221" i="12" s="1"/>
  <c r="R220" i="12"/>
  <c r="S220" i="12"/>
  <c r="T220" i="12"/>
  <c r="U220" i="12"/>
  <c r="D221" i="12"/>
  <c r="K221" i="12"/>
  <c r="B222" i="12"/>
  <c r="C222" i="12" a="1"/>
  <c r="C222" i="12" s="1"/>
  <c r="D222" i="12"/>
  <c r="E222" i="12"/>
  <c r="F222" i="12"/>
  <c r="H222" i="12"/>
  <c r="I222" i="12"/>
  <c r="J222" i="12"/>
  <c r="K222" i="12"/>
  <c r="K223" i="12" s="1"/>
  <c r="L222" i="12"/>
  <c r="R222" i="12"/>
  <c r="S222" i="12"/>
  <c r="T222" i="12"/>
  <c r="U222" i="12"/>
  <c r="D223" i="12"/>
  <c r="J223" i="12"/>
  <c r="L223" i="12"/>
  <c r="B224" i="12"/>
  <c r="C224" i="12" a="1"/>
  <c r="C224" i="12" s="1"/>
  <c r="D224" i="12"/>
  <c r="E224" i="12"/>
  <c r="F224" i="12"/>
  <c r="J224" i="12"/>
  <c r="J225" i="12" s="1"/>
  <c r="K224" i="12"/>
  <c r="L224" i="12"/>
  <c r="R224" i="12"/>
  <c r="S224" i="12"/>
  <c r="T224" i="12"/>
  <c r="U224" i="12"/>
  <c r="D225" i="12"/>
  <c r="K225" i="12"/>
  <c r="L225" i="12"/>
  <c r="B226" i="12"/>
  <c r="C226" i="12" a="1"/>
  <c r="C226" i="12"/>
  <c r="D226" i="12"/>
  <c r="E226" i="12"/>
  <c r="F226" i="12"/>
  <c r="H226" i="12"/>
  <c r="I226" i="12"/>
  <c r="J226" i="12"/>
  <c r="K226" i="12"/>
  <c r="L226" i="12"/>
  <c r="M226" i="12"/>
  <c r="G226" i="12" s="1"/>
  <c r="R226" i="12"/>
  <c r="S226" i="12"/>
  <c r="T226" i="12"/>
  <c r="U226" i="12"/>
  <c r="D227" i="12"/>
  <c r="J227" i="12"/>
  <c r="K227" i="12"/>
  <c r="L227" i="12"/>
  <c r="B228" i="12"/>
  <c r="C228" i="12" a="1"/>
  <c r="C228" i="12" s="1"/>
  <c r="D228" i="12"/>
  <c r="E228" i="12"/>
  <c r="F228" i="12"/>
  <c r="H228" i="12" s="1"/>
  <c r="J228" i="12"/>
  <c r="K228" i="12"/>
  <c r="L228" i="12"/>
  <c r="L229" i="12" s="1"/>
  <c r="R228" i="12"/>
  <c r="S228" i="12"/>
  <c r="T228" i="12"/>
  <c r="U228" i="12"/>
  <c r="D229" i="12"/>
  <c r="J229" i="12"/>
  <c r="K229" i="12"/>
  <c r="B230" i="12"/>
  <c r="C230" i="12" a="1"/>
  <c r="C230" i="12"/>
  <c r="D230" i="12"/>
  <c r="E230" i="12"/>
  <c r="F230" i="12"/>
  <c r="J230" i="12"/>
  <c r="K230" i="12"/>
  <c r="K231" i="12" s="1"/>
  <c r="L230" i="12"/>
  <c r="R230" i="12"/>
  <c r="S230" i="12"/>
  <c r="T230" i="12"/>
  <c r="U230" i="12"/>
  <c r="D231" i="12"/>
  <c r="J231" i="12"/>
  <c r="L231" i="12"/>
  <c r="B232" i="12"/>
  <c r="C232" i="12" a="1"/>
  <c r="C232" i="12" s="1"/>
  <c r="D232" i="12"/>
  <c r="E232" i="12"/>
  <c r="F232" i="12"/>
  <c r="J232" i="12"/>
  <c r="J233" i="12" s="1"/>
  <c r="K232" i="12"/>
  <c r="L232" i="12"/>
  <c r="L233" i="12" s="1"/>
  <c r="R232" i="12"/>
  <c r="S232" i="12"/>
  <c r="T232" i="12"/>
  <c r="U232" i="12"/>
  <c r="D233" i="12"/>
  <c r="K233" i="12"/>
  <c r="B234" i="12"/>
  <c r="C234" i="12" a="1"/>
  <c r="C234" i="12"/>
  <c r="D234" i="12"/>
  <c r="E234" i="12"/>
  <c r="F234" i="12"/>
  <c r="H234" i="12"/>
  <c r="I234" i="12"/>
  <c r="J234" i="12"/>
  <c r="K234" i="12"/>
  <c r="K235" i="12" s="1"/>
  <c r="L234" i="12"/>
  <c r="R234" i="12"/>
  <c r="S234" i="12"/>
  <c r="T234" i="12"/>
  <c r="U234" i="12"/>
  <c r="D235" i="12"/>
  <c r="J235" i="12"/>
  <c r="L235" i="12"/>
  <c r="B236" i="12"/>
  <c r="C236" i="12" a="1"/>
  <c r="C236" i="12"/>
  <c r="D236" i="12"/>
  <c r="E236" i="12"/>
  <c r="F236" i="12"/>
  <c r="I236" i="12" s="1"/>
  <c r="H236" i="12"/>
  <c r="M236" i="12" s="1"/>
  <c r="J236" i="12"/>
  <c r="J237" i="12" s="1"/>
  <c r="K236" i="12"/>
  <c r="L236" i="12"/>
  <c r="L237" i="12" s="1"/>
  <c r="R236" i="12"/>
  <c r="S236" i="12"/>
  <c r="T236" i="12"/>
  <c r="U236" i="12"/>
  <c r="D237" i="12"/>
  <c r="K237" i="12"/>
  <c r="B238" i="12"/>
  <c r="C238" i="12" a="1"/>
  <c r="C238" i="12" s="1"/>
  <c r="D238" i="12"/>
  <c r="E238" i="12"/>
  <c r="F238" i="12"/>
  <c r="H238" i="12"/>
  <c r="I238" i="12"/>
  <c r="J238" i="12"/>
  <c r="K238" i="12"/>
  <c r="L238" i="12"/>
  <c r="R238" i="12"/>
  <c r="S238" i="12"/>
  <c r="T238" i="12"/>
  <c r="U238" i="12"/>
  <c r="D239" i="12"/>
  <c r="J239" i="12"/>
  <c r="K239" i="12"/>
  <c r="L239" i="12"/>
  <c r="B240" i="12"/>
  <c r="C240" i="12" a="1"/>
  <c r="C240" i="12" s="1"/>
  <c r="D240" i="12"/>
  <c r="E240" i="12"/>
  <c r="F240" i="12"/>
  <c r="J240" i="12"/>
  <c r="K240" i="12"/>
  <c r="L240" i="12"/>
  <c r="R240" i="12"/>
  <c r="S240" i="12"/>
  <c r="T240" i="12"/>
  <c r="U240" i="12"/>
  <c r="D241" i="12"/>
  <c r="J241" i="12"/>
  <c r="K241" i="12"/>
  <c r="L241" i="12"/>
  <c r="B242" i="12"/>
  <c r="C242" i="12" a="1"/>
  <c r="C242" i="12"/>
  <c r="D242" i="12"/>
  <c r="E242" i="12"/>
  <c r="F242" i="12"/>
  <c r="I242" i="12" s="1"/>
  <c r="M242" i="12" s="1"/>
  <c r="G242" i="12" s="1"/>
  <c r="H242" i="12"/>
  <c r="J242" i="12"/>
  <c r="K242" i="12"/>
  <c r="L242" i="12"/>
  <c r="R242" i="12"/>
  <c r="S242" i="12"/>
  <c r="T242" i="12"/>
  <c r="U242" i="12"/>
  <c r="D243" i="12"/>
  <c r="J243" i="12"/>
  <c r="K243" i="12"/>
  <c r="L243" i="12"/>
  <c r="B244" i="12"/>
  <c r="C244" i="12" a="1"/>
  <c r="C244" i="12" s="1"/>
  <c r="D244" i="12"/>
  <c r="E244" i="12"/>
  <c r="F244" i="12"/>
  <c r="H244" i="12" s="1"/>
  <c r="J244" i="12"/>
  <c r="K244" i="12"/>
  <c r="L244" i="12"/>
  <c r="L245" i="12" s="1"/>
  <c r="R244" i="12"/>
  <c r="S244" i="12"/>
  <c r="T244" i="12"/>
  <c r="U244" i="12"/>
  <c r="D245" i="12"/>
  <c r="J245" i="12"/>
  <c r="K245" i="12"/>
  <c r="B246" i="12"/>
  <c r="C246" i="12" a="1"/>
  <c r="C246" i="12"/>
  <c r="D246" i="12"/>
  <c r="E246" i="12"/>
  <c r="F246" i="12"/>
  <c r="J246" i="12"/>
  <c r="K246" i="12"/>
  <c r="K247" i="12" s="1"/>
  <c r="L246" i="12"/>
  <c r="R246" i="12"/>
  <c r="S246" i="12"/>
  <c r="T246" i="12"/>
  <c r="U246" i="12"/>
  <c r="D247" i="12"/>
  <c r="J247" i="12"/>
  <c r="L247" i="12"/>
  <c r="B248" i="12"/>
  <c r="C248" i="12" a="1"/>
  <c r="C248" i="12" s="1"/>
  <c r="D248" i="12"/>
  <c r="E248" i="12"/>
  <c r="F248" i="12"/>
  <c r="J248" i="12"/>
  <c r="J249" i="12" s="1"/>
  <c r="K248" i="12"/>
  <c r="L248" i="12"/>
  <c r="L249" i="12" s="1"/>
  <c r="R248" i="12"/>
  <c r="S248" i="12"/>
  <c r="T248" i="12"/>
  <c r="U248" i="12"/>
  <c r="D249" i="12"/>
  <c r="K249" i="12"/>
  <c r="B250" i="12"/>
  <c r="C250" i="12" a="1"/>
  <c r="C250" i="12"/>
  <c r="D250" i="12"/>
  <c r="E250" i="12"/>
  <c r="F250" i="12"/>
  <c r="H250" i="12" s="1"/>
  <c r="I250" i="12"/>
  <c r="J250" i="12"/>
  <c r="K250" i="12"/>
  <c r="K251" i="12" s="1"/>
  <c r="L250" i="12"/>
  <c r="R250" i="12"/>
  <c r="S250" i="12"/>
  <c r="T250" i="12"/>
  <c r="U250" i="12"/>
  <c r="D251" i="12"/>
  <c r="J251" i="12"/>
  <c r="L251" i="12"/>
  <c r="B252" i="12"/>
  <c r="C252" i="12" a="1"/>
  <c r="C252" i="12"/>
  <c r="D252" i="12"/>
  <c r="E252" i="12"/>
  <c r="F252" i="12"/>
  <c r="I252" i="12" s="1"/>
  <c r="H252" i="12"/>
  <c r="M252" i="12" s="1"/>
  <c r="J252" i="12"/>
  <c r="J253" i="12" s="1"/>
  <c r="K252" i="12"/>
  <c r="L252" i="12"/>
  <c r="L253" i="12" s="1"/>
  <c r="R252" i="12"/>
  <c r="S252" i="12"/>
  <c r="T252" i="12"/>
  <c r="U252" i="12"/>
  <c r="D253" i="12"/>
  <c r="K253" i="12"/>
  <c r="B254" i="12"/>
  <c r="C254" i="12" a="1"/>
  <c r="C254" i="12" s="1"/>
  <c r="D254" i="12"/>
  <c r="E254" i="12"/>
  <c r="F254" i="12"/>
  <c r="G254" i="12"/>
  <c r="H254" i="12"/>
  <c r="I254" i="12"/>
  <c r="J254" i="12"/>
  <c r="K254" i="12"/>
  <c r="K255" i="12" s="1"/>
  <c r="L254" i="12"/>
  <c r="R254" i="12"/>
  <c r="S254" i="12"/>
  <c r="T254" i="12"/>
  <c r="U254" i="12"/>
  <c r="D255" i="12"/>
  <c r="J255" i="12"/>
  <c r="M254" i="12" s="1"/>
  <c r="L255" i="12"/>
  <c r="B256" i="12"/>
  <c r="C256" i="12" a="1"/>
  <c r="C256" i="12" s="1"/>
  <c r="D256" i="12"/>
  <c r="E256" i="12"/>
  <c r="F256" i="12"/>
  <c r="J256" i="12"/>
  <c r="J257" i="12" s="1"/>
  <c r="K256" i="12"/>
  <c r="L256" i="12"/>
  <c r="L257" i="12" s="1"/>
  <c r="R256" i="12"/>
  <c r="S256" i="12"/>
  <c r="T256" i="12"/>
  <c r="U256" i="12"/>
  <c r="D257" i="12"/>
  <c r="K257" i="12"/>
  <c r="B258" i="12"/>
  <c r="C258" i="12" a="1"/>
  <c r="C258" i="12"/>
  <c r="D258" i="12"/>
  <c r="E258" i="12"/>
  <c r="F258" i="12"/>
  <c r="H258" i="12"/>
  <c r="I258" i="12"/>
  <c r="J258" i="12"/>
  <c r="K258" i="12"/>
  <c r="K259" i="12" s="1"/>
  <c r="L258" i="12"/>
  <c r="M258" i="12"/>
  <c r="G258" i="12" s="1"/>
  <c r="R258" i="12"/>
  <c r="S258" i="12"/>
  <c r="T258" i="12"/>
  <c r="U258" i="12"/>
  <c r="D259" i="12"/>
  <c r="J259" i="12"/>
  <c r="L259" i="12"/>
  <c r="B260" i="12"/>
  <c r="C260" i="12" a="1"/>
  <c r="C260" i="12" s="1"/>
  <c r="D260" i="12"/>
  <c r="E260" i="12"/>
  <c r="F260" i="12"/>
  <c r="I260" i="12" s="1"/>
  <c r="H260" i="12"/>
  <c r="J260" i="12"/>
  <c r="J261" i="12" s="1"/>
  <c r="K260" i="12"/>
  <c r="L260" i="12"/>
  <c r="L261" i="12" s="1"/>
  <c r="R260" i="12"/>
  <c r="S260" i="12"/>
  <c r="T260" i="12"/>
  <c r="U260" i="12"/>
  <c r="D261" i="12"/>
  <c r="K261" i="12"/>
  <c r="B262" i="12"/>
  <c r="C262" i="12" a="1"/>
  <c r="C262" i="12"/>
  <c r="D262" i="12"/>
  <c r="E262" i="12"/>
  <c r="F262" i="12"/>
  <c r="H262" i="12" s="1"/>
  <c r="M262" i="12" s="1"/>
  <c r="G262" i="12" s="1"/>
  <c r="I262" i="12"/>
  <c r="J262" i="12"/>
  <c r="K262" i="12"/>
  <c r="K263" i="12" s="1"/>
  <c r="L262" i="12"/>
  <c r="R262" i="12"/>
  <c r="S262" i="12"/>
  <c r="T262" i="12"/>
  <c r="U262" i="12"/>
  <c r="D263" i="12"/>
  <c r="J263" i="12"/>
  <c r="L263" i="12"/>
  <c r="B264" i="12"/>
  <c r="C264" i="12" a="1"/>
  <c r="C264" i="12" s="1"/>
  <c r="D264" i="12"/>
  <c r="E264" i="12"/>
  <c r="F264" i="12"/>
  <c r="H264" i="12"/>
  <c r="J264" i="12"/>
  <c r="J265" i="12" s="1"/>
  <c r="K264" i="12"/>
  <c r="L264" i="12"/>
  <c r="L265" i="12" s="1"/>
  <c r="R264" i="12"/>
  <c r="S264" i="12"/>
  <c r="T264" i="12"/>
  <c r="U264" i="12"/>
  <c r="D265" i="12"/>
  <c r="K265" i="12"/>
  <c r="B266" i="12"/>
  <c r="C266" i="12" a="1"/>
  <c r="C266" i="12"/>
  <c r="D266" i="12"/>
  <c r="E266" i="12"/>
  <c r="F266" i="12"/>
  <c r="H266" i="12" s="1"/>
  <c r="I266" i="12"/>
  <c r="J266" i="12"/>
  <c r="K266" i="12"/>
  <c r="K267" i="12" s="1"/>
  <c r="L266" i="12"/>
  <c r="R266" i="12"/>
  <c r="S266" i="12"/>
  <c r="T266" i="12"/>
  <c r="U266" i="12"/>
  <c r="D267" i="12"/>
  <c r="J267" i="12"/>
  <c r="L267" i="12"/>
  <c r="B268" i="12"/>
  <c r="C268" i="12" a="1"/>
  <c r="C268" i="12"/>
  <c r="D268" i="12"/>
  <c r="E268" i="12"/>
  <c r="F268" i="12"/>
  <c r="H268" i="12" s="1"/>
  <c r="J268" i="12"/>
  <c r="J269" i="12" s="1"/>
  <c r="K268" i="12"/>
  <c r="L268" i="12"/>
  <c r="L269" i="12" s="1"/>
  <c r="R268" i="12"/>
  <c r="S268" i="12"/>
  <c r="T268" i="12"/>
  <c r="U268" i="12"/>
  <c r="D269" i="12"/>
  <c r="K269" i="12"/>
  <c r="B270" i="12"/>
  <c r="C270" i="12" a="1"/>
  <c r="C270" i="12"/>
  <c r="D270" i="12"/>
  <c r="E270" i="12"/>
  <c r="F270" i="12"/>
  <c r="H270" i="12"/>
  <c r="I270" i="12"/>
  <c r="J270" i="12"/>
  <c r="K270" i="12"/>
  <c r="K271" i="12" s="1"/>
  <c r="L270" i="12"/>
  <c r="R270" i="12"/>
  <c r="S270" i="12"/>
  <c r="T270" i="12"/>
  <c r="U270" i="12"/>
  <c r="D271" i="12"/>
  <c r="J271" i="12"/>
  <c r="M270" i="12" s="1"/>
  <c r="G270" i="12" s="1"/>
  <c r="L271" i="12"/>
  <c r="B272" i="12"/>
  <c r="C272" i="12" a="1"/>
  <c r="C272" i="12" s="1"/>
  <c r="D272" i="12"/>
  <c r="E272" i="12"/>
  <c r="F272" i="12"/>
  <c r="J272" i="12"/>
  <c r="J273" i="12" s="1"/>
  <c r="K272" i="12"/>
  <c r="L272" i="12"/>
  <c r="L273" i="12" s="1"/>
  <c r="R272" i="12"/>
  <c r="S272" i="12"/>
  <c r="T272" i="12"/>
  <c r="U272" i="12"/>
  <c r="D273" i="12"/>
  <c r="K273" i="12"/>
  <c r="B274" i="12"/>
  <c r="C274" i="12" a="1"/>
  <c r="C274" i="12"/>
  <c r="D274" i="12"/>
  <c r="E274" i="12"/>
  <c r="F274" i="12"/>
  <c r="H274" i="12"/>
  <c r="I274" i="12"/>
  <c r="J274" i="12"/>
  <c r="K274" i="12"/>
  <c r="K275" i="12" s="1"/>
  <c r="L274" i="12"/>
  <c r="R274" i="12"/>
  <c r="S274" i="12"/>
  <c r="T274" i="12"/>
  <c r="U274" i="12"/>
  <c r="D275" i="12"/>
  <c r="J275" i="12"/>
  <c r="L275" i="12"/>
  <c r="M274" i="12" s="1"/>
  <c r="G274" i="12" s="1"/>
  <c r="B276" i="12"/>
  <c r="C276" i="12" a="1"/>
  <c r="C276" i="12" s="1"/>
  <c r="D276" i="12"/>
  <c r="E276" i="12"/>
  <c r="F276" i="12"/>
  <c r="I276" i="12" s="1"/>
  <c r="H276" i="12"/>
  <c r="J276" i="12"/>
  <c r="J277" i="12" s="1"/>
  <c r="K276" i="12"/>
  <c r="L276" i="12"/>
  <c r="L277" i="12" s="1"/>
  <c r="R276" i="12"/>
  <c r="S276" i="12"/>
  <c r="T276" i="12"/>
  <c r="U276" i="12"/>
  <c r="D277" i="12"/>
  <c r="K277" i="12"/>
  <c r="B278" i="12"/>
  <c r="C278" i="12" a="1"/>
  <c r="C278" i="12"/>
  <c r="D278" i="12"/>
  <c r="E278" i="12"/>
  <c r="F278" i="12"/>
  <c r="H278" i="12" s="1"/>
  <c r="M278" i="12" s="1"/>
  <c r="G278" i="12" s="1"/>
  <c r="I278" i="12"/>
  <c r="J278" i="12"/>
  <c r="K278" i="12"/>
  <c r="K279" i="12" s="1"/>
  <c r="L278" i="12"/>
  <c r="R278" i="12"/>
  <c r="S278" i="12"/>
  <c r="T278" i="12"/>
  <c r="U278" i="12"/>
  <c r="D279" i="12"/>
  <c r="J279" i="12"/>
  <c r="L279" i="12"/>
  <c r="B280" i="12"/>
  <c r="C280" i="12" a="1"/>
  <c r="C280" i="12" s="1"/>
  <c r="D280" i="12"/>
  <c r="E280" i="12"/>
  <c r="F280" i="12"/>
  <c r="H280" i="12"/>
  <c r="J280" i="12"/>
  <c r="J281" i="12" s="1"/>
  <c r="K280" i="12"/>
  <c r="L280" i="12"/>
  <c r="L281" i="12" s="1"/>
  <c r="R280" i="12"/>
  <c r="S280" i="12"/>
  <c r="T280" i="12"/>
  <c r="U280" i="12"/>
  <c r="D281" i="12"/>
  <c r="K281" i="12"/>
  <c r="B282" i="12"/>
  <c r="C282" i="12" a="1"/>
  <c r="C282" i="12"/>
  <c r="D282" i="12"/>
  <c r="E282" i="12"/>
  <c r="F282" i="12"/>
  <c r="H282" i="12" s="1"/>
  <c r="I282" i="12"/>
  <c r="M282" i="12" s="1"/>
  <c r="G282" i="12" s="1"/>
  <c r="J282" i="12"/>
  <c r="K282" i="12"/>
  <c r="K283" i="12" s="1"/>
  <c r="L282" i="12"/>
  <c r="L283" i="12" s="1"/>
  <c r="R282" i="12"/>
  <c r="S282" i="12"/>
  <c r="T282" i="12"/>
  <c r="U282" i="12"/>
  <c r="D283" i="12"/>
  <c r="J283" i="12"/>
  <c r="B284" i="12"/>
  <c r="C284" i="12" a="1"/>
  <c r="C284" i="12"/>
  <c r="D284" i="12"/>
  <c r="E284" i="12"/>
  <c r="F284" i="12"/>
  <c r="H284" i="12"/>
  <c r="J284" i="12"/>
  <c r="J285" i="12" s="1"/>
  <c r="K284" i="12"/>
  <c r="L284" i="12"/>
  <c r="L285" i="12" s="1"/>
  <c r="R284" i="12"/>
  <c r="S284" i="12"/>
  <c r="T284" i="12"/>
  <c r="U284" i="12"/>
  <c r="D285" i="12"/>
  <c r="K285" i="12"/>
  <c r="B286" i="12"/>
  <c r="C286" i="12" a="1"/>
  <c r="C286" i="12" s="1"/>
  <c r="D286" i="12"/>
  <c r="E286" i="12"/>
  <c r="F286" i="12"/>
  <c r="H286" i="12"/>
  <c r="I286" i="12"/>
  <c r="J286" i="12"/>
  <c r="K286" i="12"/>
  <c r="L286" i="12"/>
  <c r="L287" i="12" s="1"/>
  <c r="M286" i="12"/>
  <c r="G286" i="12" s="1"/>
  <c r="R286" i="12"/>
  <c r="S286" i="12"/>
  <c r="T286" i="12"/>
  <c r="U286" i="12"/>
  <c r="D287" i="12"/>
  <c r="J287" i="12"/>
  <c r="K287" i="12"/>
  <c r="B288" i="12"/>
  <c r="C288" i="12" a="1"/>
  <c r="C288" i="12"/>
  <c r="D288" i="12"/>
  <c r="E288" i="12"/>
  <c r="F288" i="12"/>
  <c r="J288" i="12"/>
  <c r="K288" i="12"/>
  <c r="K289" i="12" s="1"/>
  <c r="L288" i="12"/>
  <c r="L289" i="12" s="1"/>
  <c r="R288" i="12"/>
  <c r="S288" i="12"/>
  <c r="T288" i="12"/>
  <c r="U288" i="12"/>
  <c r="D289" i="12"/>
  <c r="J289" i="12"/>
  <c r="B290" i="12"/>
  <c r="C290" i="12" a="1"/>
  <c r="C290" i="12" s="1"/>
  <c r="D290" i="12"/>
  <c r="E290" i="12"/>
  <c r="F290" i="12"/>
  <c r="H290" i="12" s="1"/>
  <c r="J290" i="12"/>
  <c r="J291" i="12" s="1"/>
  <c r="K290" i="12"/>
  <c r="K291" i="12" s="1"/>
  <c r="L290" i="12"/>
  <c r="R290" i="12"/>
  <c r="S290" i="12"/>
  <c r="T290" i="12"/>
  <c r="U290" i="12"/>
  <c r="D291" i="12"/>
  <c r="L291" i="12"/>
  <c r="B292" i="12"/>
  <c r="C292" i="12" a="1"/>
  <c r="C292" i="12" s="1"/>
  <c r="D292" i="12"/>
  <c r="E292" i="12"/>
  <c r="F292" i="12"/>
  <c r="I292" i="12"/>
  <c r="J292" i="12"/>
  <c r="J293" i="12" s="1"/>
  <c r="K292" i="12"/>
  <c r="L292" i="12"/>
  <c r="R292" i="12"/>
  <c r="S292" i="12"/>
  <c r="T292" i="12"/>
  <c r="U292" i="12"/>
  <c r="D293" i="12"/>
  <c r="K293" i="12"/>
  <c r="L293" i="12"/>
  <c r="B294" i="12"/>
  <c r="C294" i="12" a="1"/>
  <c r="C294" i="12"/>
  <c r="D294" i="12"/>
  <c r="E294" i="12"/>
  <c r="F294" i="12"/>
  <c r="H294" i="12"/>
  <c r="I294" i="12"/>
  <c r="J294" i="12"/>
  <c r="K294" i="12"/>
  <c r="L294" i="12"/>
  <c r="R294" i="12"/>
  <c r="S294" i="12"/>
  <c r="T294" i="12"/>
  <c r="U294" i="12"/>
  <c r="D295" i="12"/>
  <c r="J295" i="12"/>
  <c r="K295" i="12"/>
  <c r="L295" i="12"/>
  <c r="B296" i="12"/>
  <c r="C296" i="12" a="1"/>
  <c r="C296" i="12" s="1"/>
  <c r="D296" i="12"/>
  <c r="E296" i="12"/>
  <c r="F296" i="12"/>
  <c r="I296" i="12" s="1"/>
  <c r="H296" i="12"/>
  <c r="J296" i="12"/>
  <c r="K296" i="12"/>
  <c r="L296" i="12"/>
  <c r="L297" i="12" s="1"/>
  <c r="R296" i="12"/>
  <c r="S296" i="12"/>
  <c r="T296" i="12"/>
  <c r="U296" i="12"/>
  <c r="D297" i="12"/>
  <c r="J297" i="12"/>
  <c r="K297" i="12"/>
  <c r="B298" i="12"/>
  <c r="C298" i="12" a="1"/>
  <c r="C298" i="12"/>
  <c r="D298" i="12"/>
  <c r="E298" i="12"/>
  <c r="F298" i="12"/>
  <c r="J298" i="12"/>
  <c r="K298" i="12"/>
  <c r="K299" i="12" s="1"/>
  <c r="L298" i="12"/>
  <c r="R298" i="12"/>
  <c r="S298" i="12"/>
  <c r="T298" i="12"/>
  <c r="U298" i="12"/>
  <c r="D299" i="12"/>
  <c r="J299" i="12"/>
  <c r="L299" i="12"/>
  <c r="B300" i="12"/>
  <c r="C300" i="12" a="1"/>
  <c r="C300" i="12" s="1"/>
  <c r="D300" i="12"/>
  <c r="E300" i="12"/>
  <c r="F300" i="12"/>
  <c r="J300" i="12"/>
  <c r="J301" i="12" s="1"/>
  <c r="K300" i="12"/>
  <c r="L300" i="12"/>
  <c r="R300" i="12"/>
  <c r="S300" i="12"/>
  <c r="T300" i="12"/>
  <c r="U300" i="12"/>
  <c r="D301" i="12"/>
  <c r="K301" i="12"/>
  <c r="L301" i="12"/>
  <c r="B302" i="12"/>
  <c r="C302" i="12" a="1"/>
  <c r="C302" i="12" s="1"/>
  <c r="D302" i="12"/>
  <c r="E302" i="12"/>
  <c r="F302" i="12"/>
  <c r="H302" i="12"/>
  <c r="I302" i="12"/>
  <c r="J302" i="12"/>
  <c r="K302" i="12"/>
  <c r="L302" i="12"/>
  <c r="L303" i="12" s="1"/>
  <c r="M302" i="12" s="1"/>
  <c r="G302" i="12" s="1"/>
  <c r="R302" i="12"/>
  <c r="S302" i="12"/>
  <c r="T302" i="12"/>
  <c r="U302" i="12"/>
  <c r="D303" i="12"/>
  <c r="J303" i="12"/>
  <c r="K303" i="12"/>
  <c r="B304" i="12"/>
  <c r="C304" i="12" a="1"/>
  <c r="C304" i="12"/>
  <c r="D304" i="12"/>
  <c r="E304" i="12"/>
  <c r="F304" i="12"/>
  <c r="J304" i="12"/>
  <c r="K304" i="12"/>
  <c r="K305" i="12" s="1"/>
  <c r="L304" i="12"/>
  <c r="L305" i="12" s="1"/>
  <c r="R304" i="12"/>
  <c r="S304" i="12"/>
  <c r="T304" i="12"/>
  <c r="U304" i="12"/>
  <c r="D305" i="12"/>
  <c r="J305" i="12"/>
  <c r="B306" i="12"/>
  <c r="C306" i="12" a="1"/>
  <c r="C306" i="12" s="1"/>
  <c r="D306" i="12"/>
  <c r="E306" i="12"/>
  <c r="F306" i="12"/>
  <c r="H306" i="12" s="1"/>
  <c r="J306" i="12"/>
  <c r="J307" i="12" s="1"/>
  <c r="K306" i="12"/>
  <c r="K307" i="12" s="1"/>
  <c r="L306" i="12"/>
  <c r="R306" i="12"/>
  <c r="S306" i="12"/>
  <c r="T306" i="12"/>
  <c r="U306" i="12"/>
  <c r="D307" i="12"/>
  <c r="L307" i="12"/>
  <c r="B308" i="12"/>
  <c r="C308" i="12" a="1"/>
  <c r="C308" i="12" s="1"/>
  <c r="D308" i="12"/>
  <c r="E308" i="12"/>
  <c r="F308" i="12"/>
  <c r="I308" i="12"/>
  <c r="J308" i="12"/>
  <c r="J309" i="12" s="1"/>
  <c r="K308" i="12"/>
  <c r="L308" i="12"/>
  <c r="R308" i="12"/>
  <c r="S308" i="12"/>
  <c r="T308" i="12"/>
  <c r="U308" i="12"/>
  <c r="D309" i="12"/>
  <c r="K309" i="12"/>
  <c r="L309" i="12"/>
  <c r="B310" i="12"/>
  <c r="C310" i="12" a="1"/>
  <c r="C310" i="12"/>
  <c r="D310" i="12"/>
  <c r="E310" i="12"/>
  <c r="F310" i="12"/>
  <c r="H310" i="12"/>
  <c r="I310" i="12"/>
  <c r="J310" i="12"/>
  <c r="K310" i="12"/>
  <c r="L310" i="12"/>
  <c r="R310" i="12"/>
  <c r="S310" i="12"/>
  <c r="T310" i="12"/>
  <c r="U310" i="12"/>
  <c r="D311" i="12"/>
  <c r="J311" i="12"/>
  <c r="K311" i="12"/>
  <c r="L311" i="12"/>
  <c r="B312" i="12"/>
  <c r="C312" i="12" a="1"/>
  <c r="C312" i="12" s="1"/>
  <c r="D312" i="12"/>
  <c r="E312" i="12"/>
  <c r="F312" i="12"/>
  <c r="I312" i="12" s="1"/>
  <c r="H312" i="12"/>
  <c r="M312" i="12" s="1"/>
  <c r="G312" i="12" s="1"/>
  <c r="J312" i="12"/>
  <c r="K312" i="12"/>
  <c r="L312" i="12"/>
  <c r="L313" i="12" s="1"/>
  <c r="R312" i="12"/>
  <c r="S312" i="12"/>
  <c r="T312" i="12"/>
  <c r="U312" i="12"/>
  <c r="D313" i="12"/>
  <c r="J313" i="12"/>
  <c r="K313" i="12"/>
  <c r="B314" i="12"/>
  <c r="C314" i="12" a="1"/>
  <c r="C314" i="12"/>
  <c r="D314" i="12"/>
  <c r="E314" i="12"/>
  <c r="F314" i="12"/>
  <c r="J314" i="12"/>
  <c r="K314" i="12"/>
  <c r="K315" i="12" s="1"/>
  <c r="L314" i="12"/>
  <c r="R314" i="12"/>
  <c r="S314" i="12"/>
  <c r="T314" i="12"/>
  <c r="U314" i="12"/>
  <c r="D315" i="12"/>
  <c r="J315" i="12"/>
  <c r="L315" i="12"/>
  <c r="B316" i="12"/>
  <c r="C316" i="12" a="1"/>
  <c r="C316" i="12" s="1"/>
  <c r="D316" i="12"/>
  <c r="E316" i="12"/>
  <c r="F316" i="12"/>
  <c r="J316" i="12"/>
  <c r="J317" i="12" s="1"/>
  <c r="K316" i="12"/>
  <c r="L316" i="12"/>
  <c r="R316" i="12"/>
  <c r="S316" i="12"/>
  <c r="T316" i="12"/>
  <c r="U316" i="12"/>
  <c r="D317" i="12"/>
  <c r="K317" i="12"/>
  <c r="L317" i="12"/>
  <c r="B318" i="12"/>
  <c r="C318" i="12" a="1"/>
  <c r="C318" i="12"/>
  <c r="D318" i="12"/>
  <c r="E318" i="12"/>
  <c r="F318" i="12"/>
  <c r="H318" i="12"/>
  <c r="I318" i="12"/>
  <c r="J318" i="12"/>
  <c r="K318" i="12"/>
  <c r="L318" i="12"/>
  <c r="L319" i="12" s="1"/>
  <c r="M318" i="12"/>
  <c r="G318" i="12" s="1"/>
  <c r="R318" i="12"/>
  <c r="S318" i="12"/>
  <c r="T318" i="12"/>
  <c r="U318" i="12"/>
  <c r="D319" i="12"/>
  <c r="J319" i="12"/>
  <c r="K319" i="12"/>
  <c r="B320" i="12"/>
  <c r="C320" i="12" a="1"/>
  <c r="C320" i="12"/>
  <c r="D320" i="12"/>
  <c r="E320" i="12"/>
  <c r="F320" i="12"/>
  <c r="J320" i="12"/>
  <c r="K320" i="12"/>
  <c r="K321" i="12" s="1"/>
  <c r="L320" i="12"/>
  <c r="L321" i="12" s="1"/>
  <c r="R320" i="12"/>
  <c r="S320" i="12"/>
  <c r="T320" i="12"/>
  <c r="U320" i="12"/>
  <c r="D321" i="12"/>
  <c r="J321" i="12"/>
  <c r="B322" i="12"/>
  <c r="C322" i="12" a="1"/>
  <c r="C322" i="12" s="1"/>
  <c r="D322" i="12"/>
  <c r="E322" i="12"/>
  <c r="F322" i="12"/>
  <c r="H322" i="12" s="1"/>
  <c r="J322" i="12"/>
  <c r="J323" i="12" s="1"/>
  <c r="K322" i="12"/>
  <c r="K323" i="12" s="1"/>
  <c r="L322" i="12"/>
  <c r="R322" i="12"/>
  <c r="S322" i="12"/>
  <c r="T322" i="12"/>
  <c r="U322" i="12"/>
  <c r="D323" i="12"/>
  <c r="L323" i="12"/>
  <c r="B324" i="12"/>
  <c r="C324" i="12" a="1"/>
  <c r="C324" i="12" s="1"/>
  <c r="D324" i="12"/>
  <c r="E324" i="12"/>
  <c r="F324" i="12"/>
  <c r="I324" i="12"/>
  <c r="J324" i="12"/>
  <c r="J325" i="12" s="1"/>
  <c r="K324" i="12"/>
  <c r="L324" i="12"/>
  <c r="R324" i="12"/>
  <c r="S324" i="12"/>
  <c r="T324" i="12"/>
  <c r="U324" i="12"/>
  <c r="D325" i="12"/>
  <c r="K325" i="12"/>
  <c r="L325" i="12"/>
  <c r="B326" i="12"/>
  <c r="C326" i="12" a="1"/>
  <c r="C326" i="12"/>
  <c r="D326" i="12"/>
  <c r="E326" i="12"/>
  <c r="F326" i="12"/>
  <c r="H326" i="12"/>
  <c r="M326" i="12" s="1"/>
  <c r="G326" i="12" s="1"/>
  <c r="I326" i="12"/>
  <c r="J326" i="12"/>
  <c r="K326" i="12"/>
  <c r="L326" i="12"/>
  <c r="R326" i="12"/>
  <c r="S326" i="12"/>
  <c r="T326" i="12"/>
  <c r="U326" i="12"/>
  <c r="D327" i="12"/>
  <c r="J327" i="12"/>
  <c r="K327" i="12"/>
  <c r="L327" i="12"/>
  <c r="B328" i="12"/>
  <c r="C328" i="12" a="1"/>
  <c r="C328" i="12" s="1"/>
  <c r="D328" i="12"/>
  <c r="E328" i="12"/>
  <c r="F328" i="12"/>
  <c r="I328" i="12" s="1"/>
  <c r="H328" i="12"/>
  <c r="J328" i="12"/>
  <c r="K328" i="12"/>
  <c r="L328" i="12"/>
  <c r="L329" i="12" s="1"/>
  <c r="R328" i="12"/>
  <c r="S328" i="12"/>
  <c r="T328" i="12"/>
  <c r="U328" i="12"/>
  <c r="D329" i="12"/>
  <c r="J329" i="12"/>
  <c r="K329" i="12"/>
  <c r="B330" i="12"/>
  <c r="C330" i="12" a="1"/>
  <c r="C330" i="12"/>
  <c r="D330" i="12"/>
  <c r="E330" i="12"/>
  <c r="F330" i="12"/>
  <c r="J330" i="12"/>
  <c r="K330" i="12"/>
  <c r="K331" i="12" s="1"/>
  <c r="L330" i="12"/>
  <c r="R330" i="12"/>
  <c r="S330" i="12"/>
  <c r="T330" i="12"/>
  <c r="U330" i="12"/>
  <c r="D331" i="12"/>
  <c r="J331" i="12"/>
  <c r="L331" i="12"/>
  <c r="B332" i="12"/>
  <c r="C332" i="12" a="1"/>
  <c r="C332" i="12" s="1"/>
  <c r="D332" i="12"/>
  <c r="E332" i="12"/>
  <c r="F332" i="12"/>
  <c r="J332" i="12"/>
  <c r="J333" i="12" s="1"/>
  <c r="K332" i="12"/>
  <c r="L332" i="12"/>
  <c r="R332" i="12"/>
  <c r="S332" i="12"/>
  <c r="T332" i="12"/>
  <c r="U332" i="12"/>
  <c r="D333" i="12"/>
  <c r="K333" i="12"/>
  <c r="L333" i="12"/>
  <c r="B334" i="12"/>
  <c r="C334" i="12" a="1"/>
  <c r="C334" i="12"/>
  <c r="D334" i="12"/>
  <c r="E334" i="12"/>
  <c r="F334" i="12"/>
  <c r="H334" i="12"/>
  <c r="I334" i="12"/>
  <c r="J334" i="12"/>
  <c r="K334" i="12"/>
  <c r="L334" i="12"/>
  <c r="L335" i="12" s="1"/>
  <c r="M334" i="12" s="1"/>
  <c r="G334" i="12" s="1"/>
  <c r="R334" i="12"/>
  <c r="S334" i="12"/>
  <c r="T334" i="12"/>
  <c r="U334" i="12"/>
  <c r="D335" i="12"/>
  <c r="J335" i="12"/>
  <c r="K335" i="12"/>
  <c r="B336" i="12"/>
  <c r="C336" i="12" a="1"/>
  <c r="C336" i="12"/>
  <c r="D336" i="12"/>
  <c r="E336" i="12"/>
  <c r="F336" i="12"/>
  <c r="J336" i="12"/>
  <c r="K336" i="12"/>
  <c r="K337" i="12" s="1"/>
  <c r="L336" i="12"/>
  <c r="L337" i="12" s="1"/>
  <c r="R336" i="12"/>
  <c r="S336" i="12"/>
  <c r="T336" i="12"/>
  <c r="U336" i="12"/>
  <c r="D337" i="12"/>
  <c r="J337" i="12"/>
  <c r="B338" i="12"/>
  <c r="C338" i="12" a="1"/>
  <c r="C338" i="12" s="1"/>
  <c r="D338" i="12"/>
  <c r="E338" i="12"/>
  <c r="F338" i="12"/>
  <c r="H338" i="12" s="1"/>
  <c r="J338" i="12"/>
  <c r="J339" i="12" s="1"/>
  <c r="K338" i="12"/>
  <c r="K339" i="12" s="1"/>
  <c r="L338" i="12"/>
  <c r="R338" i="12"/>
  <c r="S338" i="12"/>
  <c r="T338" i="12"/>
  <c r="U338" i="12"/>
  <c r="D339" i="12"/>
  <c r="L339" i="12"/>
  <c r="B340" i="12"/>
  <c r="C340" i="12" a="1"/>
  <c r="C340" i="12" s="1"/>
  <c r="D340" i="12"/>
  <c r="E340" i="12"/>
  <c r="F340" i="12"/>
  <c r="I340" i="12"/>
  <c r="J340" i="12"/>
  <c r="J341" i="12" s="1"/>
  <c r="K340" i="12"/>
  <c r="L340" i="12"/>
  <c r="R340" i="12"/>
  <c r="S340" i="12"/>
  <c r="T340" i="12"/>
  <c r="U340" i="12"/>
  <c r="D341" i="12"/>
  <c r="K341" i="12"/>
  <c r="L341" i="12"/>
  <c r="B342" i="12"/>
  <c r="C342" i="12" a="1"/>
  <c r="C342" i="12"/>
  <c r="D342" i="12"/>
  <c r="E342" i="12"/>
  <c r="F342" i="12"/>
  <c r="H342" i="12"/>
  <c r="I342" i="12"/>
  <c r="J342" i="12"/>
  <c r="K342" i="12"/>
  <c r="L342" i="12"/>
  <c r="R342" i="12"/>
  <c r="S342" i="12"/>
  <c r="T342" i="12"/>
  <c r="U342" i="12"/>
  <c r="D343" i="12"/>
  <c r="J343" i="12"/>
  <c r="K343" i="12"/>
  <c r="L343" i="12"/>
  <c r="B344" i="12"/>
  <c r="C344" i="12" a="1"/>
  <c r="C344" i="12" s="1"/>
  <c r="D344" i="12"/>
  <c r="E344" i="12"/>
  <c r="F344" i="12"/>
  <c r="I344" i="12" s="1"/>
  <c r="H344" i="12"/>
  <c r="J344" i="12"/>
  <c r="K344" i="12"/>
  <c r="L344" i="12"/>
  <c r="L345" i="12" s="1"/>
  <c r="R344" i="12"/>
  <c r="S344" i="12"/>
  <c r="T344" i="12"/>
  <c r="U344" i="12"/>
  <c r="D345" i="12"/>
  <c r="J345" i="12"/>
  <c r="K345" i="12"/>
  <c r="B346" i="12"/>
  <c r="C346" i="12" a="1"/>
  <c r="C346" i="12"/>
  <c r="D346" i="12"/>
  <c r="E346" i="12"/>
  <c r="F346" i="12"/>
  <c r="J346" i="12"/>
  <c r="K346" i="12"/>
  <c r="K347" i="12" s="1"/>
  <c r="L346" i="12"/>
  <c r="R346" i="12"/>
  <c r="S346" i="12"/>
  <c r="T346" i="12"/>
  <c r="U346" i="12"/>
  <c r="D347" i="12"/>
  <c r="J347" i="12"/>
  <c r="L347" i="12"/>
  <c r="B348" i="12"/>
  <c r="C348" i="12" a="1"/>
  <c r="C348" i="12" s="1"/>
  <c r="D348" i="12"/>
  <c r="E348" i="12"/>
  <c r="F348" i="12"/>
  <c r="J348" i="12"/>
  <c r="J349" i="12" s="1"/>
  <c r="K348" i="12"/>
  <c r="L348" i="12"/>
  <c r="R348" i="12"/>
  <c r="S348" i="12"/>
  <c r="T348" i="12"/>
  <c r="U348" i="12"/>
  <c r="D349" i="12"/>
  <c r="K349" i="12"/>
  <c r="L349" i="12"/>
  <c r="B350" i="12"/>
  <c r="C350" i="12" a="1"/>
  <c r="C350" i="12"/>
  <c r="D350" i="12"/>
  <c r="E350" i="12"/>
  <c r="F350" i="12"/>
  <c r="H350" i="12"/>
  <c r="I350" i="12"/>
  <c r="J350" i="12"/>
  <c r="K350" i="12"/>
  <c r="L350" i="12"/>
  <c r="L351" i="12" s="1"/>
  <c r="M350" i="12"/>
  <c r="G350" i="12" s="1"/>
  <c r="R350" i="12"/>
  <c r="S350" i="12"/>
  <c r="T350" i="12"/>
  <c r="U350" i="12"/>
  <c r="D351" i="12"/>
  <c r="J351" i="12"/>
  <c r="K351" i="12"/>
  <c r="B352" i="12"/>
  <c r="C352" i="12" a="1"/>
  <c r="C352" i="12"/>
  <c r="D352" i="12"/>
  <c r="E352" i="12"/>
  <c r="F352" i="12"/>
  <c r="J352" i="12"/>
  <c r="K352" i="12"/>
  <c r="K353" i="12" s="1"/>
  <c r="L352" i="12"/>
  <c r="L353" i="12" s="1"/>
  <c r="R352" i="12"/>
  <c r="S352" i="12"/>
  <c r="T352" i="12"/>
  <c r="U352" i="12"/>
  <c r="D353" i="12"/>
  <c r="J353" i="12"/>
  <c r="B354" i="12"/>
  <c r="C354" i="12" a="1"/>
  <c r="C354" i="12"/>
  <c r="D354" i="12"/>
  <c r="E354" i="12"/>
  <c r="F354" i="12"/>
  <c r="J354" i="12"/>
  <c r="J355" i="12" s="1"/>
  <c r="K354" i="12"/>
  <c r="K355" i="12" s="1"/>
  <c r="L354" i="12"/>
  <c r="R354" i="12"/>
  <c r="S354" i="12"/>
  <c r="T354" i="12"/>
  <c r="U354" i="12"/>
  <c r="D355" i="12"/>
  <c r="L355" i="12"/>
  <c r="B356" i="12"/>
  <c r="C356" i="12" a="1"/>
  <c r="C356" i="12" s="1"/>
  <c r="D356" i="12"/>
  <c r="E356" i="12"/>
  <c r="F356" i="12"/>
  <c r="I356" i="12"/>
  <c r="J356" i="12"/>
  <c r="J357" i="12" s="1"/>
  <c r="K356" i="12"/>
  <c r="L356" i="12"/>
  <c r="R356" i="12"/>
  <c r="S356" i="12"/>
  <c r="T356" i="12"/>
  <c r="U356" i="12"/>
  <c r="D357" i="12"/>
  <c r="K357" i="12"/>
  <c r="L357" i="12"/>
  <c r="B358" i="12"/>
  <c r="C358" i="12" a="1"/>
  <c r="C358" i="12"/>
  <c r="D358" i="12"/>
  <c r="E358" i="12"/>
  <c r="F358" i="12"/>
  <c r="H358" i="12"/>
  <c r="I358" i="12"/>
  <c r="J358" i="12"/>
  <c r="K358" i="12"/>
  <c r="K359" i="12" s="1"/>
  <c r="L358" i="12"/>
  <c r="R358" i="12"/>
  <c r="S358" i="12"/>
  <c r="T358" i="12"/>
  <c r="U358" i="12"/>
  <c r="D359" i="12"/>
  <c r="J359" i="12"/>
  <c r="L359" i="12"/>
  <c r="B360" i="12"/>
  <c r="C360" i="12" a="1"/>
  <c r="C360" i="12"/>
  <c r="D360" i="12"/>
  <c r="E360" i="12"/>
  <c r="F360" i="12"/>
  <c r="I360" i="12" s="1"/>
  <c r="H360" i="12"/>
  <c r="J360" i="12"/>
  <c r="K360" i="12"/>
  <c r="L360" i="12"/>
  <c r="L361" i="12" s="1"/>
  <c r="R360" i="12"/>
  <c r="S360" i="12"/>
  <c r="T360" i="12"/>
  <c r="U360" i="12"/>
  <c r="D361" i="12"/>
  <c r="J361" i="12"/>
  <c r="K361" i="12"/>
  <c r="B362" i="12"/>
  <c r="C362" i="12" a="1"/>
  <c r="C362" i="12" s="1"/>
  <c r="D362" i="12"/>
  <c r="E362" i="12"/>
  <c r="F362" i="12"/>
  <c r="H362" i="12" s="1"/>
  <c r="I362" i="12"/>
  <c r="J362" i="12"/>
  <c r="J363" i="12" s="1"/>
  <c r="K362" i="12"/>
  <c r="K363" i="12" s="1"/>
  <c r="L362" i="12"/>
  <c r="R362" i="12"/>
  <c r="S362" i="12"/>
  <c r="T362" i="12"/>
  <c r="U362" i="12"/>
  <c r="D363" i="12"/>
  <c r="L363" i="12"/>
  <c r="B364" i="12"/>
  <c r="C364" i="12" a="1"/>
  <c r="C364" i="12" s="1"/>
  <c r="D364" i="12"/>
  <c r="E364" i="12"/>
  <c r="F364" i="12"/>
  <c r="H364" i="12" s="1"/>
  <c r="J364" i="12"/>
  <c r="J365" i="12" s="1"/>
  <c r="K364" i="12"/>
  <c r="L364" i="12"/>
  <c r="R364" i="12"/>
  <c r="S364" i="12"/>
  <c r="T364" i="12"/>
  <c r="U364" i="12"/>
  <c r="D365" i="12"/>
  <c r="K365" i="12"/>
  <c r="L365" i="12"/>
  <c r="B366" i="12"/>
  <c r="C366" i="12" a="1"/>
  <c r="C366" i="12"/>
  <c r="D366" i="12"/>
  <c r="E366" i="12"/>
  <c r="F366" i="12"/>
  <c r="H366" i="12"/>
  <c r="I366" i="12"/>
  <c r="J366" i="12"/>
  <c r="K366" i="12"/>
  <c r="L366" i="12"/>
  <c r="R366" i="12"/>
  <c r="S366" i="12"/>
  <c r="T366" i="12"/>
  <c r="U366" i="12"/>
  <c r="D367" i="12"/>
  <c r="J367" i="12"/>
  <c r="K367" i="12"/>
  <c r="L367" i="12"/>
  <c r="B368" i="12"/>
  <c r="C368" i="12" a="1"/>
  <c r="C368" i="12"/>
  <c r="D368" i="12"/>
  <c r="E368" i="12"/>
  <c r="F368" i="12"/>
  <c r="J368" i="12"/>
  <c r="K368" i="12"/>
  <c r="K369" i="12" s="1"/>
  <c r="L368" i="12"/>
  <c r="L369" i="12" s="1"/>
  <c r="R368" i="12"/>
  <c r="S368" i="12"/>
  <c r="T368" i="12"/>
  <c r="U368" i="12"/>
  <c r="D369" i="12"/>
  <c r="J369" i="12"/>
  <c r="B370" i="12"/>
  <c r="C370" i="12" a="1"/>
  <c r="C370" i="12" s="1"/>
  <c r="D370" i="12"/>
  <c r="E370" i="12"/>
  <c r="F370" i="12"/>
  <c r="J370" i="12"/>
  <c r="K370" i="12"/>
  <c r="K371" i="12" s="1"/>
  <c r="L370" i="12"/>
  <c r="R370" i="12"/>
  <c r="S370" i="12"/>
  <c r="T370" i="12"/>
  <c r="U370" i="12"/>
  <c r="D371" i="12"/>
  <c r="J371" i="12"/>
  <c r="L371" i="12"/>
  <c r="B372" i="12"/>
  <c r="C372" i="12" a="1"/>
  <c r="C372" i="12" s="1"/>
  <c r="D372" i="12"/>
  <c r="E372" i="12"/>
  <c r="F372" i="12"/>
  <c r="I372" i="12"/>
  <c r="J372" i="12"/>
  <c r="J373" i="12" s="1"/>
  <c r="K372" i="12"/>
  <c r="L372" i="12"/>
  <c r="L373" i="12" s="1"/>
  <c r="R372" i="12"/>
  <c r="S372" i="12"/>
  <c r="T372" i="12"/>
  <c r="U372" i="12"/>
  <c r="D373" i="12"/>
  <c r="K373" i="12"/>
  <c r="B374" i="12"/>
  <c r="C374" i="12" a="1"/>
  <c r="C374" i="12"/>
  <c r="D374" i="12"/>
  <c r="E374" i="12"/>
  <c r="F374" i="12"/>
  <c r="H374" i="12"/>
  <c r="I374" i="12"/>
  <c r="J374" i="12"/>
  <c r="K374" i="12"/>
  <c r="K375" i="12" s="1"/>
  <c r="L374" i="12"/>
  <c r="L375" i="12" s="1"/>
  <c r="R374" i="12"/>
  <c r="S374" i="12"/>
  <c r="T374" i="12"/>
  <c r="U374" i="12"/>
  <c r="D375" i="12"/>
  <c r="J375" i="12"/>
  <c r="B376" i="12"/>
  <c r="C376" i="12" a="1"/>
  <c r="C376" i="12" s="1"/>
  <c r="D376" i="12"/>
  <c r="E376" i="12"/>
  <c r="F376" i="12"/>
  <c r="I376" i="12" s="1"/>
  <c r="J376" i="12"/>
  <c r="K376" i="12"/>
  <c r="L376" i="12"/>
  <c r="R376" i="12"/>
  <c r="S376" i="12"/>
  <c r="T376" i="12"/>
  <c r="U376" i="12"/>
  <c r="D377" i="12"/>
  <c r="J377" i="12"/>
  <c r="K377" i="12"/>
  <c r="L377" i="12"/>
  <c r="B378" i="12"/>
  <c r="C378" i="12" a="1"/>
  <c r="C378" i="12" s="1"/>
  <c r="D378" i="12"/>
  <c r="E378" i="12"/>
  <c r="F378" i="12"/>
  <c r="J378" i="12"/>
  <c r="K378" i="12"/>
  <c r="L378" i="12"/>
  <c r="R378" i="12"/>
  <c r="S378" i="12"/>
  <c r="T378" i="12"/>
  <c r="U378" i="12"/>
  <c r="D379" i="12"/>
  <c r="J379" i="12"/>
  <c r="K379" i="12"/>
  <c r="L379" i="12"/>
  <c r="B380" i="12"/>
  <c r="C380" i="12" a="1"/>
  <c r="C380" i="12" s="1"/>
  <c r="D380" i="12"/>
  <c r="E380" i="12"/>
  <c r="F380" i="12"/>
  <c r="J380" i="12"/>
  <c r="K380" i="12"/>
  <c r="L380" i="12"/>
  <c r="R380" i="12"/>
  <c r="S380" i="12"/>
  <c r="T380" i="12"/>
  <c r="U380" i="12"/>
  <c r="D381" i="12"/>
  <c r="J381" i="12"/>
  <c r="K381" i="12"/>
  <c r="L381" i="12"/>
  <c r="B382" i="12"/>
  <c r="C382" i="12" a="1"/>
  <c r="C382" i="12" s="1"/>
  <c r="D382" i="12"/>
  <c r="E382" i="12"/>
  <c r="F382" i="12"/>
  <c r="J382" i="12"/>
  <c r="K382" i="12"/>
  <c r="L382" i="12"/>
  <c r="L383" i="12" s="1"/>
  <c r="R382" i="12"/>
  <c r="S382" i="12"/>
  <c r="T382" i="12"/>
  <c r="U382" i="12"/>
  <c r="D383" i="12"/>
  <c r="J383" i="12"/>
  <c r="K383" i="12"/>
  <c r="B384" i="12"/>
  <c r="C384" i="12" a="1"/>
  <c r="C384" i="12"/>
  <c r="D384" i="12"/>
  <c r="E384" i="12"/>
  <c r="F384" i="12"/>
  <c r="I384" i="12" s="1"/>
  <c r="H384" i="12"/>
  <c r="J384" i="12"/>
  <c r="K384" i="12"/>
  <c r="K385" i="12" s="1"/>
  <c r="L384" i="12"/>
  <c r="L385" i="12" s="1"/>
  <c r="R384" i="12"/>
  <c r="S384" i="12"/>
  <c r="T384" i="12"/>
  <c r="U384" i="12"/>
  <c r="D385" i="12"/>
  <c r="J385" i="12"/>
  <c r="B386" i="12"/>
  <c r="C386" i="12" a="1"/>
  <c r="C386" i="12"/>
  <c r="D386" i="12"/>
  <c r="E386" i="12"/>
  <c r="F386" i="12"/>
  <c r="J386" i="12"/>
  <c r="J387" i="12" s="1"/>
  <c r="K386" i="12"/>
  <c r="K387" i="12" s="1"/>
  <c r="L386" i="12"/>
  <c r="L387" i="12" s="1"/>
  <c r="R386" i="12"/>
  <c r="S386" i="12"/>
  <c r="T386" i="12"/>
  <c r="U386" i="12"/>
  <c r="D387" i="12"/>
  <c r="B388" i="12"/>
  <c r="C388" i="12" a="1"/>
  <c r="C388" i="12" s="1"/>
  <c r="D388" i="12"/>
  <c r="E388" i="12"/>
  <c r="F388" i="12"/>
  <c r="I388" i="12"/>
  <c r="J388" i="12"/>
  <c r="J389" i="12" s="1"/>
  <c r="K388" i="12"/>
  <c r="K389" i="12" s="1"/>
  <c r="L388" i="12"/>
  <c r="R388" i="12"/>
  <c r="S388" i="12"/>
  <c r="T388" i="12"/>
  <c r="U388" i="12"/>
  <c r="D389" i="12"/>
  <c r="L389" i="12"/>
  <c r="B390" i="12"/>
  <c r="C390" i="12" a="1"/>
  <c r="C390" i="12" s="1"/>
  <c r="D390" i="12"/>
  <c r="E390" i="12"/>
  <c r="F390" i="12"/>
  <c r="H390" i="12"/>
  <c r="I390" i="12"/>
  <c r="J390" i="12"/>
  <c r="J391" i="12" s="1"/>
  <c r="K390" i="12"/>
  <c r="L390" i="12"/>
  <c r="R390" i="12"/>
  <c r="S390" i="12"/>
  <c r="T390" i="12"/>
  <c r="U390" i="12"/>
  <c r="D391" i="12"/>
  <c r="K391" i="12"/>
  <c r="L391" i="12"/>
  <c r="B392" i="12"/>
  <c r="C392" i="12" a="1"/>
  <c r="C392" i="12"/>
  <c r="D392" i="12"/>
  <c r="E392" i="12"/>
  <c r="F392" i="12"/>
  <c r="G392" i="12"/>
  <c r="H392" i="12"/>
  <c r="M392" i="12" s="1"/>
  <c r="I392" i="12"/>
  <c r="J392" i="12"/>
  <c r="K392" i="12"/>
  <c r="L392" i="12"/>
  <c r="R392" i="12"/>
  <c r="S392" i="12"/>
  <c r="T392" i="12"/>
  <c r="U392" i="12"/>
  <c r="D393" i="12"/>
  <c r="J393" i="12"/>
  <c r="K393" i="12"/>
  <c r="L393" i="12"/>
  <c r="B394" i="12"/>
  <c r="C394" i="12" a="1"/>
  <c r="C394" i="12" s="1"/>
  <c r="D394" i="12"/>
  <c r="E394" i="12"/>
  <c r="F394" i="12"/>
  <c r="J394" i="12"/>
  <c r="K394" i="12"/>
  <c r="L394" i="12"/>
  <c r="R394" i="12"/>
  <c r="S394" i="12"/>
  <c r="T394" i="12"/>
  <c r="U394" i="12"/>
  <c r="D395" i="12"/>
  <c r="J395" i="12"/>
  <c r="K395" i="12"/>
  <c r="L395" i="12"/>
  <c r="B396" i="12"/>
  <c r="C396" i="12" a="1"/>
  <c r="C396" i="12" s="1"/>
  <c r="D396" i="12"/>
  <c r="E396" i="12"/>
  <c r="F396" i="12"/>
  <c r="J396" i="12"/>
  <c r="K396" i="12"/>
  <c r="L396" i="12"/>
  <c r="R396" i="12"/>
  <c r="S396" i="12"/>
  <c r="T396" i="12"/>
  <c r="U396" i="12"/>
  <c r="D397" i="12"/>
  <c r="J397" i="12"/>
  <c r="K397" i="12"/>
  <c r="L397" i="12"/>
  <c r="B398" i="12"/>
  <c r="C398" i="12" a="1"/>
  <c r="C398" i="12" s="1"/>
  <c r="D398" i="12"/>
  <c r="E398" i="12"/>
  <c r="F398" i="12"/>
  <c r="J398" i="12"/>
  <c r="K398" i="12"/>
  <c r="L398" i="12"/>
  <c r="L399" i="12" s="1"/>
  <c r="R398" i="12"/>
  <c r="S398" i="12"/>
  <c r="T398" i="12"/>
  <c r="U398" i="12"/>
  <c r="D399" i="12"/>
  <c r="J399" i="12"/>
  <c r="K399" i="12"/>
  <c r="B400" i="12"/>
  <c r="C400" i="12" a="1"/>
  <c r="C400" i="12"/>
  <c r="D400" i="12"/>
  <c r="E400" i="12"/>
  <c r="F400" i="12"/>
  <c r="I400" i="12" s="1"/>
  <c r="M400" i="12" s="1"/>
  <c r="G400" i="12" s="1"/>
  <c r="H400" i="12"/>
  <c r="J400" i="12"/>
  <c r="K400" i="12"/>
  <c r="K401" i="12" s="1"/>
  <c r="L400" i="12"/>
  <c r="L401" i="12" s="1"/>
  <c r="R400" i="12"/>
  <c r="S400" i="12"/>
  <c r="T400" i="12"/>
  <c r="U400" i="12"/>
  <c r="D401" i="12"/>
  <c r="J401" i="12"/>
  <c r="B402" i="12"/>
  <c r="C402" i="12" a="1"/>
  <c r="C402" i="12"/>
  <c r="D402" i="12"/>
  <c r="E402" i="12"/>
  <c r="F402" i="12"/>
  <c r="J402" i="12"/>
  <c r="J403" i="12" s="1"/>
  <c r="K402" i="12"/>
  <c r="K403" i="12" s="1"/>
  <c r="L402" i="12"/>
  <c r="L403" i="12" s="1"/>
  <c r="R402" i="12"/>
  <c r="S402" i="12"/>
  <c r="T402" i="12"/>
  <c r="U402" i="12"/>
  <c r="D403" i="12"/>
  <c r="B404" i="12"/>
  <c r="C404" i="12" a="1"/>
  <c r="C404" i="12" s="1"/>
  <c r="D404" i="12"/>
  <c r="E404" i="12"/>
  <c r="F404" i="12"/>
  <c r="I404" i="12"/>
  <c r="J404" i="12"/>
  <c r="J405" i="12" s="1"/>
  <c r="K404" i="12"/>
  <c r="K405" i="12" s="1"/>
  <c r="L404" i="12"/>
  <c r="R404" i="12"/>
  <c r="S404" i="12"/>
  <c r="T404" i="12"/>
  <c r="U404" i="12"/>
  <c r="D405" i="12"/>
  <c r="L405" i="12"/>
  <c r="B406" i="12"/>
  <c r="C406" i="12" a="1"/>
  <c r="C406" i="12" s="1"/>
  <c r="D406" i="12"/>
  <c r="E406" i="12"/>
  <c r="F406" i="12"/>
  <c r="H406" i="12"/>
  <c r="M406" i="12" s="1"/>
  <c r="I406" i="12"/>
  <c r="J406" i="12"/>
  <c r="J407" i="12" s="1"/>
  <c r="K406" i="12"/>
  <c r="L406" i="12"/>
  <c r="R406" i="12"/>
  <c r="S406" i="12"/>
  <c r="T406" i="12"/>
  <c r="U406" i="12"/>
  <c r="D407" i="12"/>
  <c r="K407" i="12"/>
  <c r="L407" i="12"/>
  <c r="B408" i="12"/>
  <c r="C408" i="12" a="1"/>
  <c r="C408" i="12"/>
  <c r="D408" i="12"/>
  <c r="E408" i="12"/>
  <c r="F408" i="12"/>
  <c r="H408" i="12"/>
  <c r="I408" i="12"/>
  <c r="J408" i="12"/>
  <c r="K408" i="12"/>
  <c r="L408" i="12"/>
  <c r="R408" i="12"/>
  <c r="S408" i="12"/>
  <c r="T408" i="12"/>
  <c r="U408" i="12"/>
  <c r="D409" i="12"/>
  <c r="J409" i="12"/>
  <c r="K409" i="12"/>
  <c r="L409" i="12"/>
  <c r="B410" i="12"/>
  <c r="C410" i="12" a="1"/>
  <c r="C410" i="12" s="1"/>
  <c r="D410" i="12"/>
  <c r="E410" i="12"/>
  <c r="F410" i="12"/>
  <c r="I410" i="12" s="1"/>
  <c r="J410" i="12"/>
  <c r="K410" i="12"/>
  <c r="L410" i="12"/>
  <c r="R410" i="12"/>
  <c r="S410" i="12"/>
  <c r="T410" i="12"/>
  <c r="U410" i="12"/>
  <c r="D411" i="12"/>
  <c r="J411" i="12"/>
  <c r="K411" i="12"/>
  <c r="L411" i="12"/>
  <c r="B412" i="12"/>
  <c r="C412" i="12" a="1"/>
  <c r="C412" i="12" s="1"/>
  <c r="D412" i="12"/>
  <c r="E412" i="12"/>
  <c r="F412" i="12"/>
  <c r="J412" i="12"/>
  <c r="K412" i="12"/>
  <c r="L412" i="12"/>
  <c r="R412" i="12"/>
  <c r="S412" i="12"/>
  <c r="T412" i="12"/>
  <c r="U412" i="12"/>
  <c r="D413" i="12"/>
  <c r="J413" i="12"/>
  <c r="K413" i="12"/>
  <c r="L413" i="12"/>
  <c r="B414" i="12"/>
  <c r="C414" i="12" a="1"/>
  <c r="C414" i="12" s="1"/>
  <c r="D414" i="12"/>
  <c r="E414" i="12"/>
  <c r="F414" i="12"/>
  <c r="J414" i="12"/>
  <c r="K414" i="12"/>
  <c r="L414" i="12"/>
  <c r="L415" i="12" s="1"/>
  <c r="R414" i="12"/>
  <c r="S414" i="12"/>
  <c r="T414" i="12"/>
  <c r="U414" i="12"/>
  <c r="D415" i="12"/>
  <c r="J415" i="12"/>
  <c r="K415" i="12"/>
  <c r="B416" i="12"/>
  <c r="C416" i="12" a="1"/>
  <c r="C416" i="12"/>
  <c r="D416" i="12"/>
  <c r="E416" i="12"/>
  <c r="F416" i="12"/>
  <c r="I416" i="12" s="1"/>
  <c r="H416" i="12"/>
  <c r="J416" i="12"/>
  <c r="K416" i="12"/>
  <c r="K417" i="12" s="1"/>
  <c r="L416" i="12"/>
  <c r="L417" i="12" s="1"/>
  <c r="M416" i="12" s="1"/>
  <c r="G416" i="12" s="1"/>
  <c r="R416" i="12"/>
  <c r="S416" i="12"/>
  <c r="T416" i="12"/>
  <c r="U416" i="12"/>
  <c r="D417" i="12"/>
  <c r="J417" i="12"/>
  <c r="B418" i="12"/>
  <c r="C418" i="12" a="1"/>
  <c r="C418" i="12" s="1"/>
  <c r="D418" i="12"/>
  <c r="E418" i="12"/>
  <c r="F418" i="12"/>
  <c r="J418" i="12"/>
  <c r="J419" i="12" s="1"/>
  <c r="K418" i="12"/>
  <c r="K419" i="12" s="1"/>
  <c r="L418" i="12"/>
  <c r="L419" i="12" s="1"/>
  <c r="R418" i="12"/>
  <c r="S418" i="12"/>
  <c r="T418" i="12"/>
  <c r="U418" i="12"/>
  <c r="D419" i="12"/>
  <c r="B420" i="12"/>
  <c r="C420" i="12" a="1"/>
  <c r="C420" i="12"/>
  <c r="D420" i="12"/>
  <c r="E420" i="12"/>
  <c r="F420" i="12"/>
  <c r="I420" i="12"/>
  <c r="J420" i="12"/>
  <c r="J421" i="12" s="1"/>
  <c r="K420" i="12"/>
  <c r="K421" i="12" s="1"/>
  <c r="L420" i="12"/>
  <c r="R420" i="12"/>
  <c r="S420" i="12"/>
  <c r="T420" i="12"/>
  <c r="U420" i="12"/>
  <c r="D421" i="12"/>
  <c r="L421" i="12"/>
  <c r="B422" i="12"/>
  <c r="C422" i="12" a="1"/>
  <c r="C422" i="12" s="1"/>
  <c r="D422" i="12"/>
  <c r="E422" i="12"/>
  <c r="F422" i="12"/>
  <c r="H422" i="12"/>
  <c r="I422" i="12"/>
  <c r="J422" i="12"/>
  <c r="J423" i="12" s="1"/>
  <c r="K422" i="12"/>
  <c r="L422" i="12"/>
  <c r="R422" i="12"/>
  <c r="S422" i="12"/>
  <c r="T422" i="12"/>
  <c r="U422" i="12"/>
  <c r="D423" i="12"/>
  <c r="K423" i="12"/>
  <c r="L423" i="12"/>
  <c r="B424" i="12"/>
  <c r="C424" i="12" a="1"/>
  <c r="C424" i="12"/>
  <c r="D424" i="12"/>
  <c r="E424" i="12"/>
  <c r="F424" i="12"/>
  <c r="H424" i="12"/>
  <c r="I424" i="12"/>
  <c r="J424" i="12"/>
  <c r="K424" i="12"/>
  <c r="L424" i="12"/>
  <c r="R424" i="12"/>
  <c r="S424" i="12"/>
  <c r="T424" i="12"/>
  <c r="U424" i="12"/>
  <c r="D425" i="12"/>
  <c r="J425" i="12"/>
  <c r="K425" i="12"/>
  <c r="L425" i="12"/>
  <c r="B426" i="12"/>
  <c r="C426" i="12" a="1"/>
  <c r="C426" i="12" s="1"/>
  <c r="D426" i="12"/>
  <c r="E426" i="12"/>
  <c r="F426" i="12"/>
  <c r="I426" i="12" s="1"/>
  <c r="H426" i="12"/>
  <c r="J426" i="12"/>
  <c r="J427" i="12" s="1"/>
  <c r="K426" i="12"/>
  <c r="L426" i="12"/>
  <c r="R426" i="12"/>
  <c r="S426" i="12"/>
  <c r="T426" i="12"/>
  <c r="U426" i="12"/>
  <c r="D427" i="12"/>
  <c r="K427" i="12"/>
  <c r="L427" i="12"/>
  <c r="B428" i="12"/>
  <c r="C428" i="12" a="1"/>
  <c r="C428" i="12" s="1"/>
  <c r="D428" i="12"/>
  <c r="E428" i="12"/>
  <c r="F428" i="12"/>
  <c r="H428" i="12" s="1"/>
  <c r="I428" i="12"/>
  <c r="J428" i="12"/>
  <c r="K428" i="12"/>
  <c r="L428" i="12"/>
  <c r="M428" i="12"/>
  <c r="G428" i="12" s="1"/>
  <c r="R428" i="12"/>
  <c r="S428" i="12"/>
  <c r="T428" i="12"/>
  <c r="U428" i="12"/>
  <c r="D429" i="12"/>
  <c r="J429" i="12"/>
  <c r="K429" i="12"/>
  <c r="L429" i="12"/>
  <c r="B430" i="12"/>
  <c r="C430" i="12" a="1"/>
  <c r="C430" i="12" s="1"/>
  <c r="D430" i="12"/>
  <c r="E430" i="12"/>
  <c r="F430" i="12"/>
  <c r="J430" i="12"/>
  <c r="K430" i="12"/>
  <c r="L430" i="12"/>
  <c r="L431" i="12" s="1"/>
  <c r="R430" i="12"/>
  <c r="S430" i="12"/>
  <c r="T430" i="12"/>
  <c r="U430" i="12"/>
  <c r="D431" i="12"/>
  <c r="J431" i="12"/>
  <c r="K431" i="12"/>
  <c r="B432" i="12"/>
  <c r="C432" i="12" a="1"/>
  <c r="C432" i="12"/>
  <c r="D432" i="12"/>
  <c r="E432" i="12"/>
  <c r="F432" i="12"/>
  <c r="I432" i="12" s="1"/>
  <c r="H432" i="12"/>
  <c r="J432" i="12"/>
  <c r="K432" i="12"/>
  <c r="K433" i="12" s="1"/>
  <c r="L432" i="12"/>
  <c r="L433" i="12" s="1"/>
  <c r="R432" i="12"/>
  <c r="S432" i="12"/>
  <c r="T432" i="12"/>
  <c r="U432" i="12"/>
  <c r="D433" i="12"/>
  <c r="J433" i="12"/>
  <c r="B434" i="12"/>
  <c r="C434" i="12" a="1"/>
  <c r="C434" i="12" s="1"/>
  <c r="D434" i="12"/>
  <c r="E434" i="12"/>
  <c r="F434" i="12"/>
  <c r="J434" i="12"/>
  <c r="J435" i="12" s="1"/>
  <c r="K434" i="12"/>
  <c r="K435" i="12" s="1"/>
  <c r="L434" i="12"/>
  <c r="L435" i="12" s="1"/>
  <c r="R434" i="12"/>
  <c r="S434" i="12"/>
  <c r="T434" i="12"/>
  <c r="U434" i="12"/>
  <c r="D435" i="12"/>
  <c r="B436" i="12"/>
  <c r="C436" i="12" a="1"/>
  <c r="C436" i="12"/>
  <c r="D436" i="12"/>
  <c r="E436" i="12"/>
  <c r="F436" i="12"/>
  <c r="I436" i="12"/>
  <c r="J436" i="12"/>
  <c r="J437" i="12" s="1"/>
  <c r="K436" i="12"/>
  <c r="K437" i="12" s="1"/>
  <c r="L436" i="12"/>
  <c r="R436" i="12"/>
  <c r="S436" i="12"/>
  <c r="T436" i="12"/>
  <c r="U436" i="12"/>
  <c r="D437" i="12"/>
  <c r="L437" i="12"/>
  <c r="B438" i="12"/>
  <c r="C438" i="12" a="1"/>
  <c r="C438" i="12" s="1"/>
  <c r="D438" i="12"/>
  <c r="E438" i="12"/>
  <c r="F438" i="12"/>
  <c r="H438" i="12"/>
  <c r="M438" i="12" s="1"/>
  <c r="I438" i="12"/>
  <c r="J438" i="12"/>
  <c r="J439" i="12" s="1"/>
  <c r="K438" i="12"/>
  <c r="L438" i="12"/>
  <c r="L439" i="12" s="1"/>
  <c r="R438" i="12"/>
  <c r="S438" i="12"/>
  <c r="T438" i="12"/>
  <c r="U438" i="12"/>
  <c r="D439" i="12"/>
  <c r="K439" i="12"/>
  <c r="B440" i="12"/>
  <c r="C440" i="12" a="1"/>
  <c r="C440" i="12"/>
  <c r="D440" i="12"/>
  <c r="E440" i="12"/>
  <c r="F440" i="12"/>
  <c r="H440" i="12"/>
  <c r="I440" i="12"/>
  <c r="J440" i="12"/>
  <c r="K440" i="12"/>
  <c r="K441" i="12" s="1"/>
  <c r="L440" i="12"/>
  <c r="L441" i="12" s="1"/>
  <c r="R440" i="12"/>
  <c r="S440" i="12"/>
  <c r="T440" i="12"/>
  <c r="U440" i="12"/>
  <c r="D441" i="12"/>
  <c r="J441" i="12"/>
  <c r="B442" i="12"/>
  <c r="C442" i="12" a="1"/>
  <c r="C442" i="12"/>
  <c r="D442" i="12"/>
  <c r="E442" i="12"/>
  <c r="F442" i="12"/>
  <c r="I442" i="12" s="1"/>
  <c r="J442" i="12"/>
  <c r="K442" i="12"/>
  <c r="K443" i="12" s="1"/>
  <c r="L442" i="12"/>
  <c r="R442" i="12"/>
  <c r="S442" i="12"/>
  <c r="T442" i="12"/>
  <c r="U442" i="12"/>
  <c r="D443" i="12"/>
  <c r="J443" i="12"/>
  <c r="L443" i="12"/>
  <c r="B444" i="12"/>
  <c r="C444" i="12" a="1"/>
  <c r="C444" i="12" s="1"/>
  <c r="D444" i="12"/>
  <c r="E444" i="12"/>
  <c r="F444" i="12"/>
  <c r="J444" i="12"/>
  <c r="K444" i="12"/>
  <c r="L444" i="12"/>
  <c r="R444" i="12"/>
  <c r="S444" i="12"/>
  <c r="T444" i="12"/>
  <c r="U444" i="12"/>
  <c r="D445" i="12"/>
  <c r="J445" i="12"/>
  <c r="K445" i="12"/>
  <c r="L445" i="12"/>
  <c r="B446" i="12"/>
  <c r="C446" i="12" a="1"/>
  <c r="C446" i="12" s="1"/>
  <c r="D446" i="12"/>
  <c r="E446" i="12"/>
  <c r="F446" i="12"/>
  <c r="J446" i="12"/>
  <c r="K446" i="12"/>
  <c r="L446" i="12"/>
  <c r="R446" i="12"/>
  <c r="S446" i="12"/>
  <c r="T446" i="12"/>
  <c r="U446" i="12"/>
  <c r="D447" i="12"/>
  <c r="J447" i="12"/>
  <c r="K447" i="12"/>
  <c r="L447" i="12"/>
  <c r="B448" i="12"/>
  <c r="C448" i="12" a="1"/>
  <c r="C448" i="12"/>
  <c r="D448" i="12"/>
  <c r="E448" i="12"/>
  <c r="F448" i="12"/>
  <c r="I448" i="12" s="1"/>
  <c r="J448" i="12"/>
  <c r="K448" i="12"/>
  <c r="L448" i="12"/>
  <c r="L449" i="12" s="1"/>
  <c r="R448" i="12"/>
  <c r="S448" i="12"/>
  <c r="T448" i="12"/>
  <c r="U448" i="12"/>
  <c r="D449" i="12"/>
  <c r="J449" i="12"/>
  <c r="K449" i="12"/>
  <c r="B450" i="12"/>
  <c r="C450" i="12" a="1"/>
  <c r="C450" i="12" s="1"/>
  <c r="D450" i="12"/>
  <c r="E450" i="12"/>
  <c r="F450" i="12"/>
  <c r="J450" i="12"/>
  <c r="J451" i="12" s="1"/>
  <c r="K450" i="12"/>
  <c r="K451" i="12" s="1"/>
  <c r="L450" i="12"/>
  <c r="L451" i="12" s="1"/>
  <c r="R450" i="12"/>
  <c r="S450" i="12"/>
  <c r="T450" i="12"/>
  <c r="U450" i="12"/>
  <c r="D451" i="12"/>
  <c r="B452" i="12"/>
  <c r="C452" i="12" a="1"/>
  <c r="C452" i="12"/>
  <c r="D452" i="12"/>
  <c r="E452" i="12"/>
  <c r="F452" i="12"/>
  <c r="I452" i="12"/>
  <c r="J452" i="12"/>
  <c r="J453" i="12" s="1"/>
  <c r="K452" i="12"/>
  <c r="K453" i="12" s="1"/>
  <c r="L452" i="12"/>
  <c r="R452" i="12"/>
  <c r="S452" i="12"/>
  <c r="T452" i="12"/>
  <c r="U452" i="12"/>
  <c r="D453" i="12"/>
  <c r="L453" i="12"/>
  <c r="B454" i="12"/>
  <c r="C454" i="12" a="1"/>
  <c r="C454" i="12" s="1"/>
  <c r="D454" i="12"/>
  <c r="E454" i="12"/>
  <c r="F454" i="12"/>
  <c r="H454" i="12"/>
  <c r="I454" i="12"/>
  <c r="J454" i="12"/>
  <c r="J455" i="12" s="1"/>
  <c r="K454" i="12"/>
  <c r="K455" i="12" s="1"/>
  <c r="L454" i="12"/>
  <c r="L455" i="12" s="1"/>
  <c r="R454" i="12"/>
  <c r="S454" i="12"/>
  <c r="T454" i="12"/>
  <c r="U454" i="12"/>
  <c r="D455" i="12"/>
  <c r="B456" i="12"/>
  <c r="C456" i="12" a="1"/>
  <c r="C456" i="12"/>
  <c r="D456" i="12"/>
  <c r="E456" i="12"/>
  <c r="F456" i="12"/>
  <c r="H456" i="12"/>
  <c r="I456" i="12"/>
  <c r="J456" i="12"/>
  <c r="K456" i="12"/>
  <c r="K457" i="12" s="1"/>
  <c r="L456" i="12"/>
  <c r="L457" i="12" s="1"/>
  <c r="R456" i="12"/>
  <c r="S456" i="12"/>
  <c r="T456" i="12"/>
  <c r="U456" i="12"/>
  <c r="D457" i="12"/>
  <c r="J457" i="12"/>
  <c r="B458" i="12"/>
  <c r="C458" i="12" a="1"/>
  <c r="C458" i="12"/>
  <c r="D458" i="12"/>
  <c r="E458" i="12"/>
  <c r="F458" i="12"/>
  <c r="J458" i="12"/>
  <c r="K458" i="12"/>
  <c r="L458" i="12"/>
  <c r="R458" i="12"/>
  <c r="S458" i="12"/>
  <c r="T458" i="12"/>
  <c r="U458" i="12"/>
  <c r="D459" i="12"/>
  <c r="J459" i="12"/>
  <c r="K459" i="12"/>
  <c r="L459" i="12"/>
  <c r="B460" i="12"/>
  <c r="C460" i="12" a="1"/>
  <c r="C460" i="12" s="1"/>
  <c r="D460" i="12"/>
  <c r="E460" i="12"/>
  <c r="F460" i="12"/>
  <c r="J460" i="12"/>
  <c r="K460" i="12"/>
  <c r="L460" i="12"/>
  <c r="R460" i="12"/>
  <c r="S460" i="12"/>
  <c r="T460" i="12"/>
  <c r="U460" i="12"/>
  <c r="D461" i="12"/>
  <c r="J461" i="12"/>
  <c r="K461" i="12"/>
  <c r="L461" i="12"/>
  <c r="B462" i="12"/>
  <c r="C462" i="12" a="1"/>
  <c r="C462" i="12" s="1"/>
  <c r="D462" i="12"/>
  <c r="E462" i="12"/>
  <c r="F462" i="12"/>
  <c r="J462" i="12"/>
  <c r="K462" i="12"/>
  <c r="L462" i="12"/>
  <c r="R462" i="12"/>
  <c r="S462" i="12"/>
  <c r="T462" i="12"/>
  <c r="U462" i="12"/>
  <c r="D463" i="12"/>
  <c r="J463" i="12"/>
  <c r="K463" i="12"/>
  <c r="L463" i="12"/>
  <c r="B464" i="12"/>
  <c r="C464" i="12" a="1"/>
  <c r="C464" i="12"/>
  <c r="D464" i="12"/>
  <c r="E464" i="12"/>
  <c r="F464" i="12"/>
  <c r="I464" i="12" s="1"/>
  <c r="J464" i="12"/>
  <c r="K464" i="12"/>
  <c r="L464" i="12"/>
  <c r="L465" i="12" s="1"/>
  <c r="R464" i="12"/>
  <c r="S464" i="12"/>
  <c r="T464" i="12"/>
  <c r="U464" i="12"/>
  <c r="D465" i="12"/>
  <c r="J465" i="12"/>
  <c r="K465" i="12"/>
  <c r="B466" i="12"/>
  <c r="C466" i="12" a="1"/>
  <c r="C466" i="12" s="1"/>
  <c r="D466" i="12"/>
  <c r="E466" i="12"/>
  <c r="F466" i="12"/>
  <c r="J466" i="12"/>
  <c r="J467" i="12" s="1"/>
  <c r="K466" i="12"/>
  <c r="K467" i="12" s="1"/>
  <c r="L466" i="12"/>
  <c r="L467" i="12" s="1"/>
  <c r="R466" i="12"/>
  <c r="S466" i="12"/>
  <c r="T466" i="12"/>
  <c r="U466" i="12"/>
  <c r="D467" i="12"/>
  <c r="B468" i="12"/>
  <c r="C468" i="12" a="1"/>
  <c r="C468" i="12"/>
  <c r="D468" i="12"/>
  <c r="E468" i="12"/>
  <c r="F468" i="12"/>
  <c r="I468" i="12"/>
  <c r="J468" i="12"/>
  <c r="K468" i="12"/>
  <c r="L468" i="12"/>
  <c r="R468" i="12"/>
  <c r="S468" i="12"/>
  <c r="T468" i="12"/>
  <c r="U468" i="12"/>
  <c r="D469" i="12"/>
  <c r="J469" i="12"/>
  <c r="K469" i="12"/>
  <c r="L469" i="12"/>
  <c r="B470" i="12"/>
  <c r="C470" i="12" a="1"/>
  <c r="C470" i="12" s="1"/>
  <c r="D470" i="12"/>
  <c r="E470" i="12"/>
  <c r="F470" i="12"/>
  <c r="J470" i="12"/>
  <c r="K470" i="12"/>
  <c r="L470" i="12"/>
  <c r="R470" i="12"/>
  <c r="S470" i="12"/>
  <c r="T470" i="12"/>
  <c r="U470" i="12"/>
  <c r="D471" i="12"/>
  <c r="J471" i="12"/>
  <c r="K471" i="12"/>
  <c r="L471" i="12"/>
  <c r="B472" i="12"/>
  <c r="C472" i="12" a="1"/>
  <c r="C472" i="12"/>
  <c r="D472" i="12"/>
  <c r="E472" i="12"/>
  <c r="F472" i="12"/>
  <c r="J472" i="12"/>
  <c r="K472" i="12"/>
  <c r="L472" i="12"/>
  <c r="L473" i="12" s="1"/>
  <c r="R472" i="12"/>
  <c r="S472" i="12"/>
  <c r="T472" i="12"/>
  <c r="U472" i="12"/>
  <c r="D473" i="12"/>
  <c r="J473" i="12"/>
  <c r="K473" i="12"/>
  <c r="B474" i="12"/>
  <c r="C474" i="12" a="1"/>
  <c r="C474" i="12"/>
  <c r="D474" i="12"/>
  <c r="E474" i="12"/>
  <c r="F474" i="12"/>
  <c r="H474" i="12" s="1"/>
  <c r="J474" i="12"/>
  <c r="K474" i="12"/>
  <c r="K475" i="12" s="1"/>
  <c r="L474" i="12"/>
  <c r="L475" i="12" s="1"/>
  <c r="R474" i="12"/>
  <c r="S474" i="12"/>
  <c r="T474" i="12"/>
  <c r="U474" i="12"/>
  <c r="D475" i="12"/>
  <c r="J475" i="12"/>
  <c r="B476" i="12"/>
  <c r="C476" i="12" a="1"/>
  <c r="C476" i="12"/>
  <c r="D476" i="12"/>
  <c r="E476" i="12"/>
  <c r="F476" i="12"/>
  <c r="J476" i="12"/>
  <c r="J477" i="12" s="1"/>
  <c r="K476" i="12"/>
  <c r="K477" i="12" s="1"/>
  <c r="L476" i="12"/>
  <c r="L477" i="12" s="1"/>
  <c r="R476" i="12"/>
  <c r="S476" i="12"/>
  <c r="T476" i="12"/>
  <c r="U476" i="12"/>
  <c r="D477" i="12"/>
  <c r="B478" i="12"/>
  <c r="C478" i="12" a="1"/>
  <c r="C478" i="12" s="1"/>
  <c r="D478" i="12"/>
  <c r="E478" i="12"/>
  <c r="F478" i="12"/>
  <c r="I478" i="12"/>
  <c r="J478" i="12"/>
  <c r="J479" i="12" s="1"/>
  <c r="K478" i="12"/>
  <c r="K479" i="12" s="1"/>
  <c r="L478" i="12"/>
  <c r="R478" i="12"/>
  <c r="S478" i="12"/>
  <c r="T478" i="12"/>
  <c r="U478" i="12"/>
  <c r="D479" i="12"/>
  <c r="L479" i="12"/>
  <c r="B480" i="12"/>
  <c r="C480" i="12" a="1"/>
  <c r="C480" i="12" s="1"/>
  <c r="D480" i="12"/>
  <c r="E480" i="12"/>
  <c r="F480" i="12"/>
  <c r="H480" i="12"/>
  <c r="I480" i="12"/>
  <c r="J480" i="12"/>
  <c r="J481" i="12" s="1"/>
  <c r="K480" i="12"/>
  <c r="L480" i="12"/>
  <c r="R480" i="12"/>
  <c r="S480" i="12"/>
  <c r="T480" i="12"/>
  <c r="U480" i="12"/>
  <c r="D481" i="12"/>
  <c r="K481" i="12"/>
  <c r="L481" i="12"/>
  <c r="B482" i="12"/>
  <c r="C482" i="12" a="1"/>
  <c r="C482" i="12"/>
  <c r="D482" i="12"/>
  <c r="E482" i="12"/>
  <c r="F482" i="12"/>
  <c r="H482" i="12"/>
  <c r="I482" i="12"/>
  <c r="J482" i="12"/>
  <c r="K482" i="12"/>
  <c r="L482" i="12"/>
  <c r="R482" i="12"/>
  <c r="S482" i="12"/>
  <c r="T482" i="12"/>
  <c r="U482" i="12"/>
  <c r="D483" i="12"/>
  <c r="J483" i="12"/>
  <c r="K483" i="12"/>
  <c r="L483" i="12"/>
  <c r="B484" i="12"/>
  <c r="C484" i="12" a="1"/>
  <c r="C484" i="12" s="1"/>
  <c r="D484" i="12"/>
  <c r="E484" i="12"/>
  <c r="F484" i="12"/>
  <c r="I484" i="12" s="1"/>
  <c r="H484" i="12"/>
  <c r="J484" i="12"/>
  <c r="K484" i="12"/>
  <c r="L484" i="12"/>
  <c r="R484" i="12"/>
  <c r="S484" i="12"/>
  <c r="T484" i="12"/>
  <c r="U484" i="12"/>
  <c r="D485" i="12"/>
  <c r="J485" i="12"/>
  <c r="K485" i="12"/>
  <c r="L485" i="12"/>
  <c r="B486" i="12"/>
  <c r="C486" i="12" a="1"/>
  <c r="C486" i="12" s="1"/>
  <c r="D486" i="12"/>
  <c r="E486" i="12"/>
  <c r="F486" i="12"/>
  <c r="J486" i="12"/>
  <c r="K486" i="12"/>
  <c r="L486" i="12"/>
  <c r="R486" i="12"/>
  <c r="S486" i="12"/>
  <c r="T486" i="12"/>
  <c r="U486" i="12"/>
  <c r="D487" i="12"/>
  <c r="J487" i="12"/>
  <c r="K487" i="12"/>
  <c r="L487" i="12"/>
  <c r="B488" i="12"/>
  <c r="C488" i="12" a="1"/>
  <c r="C488" i="12"/>
  <c r="D488" i="12"/>
  <c r="E488" i="12"/>
  <c r="F488" i="12"/>
  <c r="H488" i="12"/>
  <c r="J488" i="12"/>
  <c r="K488" i="12"/>
  <c r="L488" i="12"/>
  <c r="L489" i="12" s="1"/>
  <c r="R488" i="12"/>
  <c r="S488" i="12"/>
  <c r="T488" i="12"/>
  <c r="U488" i="12"/>
  <c r="D489" i="12"/>
  <c r="J489" i="12"/>
  <c r="K489" i="12"/>
  <c r="B490" i="12"/>
  <c r="C490" i="12" a="1"/>
  <c r="C490" i="12"/>
  <c r="D490" i="12"/>
  <c r="E490" i="12"/>
  <c r="F490" i="12"/>
  <c r="H490" i="12" s="1"/>
  <c r="J490" i="12"/>
  <c r="K490" i="12"/>
  <c r="K491" i="12" s="1"/>
  <c r="L490" i="12"/>
  <c r="L491" i="12" s="1"/>
  <c r="R490" i="12"/>
  <c r="S490" i="12"/>
  <c r="T490" i="12"/>
  <c r="U490" i="12"/>
  <c r="D491" i="12"/>
  <c r="J491" i="12"/>
  <c r="B492" i="12"/>
  <c r="C492" i="12" a="1"/>
  <c r="C492" i="12"/>
  <c r="D492" i="12"/>
  <c r="E492" i="12"/>
  <c r="F492" i="12"/>
  <c r="J492" i="12"/>
  <c r="J493" i="12" s="1"/>
  <c r="K492" i="12"/>
  <c r="K493" i="12" s="1"/>
  <c r="L492" i="12"/>
  <c r="L493" i="12" s="1"/>
  <c r="R492" i="12"/>
  <c r="S492" i="12"/>
  <c r="T492" i="12"/>
  <c r="U492" i="12"/>
  <c r="D493" i="12"/>
  <c r="B494" i="12"/>
  <c r="C494" i="12" a="1"/>
  <c r="C494" i="12" s="1"/>
  <c r="D494" i="12"/>
  <c r="E494" i="12"/>
  <c r="F494" i="12"/>
  <c r="G494" i="12" s="1"/>
  <c r="H494" i="12"/>
  <c r="I494" i="12"/>
  <c r="J494" i="12"/>
  <c r="J495" i="12" s="1"/>
  <c r="M494" i="12" s="1"/>
  <c r="K494" i="12"/>
  <c r="K495" i="12" s="1"/>
  <c r="L494" i="12"/>
  <c r="R494" i="12"/>
  <c r="S494" i="12"/>
  <c r="T494" i="12"/>
  <c r="U494" i="12"/>
  <c r="D495" i="12"/>
  <c r="L495" i="12"/>
  <c r="B496" i="12"/>
  <c r="C496" i="12" a="1"/>
  <c r="C496" i="12" s="1"/>
  <c r="D496" i="12"/>
  <c r="E496" i="12"/>
  <c r="F496" i="12"/>
  <c r="H496" i="12"/>
  <c r="I496" i="12"/>
  <c r="J496" i="12"/>
  <c r="J497" i="12" s="1"/>
  <c r="K496" i="12"/>
  <c r="L496" i="12"/>
  <c r="R496" i="12"/>
  <c r="S496" i="12"/>
  <c r="T496" i="12"/>
  <c r="U496" i="12"/>
  <c r="D497" i="12"/>
  <c r="K497" i="12"/>
  <c r="L497" i="12"/>
  <c r="B498" i="12"/>
  <c r="C498" i="12" a="1"/>
  <c r="C498" i="12"/>
  <c r="D498" i="12"/>
  <c r="E498" i="12"/>
  <c r="F498" i="12"/>
  <c r="H498" i="12"/>
  <c r="I498" i="12"/>
  <c r="J498" i="12"/>
  <c r="K498" i="12"/>
  <c r="K499" i="12" s="1"/>
  <c r="L498" i="12"/>
  <c r="R498" i="12"/>
  <c r="S498" i="12"/>
  <c r="T498" i="12"/>
  <c r="U498" i="12"/>
  <c r="D499" i="12"/>
  <c r="J499" i="12"/>
  <c r="L499" i="12"/>
  <c r="B500" i="12"/>
  <c r="C500" i="12" a="1"/>
  <c r="C500" i="12" s="1"/>
  <c r="D500" i="12"/>
  <c r="E500" i="12"/>
  <c r="F500" i="12"/>
  <c r="I500" i="12" s="1"/>
  <c r="H500" i="12"/>
  <c r="J500" i="12"/>
  <c r="J501" i="12" s="1"/>
  <c r="K500" i="12"/>
  <c r="L500" i="12"/>
  <c r="R500" i="12"/>
  <c r="S500" i="12"/>
  <c r="T500" i="12"/>
  <c r="U500" i="12"/>
  <c r="D501" i="12"/>
  <c r="K501" i="12"/>
  <c r="L501" i="12"/>
  <c r="B502" i="12"/>
  <c r="C502" i="12" a="1"/>
  <c r="C502" i="12" s="1"/>
  <c r="D502" i="12"/>
  <c r="E502" i="12"/>
  <c r="F502" i="12"/>
  <c r="H502" i="12" s="1"/>
  <c r="J502" i="12"/>
  <c r="K502" i="12"/>
  <c r="L502" i="12"/>
  <c r="R502" i="12"/>
  <c r="S502" i="12"/>
  <c r="T502" i="12"/>
  <c r="U502" i="12"/>
  <c r="D503" i="12"/>
  <c r="J503" i="12"/>
  <c r="K503" i="12"/>
  <c r="L503" i="12"/>
  <c r="B504" i="12"/>
  <c r="C504" i="12" a="1"/>
  <c r="C504" i="12"/>
  <c r="D504" i="12"/>
  <c r="E504" i="12"/>
  <c r="F504" i="12"/>
  <c r="H504" i="12"/>
  <c r="J504" i="12"/>
  <c r="K504" i="12"/>
  <c r="L504" i="12"/>
  <c r="L505" i="12" s="1"/>
  <c r="R504" i="12"/>
  <c r="S504" i="12"/>
  <c r="T504" i="12"/>
  <c r="U504" i="12"/>
  <c r="D505" i="12"/>
  <c r="J505" i="12"/>
  <c r="K505" i="12"/>
  <c r="B506" i="12"/>
  <c r="C506" i="12" a="1"/>
  <c r="C506" i="12"/>
  <c r="D506" i="12"/>
  <c r="E506" i="12"/>
  <c r="F506" i="12"/>
  <c r="H506" i="12" s="1"/>
  <c r="J506" i="12"/>
  <c r="K506" i="12"/>
  <c r="K507" i="12" s="1"/>
  <c r="L506" i="12"/>
  <c r="L507" i="12" s="1"/>
  <c r="R506" i="12"/>
  <c r="S506" i="12"/>
  <c r="T506" i="12"/>
  <c r="U506" i="12"/>
  <c r="D507" i="12"/>
  <c r="J507" i="12"/>
  <c r="B508" i="12"/>
  <c r="C508" i="12" a="1"/>
  <c r="C508" i="12"/>
  <c r="D508" i="12"/>
  <c r="E508" i="12"/>
  <c r="F508" i="12"/>
  <c r="J508" i="12"/>
  <c r="J509" i="12" s="1"/>
  <c r="K508" i="12"/>
  <c r="K509" i="12" s="1"/>
  <c r="L508" i="12"/>
  <c r="L509" i="12" s="1"/>
  <c r="R508" i="12"/>
  <c r="S508" i="12"/>
  <c r="T508" i="12"/>
  <c r="U508" i="12"/>
  <c r="D509" i="12"/>
  <c r="B510" i="12"/>
  <c r="C510" i="12" a="1"/>
  <c r="C510" i="12"/>
  <c r="D510" i="12"/>
  <c r="E510" i="12"/>
  <c r="F510" i="12"/>
  <c r="H510" i="12"/>
  <c r="I510" i="12"/>
  <c r="J510" i="12"/>
  <c r="J511" i="12" s="1"/>
  <c r="M510" i="12" s="1"/>
  <c r="G510" i="12" s="1"/>
  <c r="K510" i="12"/>
  <c r="K511" i="12" s="1"/>
  <c r="L510" i="12"/>
  <c r="R510" i="12"/>
  <c r="S510" i="12"/>
  <c r="T510" i="12"/>
  <c r="U510" i="12"/>
  <c r="D511" i="12"/>
  <c r="L511" i="12"/>
  <c r="B512" i="12"/>
  <c r="C512" i="12" a="1"/>
  <c r="C512" i="12" s="1"/>
  <c r="D512" i="12"/>
  <c r="E512" i="12"/>
  <c r="F512" i="12"/>
  <c r="H512" i="12"/>
  <c r="I512" i="12"/>
  <c r="J512" i="12"/>
  <c r="J513" i="12" s="1"/>
  <c r="K512" i="12"/>
  <c r="L512" i="12"/>
  <c r="L513" i="12" s="1"/>
  <c r="R512" i="12"/>
  <c r="S512" i="12"/>
  <c r="T512" i="12"/>
  <c r="U512" i="12"/>
  <c r="D513" i="12"/>
  <c r="K513" i="12"/>
  <c r="B514" i="12"/>
  <c r="C514" i="12" a="1"/>
  <c r="C514" i="12"/>
  <c r="D514" i="12"/>
  <c r="E514" i="12"/>
  <c r="F514" i="12"/>
  <c r="H514" i="12"/>
  <c r="I514" i="12"/>
  <c r="J514" i="12"/>
  <c r="K514" i="12"/>
  <c r="K515" i="12" s="1"/>
  <c r="L514" i="12"/>
  <c r="R514" i="12"/>
  <c r="S514" i="12"/>
  <c r="T514" i="12"/>
  <c r="U514" i="12"/>
  <c r="D515" i="12"/>
  <c r="J515" i="12"/>
  <c r="L515" i="12"/>
  <c r="B516" i="12"/>
  <c r="C516" i="12" a="1"/>
  <c r="C516" i="12" s="1"/>
  <c r="D516" i="12"/>
  <c r="E516" i="12"/>
  <c r="F516" i="12"/>
  <c r="I516" i="12" s="1"/>
  <c r="J516" i="12"/>
  <c r="J517" i="12" s="1"/>
  <c r="K516" i="12"/>
  <c r="L516" i="12"/>
  <c r="R516" i="12"/>
  <c r="S516" i="12"/>
  <c r="T516" i="12"/>
  <c r="U516" i="12"/>
  <c r="D517" i="12"/>
  <c r="K517" i="12"/>
  <c r="L517" i="12"/>
  <c r="B518" i="12"/>
  <c r="C518" i="12" a="1"/>
  <c r="C518" i="12" s="1"/>
  <c r="D518" i="12"/>
  <c r="E518" i="12"/>
  <c r="F518" i="12"/>
  <c r="J518" i="12"/>
  <c r="K518" i="12"/>
  <c r="L518" i="12"/>
  <c r="R518" i="12"/>
  <c r="S518" i="12"/>
  <c r="T518" i="12"/>
  <c r="U518" i="12"/>
  <c r="D519" i="12"/>
  <c r="J519" i="12"/>
  <c r="K519" i="12"/>
  <c r="L519" i="12"/>
  <c r="B520" i="12"/>
  <c r="C520" i="12" a="1"/>
  <c r="C520" i="12" s="1"/>
  <c r="D520" i="12"/>
  <c r="E520" i="12"/>
  <c r="F520" i="12"/>
  <c r="H520" i="12" s="1"/>
  <c r="J520" i="12"/>
  <c r="K520" i="12"/>
  <c r="L520" i="12"/>
  <c r="L521" i="12" s="1"/>
  <c r="R520" i="12"/>
  <c r="S520" i="12"/>
  <c r="T520" i="12"/>
  <c r="U520" i="12"/>
  <c r="D521" i="12"/>
  <c r="J521" i="12"/>
  <c r="K521" i="12"/>
  <c r="B522" i="12"/>
  <c r="C522" i="12" a="1"/>
  <c r="C522" i="12"/>
  <c r="D522" i="12"/>
  <c r="E522" i="12"/>
  <c r="F522" i="12"/>
  <c r="H522" i="12" s="1"/>
  <c r="J522" i="12"/>
  <c r="K522" i="12"/>
  <c r="K523" i="12" s="1"/>
  <c r="L522" i="12"/>
  <c r="L523" i="12" s="1"/>
  <c r="R522" i="12"/>
  <c r="S522" i="12"/>
  <c r="T522" i="12"/>
  <c r="U522" i="12"/>
  <c r="D523" i="12"/>
  <c r="J523" i="12"/>
  <c r="B524" i="12"/>
  <c r="C524" i="12" a="1"/>
  <c r="C524" i="12" s="1"/>
  <c r="D524" i="12"/>
  <c r="E524" i="12"/>
  <c r="F524" i="12"/>
  <c r="J524" i="12"/>
  <c r="J525" i="12" s="1"/>
  <c r="K524" i="12"/>
  <c r="K525" i="12" s="1"/>
  <c r="L524" i="12"/>
  <c r="L525" i="12" s="1"/>
  <c r="R524" i="12"/>
  <c r="S524" i="12"/>
  <c r="T524" i="12"/>
  <c r="U524" i="12"/>
  <c r="D525" i="12"/>
  <c r="B526" i="12"/>
  <c r="C526" i="12" a="1"/>
  <c r="C526" i="12"/>
  <c r="D526" i="12"/>
  <c r="E526" i="12"/>
  <c r="F526" i="12"/>
  <c r="H526" i="12"/>
  <c r="I526" i="12"/>
  <c r="J526" i="12"/>
  <c r="J527" i="12" s="1"/>
  <c r="K526" i="12"/>
  <c r="K527" i="12" s="1"/>
  <c r="L526" i="12"/>
  <c r="R526" i="12"/>
  <c r="S526" i="12"/>
  <c r="T526" i="12"/>
  <c r="U526" i="12"/>
  <c r="D527" i="12"/>
  <c r="L527" i="12"/>
  <c r="B528" i="12"/>
  <c r="C528" i="12" a="1"/>
  <c r="C528" i="12" s="1"/>
  <c r="D528" i="12"/>
  <c r="E528" i="12"/>
  <c r="F528" i="12"/>
  <c r="H528" i="12"/>
  <c r="I528" i="12"/>
  <c r="J528" i="12"/>
  <c r="J529" i="12" s="1"/>
  <c r="K528" i="12"/>
  <c r="L528" i="12"/>
  <c r="R528" i="12"/>
  <c r="S528" i="12"/>
  <c r="T528" i="12"/>
  <c r="U528" i="12"/>
  <c r="D529" i="12"/>
  <c r="K529" i="12"/>
  <c r="L529" i="12"/>
  <c r="B530" i="12"/>
  <c r="C530" i="12" a="1"/>
  <c r="C530" i="12"/>
  <c r="D530" i="12"/>
  <c r="E530" i="12"/>
  <c r="F530" i="12"/>
  <c r="H530" i="12"/>
  <c r="I530" i="12"/>
  <c r="J530" i="12"/>
  <c r="K530" i="12"/>
  <c r="K531" i="12" s="1"/>
  <c r="L530" i="12"/>
  <c r="R530" i="12"/>
  <c r="S530" i="12"/>
  <c r="T530" i="12"/>
  <c r="U530" i="12"/>
  <c r="D531" i="12"/>
  <c r="J531" i="12"/>
  <c r="L531" i="12"/>
  <c r="B532" i="12"/>
  <c r="C532" i="12" a="1"/>
  <c r="C532" i="12" s="1"/>
  <c r="D532" i="12"/>
  <c r="E532" i="12"/>
  <c r="F532" i="12"/>
  <c r="H532" i="12" s="1"/>
  <c r="M532" i="12" s="1"/>
  <c r="G532" i="12"/>
  <c r="I532" i="12"/>
  <c r="J532" i="12"/>
  <c r="J533" i="12" s="1"/>
  <c r="K532" i="12"/>
  <c r="L532" i="12"/>
  <c r="R532" i="12"/>
  <c r="S532" i="12"/>
  <c r="T532" i="12"/>
  <c r="U532" i="12"/>
  <c r="D533" i="12"/>
  <c r="K533" i="12"/>
  <c r="L533" i="12"/>
  <c r="B534" i="12"/>
  <c r="C534" i="12" a="1"/>
  <c r="C534" i="12" s="1"/>
  <c r="D534" i="12"/>
  <c r="E534" i="12"/>
  <c r="F534" i="12"/>
  <c r="I534" i="12" s="1"/>
  <c r="H534" i="12"/>
  <c r="M534" i="12" s="1"/>
  <c r="J534" i="12"/>
  <c r="K534" i="12"/>
  <c r="L534" i="12"/>
  <c r="R534" i="12"/>
  <c r="S534" i="12"/>
  <c r="T534" i="12"/>
  <c r="U534" i="12"/>
  <c r="D535" i="12"/>
  <c r="J535" i="12"/>
  <c r="K535" i="12"/>
  <c r="L535" i="12"/>
  <c r="B536" i="12"/>
  <c r="C536" i="12" a="1"/>
  <c r="C536" i="12"/>
  <c r="D536" i="12"/>
  <c r="E536" i="12"/>
  <c r="F536" i="12"/>
  <c r="I536" i="12" s="1"/>
  <c r="J536" i="12"/>
  <c r="K536" i="12"/>
  <c r="L536" i="12"/>
  <c r="L537" i="12" s="1"/>
  <c r="R536" i="12"/>
  <c r="S536" i="12"/>
  <c r="T536" i="12"/>
  <c r="U536" i="12"/>
  <c r="D537" i="12"/>
  <c r="J537" i="12"/>
  <c r="K537" i="12"/>
  <c r="B538" i="12"/>
  <c r="C538" i="12" a="1"/>
  <c r="C538" i="12"/>
  <c r="D538" i="12"/>
  <c r="E538" i="12"/>
  <c r="F538" i="12"/>
  <c r="J538" i="12"/>
  <c r="K538" i="12"/>
  <c r="K539" i="12" s="1"/>
  <c r="L538" i="12"/>
  <c r="L539" i="12" s="1"/>
  <c r="R538" i="12"/>
  <c r="S538" i="12"/>
  <c r="T538" i="12"/>
  <c r="U538" i="12"/>
  <c r="D539" i="12"/>
  <c r="J539" i="12"/>
  <c r="B540" i="12"/>
  <c r="C540" i="12" a="1"/>
  <c r="C540" i="12" s="1"/>
  <c r="D540" i="12"/>
  <c r="E540" i="12"/>
  <c r="F540" i="12"/>
  <c r="J540" i="12"/>
  <c r="K540" i="12"/>
  <c r="K541" i="12" s="1"/>
  <c r="L540" i="12"/>
  <c r="R540" i="12"/>
  <c r="S540" i="12"/>
  <c r="T540" i="12"/>
  <c r="U540" i="12"/>
  <c r="D541" i="12"/>
  <c r="J541" i="12"/>
  <c r="L541" i="12"/>
  <c r="B542" i="12"/>
  <c r="C542" i="12" a="1"/>
  <c r="C542" i="12" s="1"/>
  <c r="D542" i="12"/>
  <c r="E542" i="12"/>
  <c r="F542" i="12"/>
  <c r="I542" i="12" s="1"/>
  <c r="H542" i="12"/>
  <c r="J542" i="12"/>
  <c r="J543" i="12" s="1"/>
  <c r="K542" i="12"/>
  <c r="L542" i="12"/>
  <c r="L543" i="12" s="1"/>
  <c r="R542" i="12"/>
  <c r="S542" i="12"/>
  <c r="T542" i="12"/>
  <c r="U542" i="12"/>
  <c r="D543" i="12"/>
  <c r="K543" i="12"/>
  <c r="B544" i="12"/>
  <c r="C544" i="12" a="1"/>
  <c r="C544" i="12"/>
  <c r="D544" i="12"/>
  <c r="E544" i="12"/>
  <c r="F544" i="12"/>
  <c r="H544" i="12" s="1"/>
  <c r="M544" i="12" s="1"/>
  <c r="G544" i="12"/>
  <c r="I544" i="12"/>
  <c r="J544" i="12"/>
  <c r="K544" i="12"/>
  <c r="K545" i="12" s="1"/>
  <c r="L544" i="12"/>
  <c r="R544" i="12"/>
  <c r="S544" i="12"/>
  <c r="T544" i="12"/>
  <c r="U544" i="12"/>
  <c r="D545" i="12"/>
  <c r="J545" i="12"/>
  <c r="L545" i="12"/>
  <c r="B546" i="12"/>
  <c r="C546" i="12" a="1"/>
  <c r="C546" i="12" s="1"/>
  <c r="D546" i="12"/>
  <c r="E546" i="12"/>
  <c r="F546" i="12"/>
  <c r="J546" i="12"/>
  <c r="J547" i="12" s="1"/>
  <c r="K546" i="12"/>
  <c r="L546" i="12"/>
  <c r="L547" i="12" s="1"/>
  <c r="R546" i="12"/>
  <c r="S546" i="12"/>
  <c r="T546" i="12"/>
  <c r="U546" i="12"/>
  <c r="D547" i="12"/>
  <c r="K547" i="12"/>
  <c r="B548" i="12"/>
  <c r="C548" i="12" a="1"/>
  <c r="C548" i="12"/>
  <c r="D548" i="12"/>
  <c r="E548" i="12"/>
  <c r="F548" i="12"/>
  <c r="H548" i="12"/>
  <c r="I548" i="12"/>
  <c r="J548" i="12"/>
  <c r="K548" i="12"/>
  <c r="K549" i="12" s="1"/>
  <c r="L548" i="12"/>
  <c r="M548" i="12"/>
  <c r="G548" i="12" s="1"/>
  <c r="R548" i="12"/>
  <c r="S548" i="12"/>
  <c r="T548" i="12"/>
  <c r="U548" i="12"/>
  <c r="D549" i="12"/>
  <c r="J549" i="12"/>
  <c r="L549" i="12"/>
  <c r="B550" i="12"/>
  <c r="C550" i="12" a="1"/>
  <c r="C550" i="12" s="1"/>
  <c r="D550" i="12"/>
  <c r="E550" i="12"/>
  <c r="F550" i="12"/>
  <c r="H550" i="12"/>
  <c r="J550" i="12"/>
  <c r="J551" i="12" s="1"/>
  <c r="K550" i="12"/>
  <c r="L550" i="12"/>
  <c r="L551" i="12" s="1"/>
  <c r="R550" i="12"/>
  <c r="S550" i="12"/>
  <c r="T550" i="12"/>
  <c r="U550" i="12"/>
  <c r="D551" i="12"/>
  <c r="K551" i="12"/>
  <c r="B552" i="12"/>
  <c r="C552" i="12" a="1"/>
  <c r="C552" i="12"/>
  <c r="D552" i="12"/>
  <c r="E552" i="12"/>
  <c r="F552" i="12"/>
  <c r="H552" i="12" s="1"/>
  <c r="M552" i="12" s="1"/>
  <c r="G552" i="12" s="1"/>
  <c r="I552" i="12"/>
  <c r="J552" i="12"/>
  <c r="K552" i="12"/>
  <c r="K553" i="12" s="1"/>
  <c r="L552" i="12"/>
  <c r="R552" i="12"/>
  <c r="S552" i="12"/>
  <c r="T552" i="12"/>
  <c r="U552" i="12"/>
  <c r="D553" i="12"/>
  <c r="J553" i="12"/>
  <c r="L553" i="12"/>
  <c r="B554" i="12"/>
  <c r="C554" i="12" a="1"/>
  <c r="C554" i="12" s="1"/>
  <c r="D554" i="12"/>
  <c r="E554" i="12"/>
  <c r="F554" i="12"/>
  <c r="J554" i="12"/>
  <c r="J555" i="12" s="1"/>
  <c r="K554" i="12"/>
  <c r="L554" i="12"/>
  <c r="L555" i="12" s="1"/>
  <c r="R554" i="12"/>
  <c r="S554" i="12"/>
  <c r="T554" i="12"/>
  <c r="U554" i="12"/>
  <c r="D555" i="12"/>
  <c r="K555" i="12"/>
  <c r="B556" i="12"/>
  <c r="C556" i="12" a="1"/>
  <c r="C556" i="12"/>
  <c r="D556" i="12"/>
  <c r="E556" i="12"/>
  <c r="F556" i="12"/>
  <c r="H556" i="12"/>
  <c r="I556" i="12"/>
  <c r="M556" i="12" s="1"/>
  <c r="G556" i="12" s="1"/>
  <c r="Q556" i="12" s="1"/>
  <c r="J556" i="12"/>
  <c r="K556" i="12"/>
  <c r="K557" i="12" s="1"/>
  <c r="L556" i="12"/>
  <c r="R556" i="12"/>
  <c r="S556" i="12"/>
  <c r="T556" i="12"/>
  <c r="U556" i="12"/>
  <c r="D557" i="12"/>
  <c r="J557" i="12"/>
  <c r="L557" i="12"/>
  <c r="B558" i="12"/>
  <c r="C558" i="12" a="1"/>
  <c r="C558" i="12" s="1"/>
  <c r="D558" i="12"/>
  <c r="E558" i="12"/>
  <c r="F558" i="12"/>
  <c r="I558" i="12" s="1"/>
  <c r="H558" i="12"/>
  <c r="J558" i="12"/>
  <c r="J559" i="12" s="1"/>
  <c r="K558" i="12"/>
  <c r="L558" i="12"/>
  <c r="L559" i="12" s="1"/>
  <c r="R558" i="12"/>
  <c r="S558" i="12"/>
  <c r="T558" i="12"/>
  <c r="U558" i="12"/>
  <c r="D559" i="12"/>
  <c r="K559" i="12"/>
  <c r="B560" i="12"/>
  <c r="C560" i="12" a="1"/>
  <c r="C560" i="12"/>
  <c r="D560" i="12"/>
  <c r="E560" i="12"/>
  <c r="F560" i="12"/>
  <c r="H560" i="12" s="1"/>
  <c r="I560" i="12"/>
  <c r="J560" i="12"/>
  <c r="K560" i="12"/>
  <c r="K561" i="12" s="1"/>
  <c r="L560" i="12"/>
  <c r="R560" i="12"/>
  <c r="S560" i="12"/>
  <c r="T560" i="12"/>
  <c r="U560" i="12"/>
  <c r="D561" i="12"/>
  <c r="J561" i="12"/>
  <c r="L561" i="12"/>
  <c r="B562" i="12"/>
  <c r="C562" i="12" a="1"/>
  <c r="C562" i="12" s="1"/>
  <c r="D562" i="12"/>
  <c r="E562" i="12"/>
  <c r="F562" i="12"/>
  <c r="J562" i="12"/>
  <c r="J563" i="12" s="1"/>
  <c r="K562" i="12"/>
  <c r="L562" i="12"/>
  <c r="L563" i="12" s="1"/>
  <c r="R562" i="12"/>
  <c r="S562" i="12"/>
  <c r="T562" i="12"/>
  <c r="U562" i="12"/>
  <c r="D563" i="12"/>
  <c r="K563" i="12"/>
  <c r="B564" i="12"/>
  <c r="C564" i="12" a="1"/>
  <c r="C564" i="12"/>
  <c r="D564" i="12"/>
  <c r="E564" i="12"/>
  <c r="F564" i="12"/>
  <c r="H564" i="12"/>
  <c r="I564" i="12"/>
  <c r="J564" i="12"/>
  <c r="K564" i="12"/>
  <c r="K565" i="12" s="1"/>
  <c r="M564" i="12" s="1"/>
  <c r="G564" i="12" s="1"/>
  <c r="L564" i="12"/>
  <c r="R564" i="12"/>
  <c r="S564" i="12"/>
  <c r="T564" i="12"/>
  <c r="U564" i="12"/>
  <c r="D565" i="12"/>
  <c r="J565" i="12"/>
  <c r="L565" i="12"/>
  <c r="B566" i="12"/>
  <c r="C566" i="12" a="1"/>
  <c r="C566" i="12" s="1"/>
  <c r="D566" i="12"/>
  <c r="E566" i="12"/>
  <c r="F566" i="12"/>
  <c r="H566" i="12"/>
  <c r="J566" i="12"/>
  <c r="J567" i="12" s="1"/>
  <c r="K566" i="12"/>
  <c r="L566" i="12"/>
  <c r="L567" i="12" s="1"/>
  <c r="R566" i="12"/>
  <c r="S566" i="12"/>
  <c r="T566" i="12"/>
  <c r="U566" i="12"/>
  <c r="D567" i="12"/>
  <c r="K567" i="12"/>
  <c r="B568" i="12"/>
  <c r="C568" i="12" a="1"/>
  <c r="C568" i="12"/>
  <c r="D568" i="12"/>
  <c r="E568" i="12"/>
  <c r="F568" i="12"/>
  <c r="H568" i="12" s="1"/>
  <c r="M568" i="12" s="1"/>
  <c r="G568" i="12" s="1"/>
  <c r="I568" i="12"/>
  <c r="J568" i="12"/>
  <c r="K568" i="12"/>
  <c r="K569" i="12" s="1"/>
  <c r="L568" i="12"/>
  <c r="R568" i="12"/>
  <c r="S568" i="12"/>
  <c r="T568" i="12"/>
  <c r="U568" i="12"/>
  <c r="D569" i="12"/>
  <c r="J569" i="12"/>
  <c r="L569" i="12"/>
  <c r="B570" i="12"/>
  <c r="C570" i="12" a="1"/>
  <c r="C570" i="12" s="1"/>
  <c r="D570" i="12"/>
  <c r="E570" i="12"/>
  <c r="F570" i="12"/>
  <c r="J570" i="12"/>
  <c r="J571" i="12" s="1"/>
  <c r="K570" i="12"/>
  <c r="L570" i="12"/>
  <c r="L571" i="12" s="1"/>
  <c r="R570" i="12"/>
  <c r="S570" i="12"/>
  <c r="T570" i="12"/>
  <c r="U570" i="12"/>
  <c r="D571" i="12"/>
  <c r="K571" i="12"/>
  <c r="B572" i="12"/>
  <c r="C572" i="12" a="1"/>
  <c r="C572" i="12"/>
  <c r="D572" i="12"/>
  <c r="E572" i="12"/>
  <c r="F572" i="12"/>
  <c r="H572" i="12"/>
  <c r="I572" i="12"/>
  <c r="M572" i="12" s="1"/>
  <c r="G572" i="12" s="1"/>
  <c r="J572" i="12"/>
  <c r="K572" i="12"/>
  <c r="K573" i="12" s="1"/>
  <c r="L572" i="12"/>
  <c r="R572" i="12"/>
  <c r="S572" i="12"/>
  <c r="T572" i="12"/>
  <c r="U572" i="12"/>
  <c r="D573" i="12"/>
  <c r="J573" i="12"/>
  <c r="L573" i="12"/>
  <c r="B574" i="12"/>
  <c r="C574" i="12" a="1"/>
  <c r="C574" i="12" s="1"/>
  <c r="D574" i="12"/>
  <c r="E574" i="12"/>
  <c r="F574" i="12"/>
  <c r="I574" i="12" s="1"/>
  <c r="H574" i="12"/>
  <c r="J574" i="12"/>
  <c r="J575" i="12" s="1"/>
  <c r="K574" i="12"/>
  <c r="L574" i="12"/>
  <c r="L575" i="12" s="1"/>
  <c r="R574" i="12"/>
  <c r="S574" i="12"/>
  <c r="T574" i="12"/>
  <c r="U574" i="12"/>
  <c r="D575" i="12"/>
  <c r="K575" i="12"/>
  <c r="B576" i="12"/>
  <c r="C576" i="12" a="1"/>
  <c r="C576" i="12"/>
  <c r="D576" i="12"/>
  <c r="E576" i="12"/>
  <c r="F576" i="12"/>
  <c r="H576" i="12" s="1"/>
  <c r="I576" i="12"/>
  <c r="J576" i="12"/>
  <c r="K576" i="12"/>
  <c r="K577" i="12" s="1"/>
  <c r="L576" i="12"/>
  <c r="R576" i="12"/>
  <c r="S576" i="12"/>
  <c r="T576" i="12"/>
  <c r="U576" i="12"/>
  <c r="D577" i="12"/>
  <c r="J577" i="12"/>
  <c r="L577" i="12"/>
  <c r="B578" i="12"/>
  <c r="C578" i="12" a="1"/>
  <c r="C578" i="12" s="1"/>
  <c r="D578" i="12"/>
  <c r="E578" i="12"/>
  <c r="F578" i="12"/>
  <c r="J578" i="12"/>
  <c r="J579" i="12" s="1"/>
  <c r="K578" i="12"/>
  <c r="L578" i="12"/>
  <c r="L579" i="12" s="1"/>
  <c r="R578" i="12"/>
  <c r="S578" i="12"/>
  <c r="T578" i="12"/>
  <c r="U578" i="12"/>
  <c r="D579" i="12"/>
  <c r="K579" i="12"/>
  <c r="B580" i="12"/>
  <c r="C580" i="12" a="1"/>
  <c r="C580" i="12"/>
  <c r="D580" i="12"/>
  <c r="E580" i="12"/>
  <c r="F580" i="12"/>
  <c r="H580" i="12"/>
  <c r="I580" i="12"/>
  <c r="J580" i="12"/>
  <c r="K580" i="12"/>
  <c r="K581" i="12" s="1"/>
  <c r="M580" i="12" s="1"/>
  <c r="G580" i="12" s="1"/>
  <c r="L580" i="12"/>
  <c r="R580" i="12"/>
  <c r="S580" i="12"/>
  <c r="T580" i="12"/>
  <c r="U580" i="12"/>
  <c r="D581" i="12"/>
  <c r="J581" i="12"/>
  <c r="L581" i="12"/>
  <c r="B582" i="12"/>
  <c r="C582" i="12" a="1"/>
  <c r="C582" i="12" s="1"/>
  <c r="D582" i="12"/>
  <c r="E582" i="12"/>
  <c r="F582" i="12"/>
  <c r="H582" i="12"/>
  <c r="J582" i="12"/>
  <c r="J583" i="12" s="1"/>
  <c r="K582" i="12"/>
  <c r="L582" i="12"/>
  <c r="L583" i="12" s="1"/>
  <c r="R582" i="12"/>
  <c r="S582" i="12"/>
  <c r="T582" i="12"/>
  <c r="U582" i="12"/>
  <c r="D583" i="12"/>
  <c r="K583" i="12"/>
  <c r="B584" i="12"/>
  <c r="C584" i="12" a="1"/>
  <c r="C584" i="12"/>
  <c r="D584" i="12"/>
  <c r="E584" i="12"/>
  <c r="F584" i="12"/>
  <c r="H584" i="12" s="1"/>
  <c r="I584" i="12"/>
  <c r="J584" i="12"/>
  <c r="K584" i="12"/>
  <c r="K585" i="12" s="1"/>
  <c r="L584" i="12"/>
  <c r="R584" i="12"/>
  <c r="S584" i="12"/>
  <c r="T584" i="12"/>
  <c r="U584" i="12"/>
  <c r="D585" i="12"/>
  <c r="J585" i="12"/>
  <c r="L585" i="12"/>
  <c r="B586" i="12"/>
  <c r="C586" i="12" a="1"/>
  <c r="C586" i="12" s="1"/>
  <c r="D586" i="12"/>
  <c r="E586" i="12"/>
  <c r="F586" i="12"/>
  <c r="J586" i="12"/>
  <c r="J587" i="12" s="1"/>
  <c r="K586" i="12"/>
  <c r="L586" i="12"/>
  <c r="L587" i="12" s="1"/>
  <c r="R586" i="12"/>
  <c r="S586" i="12"/>
  <c r="T586" i="12"/>
  <c r="U586" i="12"/>
  <c r="D587" i="12"/>
  <c r="K587" i="12"/>
  <c r="B588" i="12"/>
  <c r="C588" i="12" a="1"/>
  <c r="C588" i="12"/>
  <c r="D588" i="12"/>
  <c r="E588" i="12"/>
  <c r="F588" i="12"/>
  <c r="H588" i="12"/>
  <c r="I588" i="12"/>
  <c r="J588" i="12"/>
  <c r="K588" i="12"/>
  <c r="K589" i="12" s="1"/>
  <c r="L588" i="12"/>
  <c r="R588" i="12"/>
  <c r="S588" i="12"/>
  <c r="T588" i="12"/>
  <c r="U588" i="12"/>
  <c r="D589" i="12"/>
  <c r="J589" i="12"/>
  <c r="L589" i="12"/>
  <c r="B590" i="12"/>
  <c r="C590" i="12" a="1"/>
  <c r="C590" i="12" s="1"/>
  <c r="D590" i="12"/>
  <c r="E590" i="12"/>
  <c r="F590" i="12"/>
  <c r="I590" i="12" s="1"/>
  <c r="H590" i="12"/>
  <c r="J590" i="12"/>
  <c r="J591" i="12" s="1"/>
  <c r="K590" i="12"/>
  <c r="L590" i="12"/>
  <c r="L591" i="12" s="1"/>
  <c r="R590" i="12"/>
  <c r="S590" i="12"/>
  <c r="T590" i="12"/>
  <c r="U590" i="12"/>
  <c r="D591" i="12"/>
  <c r="K591" i="12"/>
  <c r="B592" i="12"/>
  <c r="C592" i="12" a="1"/>
  <c r="C592" i="12"/>
  <c r="D592" i="12"/>
  <c r="E592" i="12"/>
  <c r="F592" i="12"/>
  <c r="H592" i="12" s="1"/>
  <c r="M592" i="12" s="1"/>
  <c r="G592" i="12"/>
  <c r="O592" i="12" s="1"/>
  <c r="I592" i="12"/>
  <c r="J592" i="12"/>
  <c r="K592" i="12"/>
  <c r="K593" i="12" s="1"/>
  <c r="L592" i="12"/>
  <c r="R592" i="12"/>
  <c r="S592" i="12"/>
  <c r="T592" i="12"/>
  <c r="U592" i="12"/>
  <c r="D593" i="12"/>
  <c r="J593" i="12"/>
  <c r="L593" i="12"/>
  <c r="B594" i="12"/>
  <c r="C594" i="12" a="1"/>
  <c r="C594" i="12" s="1"/>
  <c r="D594" i="12"/>
  <c r="E594" i="12"/>
  <c r="F594" i="12"/>
  <c r="J594" i="12"/>
  <c r="J595" i="12" s="1"/>
  <c r="K594" i="12"/>
  <c r="L594" i="12"/>
  <c r="L595" i="12" s="1"/>
  <c r="R594" i="12"/>
  <c r="S594" i="12"/>
  <c r="T594" i="12"/>
  <c r="U594" i="12"/>
  <c r="D595" i="12"/>
  <c r="K595" i="12"/>
  <c r="B596" i="12"/>
  <c r="C596" i="12" a="1"/>
  <c r="C596" i="12"/>
  <c r="D596" i="12"/>
  <c r="E596" i="12"/>
  <c r="F596" i="12"/>
  <c r="H596" i="12"/>
  <c r="I596" i="12"/>
  <c r="J596" i="12"/>
  <c r="K596" i="12"/>
  <c r="K597" i="12" s="1"/>
  <c r="L596" i="12"/>
  <c r="M596" i="12"/>
  <c r="G596" i="12" s="1"/>
  <c r="R596" i="12"/>
  <c r="S596" i="12"/>
  <c r="T596" i="12"/>
  <c r="U596" i="12"/>
  <c r="D597" i="12"/>
  <c r="J597" i="12"/>
  <c r="L597" i="12"/>
  <c r="B598" i="12"/>
  <c r="C598" i="12" a="1"/>
  <c r="C598" i="12" s="1"/>
  <c r="D598" i="12"/>
  <c r="E598" i="12"/>
  <c r="F598" i="12"/>
  <c r="H598" i="12"/>
  <c r="J598" i="12"/>
  <c r="J599" i="12" s="1"/>
  <c r="K598" i="12"/>
  <c r="L598" i="12"/>
  <c r="L599" i="12" s="1"/>
  <c r="R598" i="12"/>
  <c r="S598" i="12"/>
  <c r="T598" i="12"/>
  <c r="U598" i="12"/>
  <c r="D599" i="12"/>
  <c r="K599" i="12"/>
  <c r="B600" i="12"/>
  <c r="C600" i="12" a="1"/>
  <c r="C600" i="12"/>
  <c r="D600" i="12"/>
  <c r="E600" i="12"/>
  <c r="F600" i="12"/>
  <c r="H600" i="12" s="1"/>
  <c r="I600" i="12"/>
  <c r="J600" i="12"/>
  <c r="K600" i="12"/>
  <c r="K601" i="12" s="1"/>
  <c r="L600" i="12"/>
  <c r="R600" i="12"/>
  <c r="S600" i="12"/>
  <c r="T600" i="12"/>
  <c r="U600" i="12"/>
  <c r="D601" i="12"/>
  <c r="J601" i="12"/>
  <c r="L601" i="12"/>
  <c r="B602" i="12"/>
  <c r="C602" i="12" a="1"/>
  <c r="C602" i="12" s="1"/>
  <c r="D602" i="12"/>
  <c r="E602" i="12"/>
  <c r="F602" i="12"/>
  <c r="J602" i="12"/>
  <c r="J603" i="12" s="1"/>
  <c r="K602" i="12"/>
  <c r="L602" i="12"/>
  <c r="L603" i="12" s="1"/>
  <c r="R602" i="12"/>
  <c r="S602" i="12"/>
  <c r="T602" i="12"/>
  <c r="U602" i="12"/>
  <c r="D603" i="12"/>
  <c r="K603" i="12"/>
  <c r="B604" i="12"/>
  <c r="C604" i="12" a="1"/>
  <c r="C604" i="12"/>
  <c r="D604" i="12"/>
  <c r="E604" i="12"/>
  <c r="F604" i="12"/>
  <c r="H604" i="12"/>
  <c r="I604" i="12"/>
  <c r="J604" i="12"/>
  <c r="K604" i="12"/>
  <c r="K605" i="12" s="1"/>
  <c r="L604" i="12"/>
  <c r="R604" i="12"/>
  <c r="S604" i="12"/>
  <c r="T604" i="12"/>
  <c r="U604" i="12"/>
  <c r="D605" i="12"/>
  <c r="J605" i="12"/>
  <c r="L605" i="12"/>
  <c r="B606" i="12"/>
  <c r="C606" i="12" a="1"/>
  <c r="C606" i="12" s="1"/>
  <c r="D606" i="12"/>
  <c r="E606" i="12"/>
  <c r="F606" i="12"/>
  <c r="I606" i="12" s="1"/>
  <c r="H606" i="12"/>
  <c r="J606" i="12"/>
  <c r="J607" i="12" s="1"/>
  <c r="K606" i="12"/>
  <c r="L606" i="12"/>
  <c r="L607" i="12" s="1"/>
  <c r="R606" i="12"/>
  <c r="S606" i="12"/>
  <c r="T606" i="12"/>
  <c r="U606" i="12"/>
  <c r="D607" i="12"/>
  <c r="K607" i="12"/>
  <c r="B608" i="12"/>
  <c r="C608" i="12" a="1"/>
  <c r="C608" i="12"/>
  <c r="D608" i="12"/>
  <c r="E608" i="12"/>
  <c r="F608" i="12"/>
  <c r="H608" i="12" s="1"/>
  <c r="M608" i="12" s="1"/>
  <c r="G608" i="12"/>
  <c r="I608" i="12"/>
  <c r="J608" i="12"/>
  <c r="K608" i="12"/>
  <c r="K609" i="12" s="1"/>
  <c r="L608" i="12"/>
  <c r="R608" i="12"/>
  <c r="S608" i="12"/>
  <c r="T608" i="12"/>
  <c r="U608" i="12"/>
  <c r="D609" i="12"/>
  <c r="J609" i="12"/>
  <c r="L609" i="12"/>
  <c r="B610" i="12"/>
  <c r="C610" i="12" a="1"/>
  <c r="C610" i="12" s="1"/>
  <c r="D610" i="12"/>
  <c r="E610" i="12"/>
  <c r="F610" i="12"/>
  <c r="J610" i="12"/>
  <c r="J611" i="12" s="1"/>
  <c r="K610" i="12"/>
  <c r="L610" i="12"/>
  <c r="L611" i="12" s="1"/>
  <c r="R610" i="12"/>
  <c r="S610" i="12"/>
  <c r="T610" i="12"/>
  <c r="U610" i="12"/>
  <c r="D611" i="12"/>
  <c r="K611" i="12"/>
  <c r="B612" i="12"/>
  <c r="C612" i="12" a="1"/>
  <c r="C612" i="12"/>
  <c r="D612" i="12"/>
  <c r="E612" i="12"/>
  <c r="F612" i="12"/>
  <c r="H612" i="12"/>
  <c r="I612" i="12"/>
  <c r="J612" i="12"/>
  <c r="K612" i="12"/>
  <c r="K613" i="12" s="1"/>
  <c r="L612" i="12"/>
  <c r="M612" i="12"/>
  <c r="G612" i="12" s="1"/>
  <c r="R612" i="12"/>
  <c r="S612" i="12"/>
  <c r="T612" i="12"/>
  <c r="U612" i="12"/>
  <c r="D613" i="12"/>
  <c r="J613" i="12"/>
  <c r="L613" i="12"/>
  <c r="B614" i="12"/>
  <c r="C614" i="12" a="1"/>
  <c r="C614" i="12" s="1"/>
  <c r="D614" i="12"/>
  <c r="E614" i="12"/>
  <c r="F614" i="12"/>
  <c r="H614" i="12"/>
  <c r="J614" i="12"/>
  <c r="J615" i="12" s="1"/>
  <c r="K614" i="12"/>
  <c r="L614" i="12"/>
  <c r="L615" i="12" s="1"/>
  <c r="R614" i="12"/>
  <c r="S614" i="12"/>
  <c r="T614" i="12"/>
  <c r="U614" i="12"/>
  <c r="D615" i="12"/>
  <c r="K615" i="12"/>
  <c r="B616" i="12"/>
  <c r="C616" i="12" a="1"/>
  <c r="C616" i="12"/>
  <c r="D616" i="12"/>
  <c r="E616" i="12"/>
  <c r="F616" i="12"/>
  <c r="H616" i="12" s="1"/>
  <c r="M616" i="12" s="1"/>
  <c r="G616" i="12" s="1"/>
  <c r="I616" i="12"/>
  <c r="J616" i="12"/>
  <c r="K616" i="12"/>
  <c r="K617" i="12" s="1"/>
  <c r="L616" i="12"/>
  <c r="R616" i="12"/>
  <c r="S616" i="12"/>
  <c r="T616" i="12"/>
  <c r="U616" i="12"/>
  <c r="D617" i="12"/>
  <c r="J617" i="12"/>
  <c r="L617" i="12"/>
  <c r="B618" i="12"/>
  <c r="C618" i="12" a="1"/>
  <c r="C618" i="12" s="1"/>
  <c r="D618" i="12"/>
  <c r="E618" i="12"/>
  <c r="F618" i="12"/>
  <c r="J618" i="12"/>
  <c r="J619" i="12" s="1"/>
  <c r="K618" i="12"/>
  <c r="L618" i="12"/>
  <c r="L619" i="12" s="1"/>
  <c r="R618" i="12"/>
  <c r="S618" i="12"/>
  <c r="T618" i="12"/>
  <c r="U618" i="12"/>
  <c r="D619" i="12"/>
  <c r="K619" i="12"/>
  <c r="B620" i="12"/>
  <c r="C620" i="12" a="1"/>
  <c r="C620" i="12"/>
  <c r="D620" i="12"/>
  <c r="E620" i="12"/>
  <c r="F620" i="12"/>
  <c r="H620" i="12"/>
  <c r="I620" i="12"/>
  <c r="M620" i="12" s="1"/>
  <c r="G620" i="12" s="1"/>
  <c r="Q620" i="12" s="1"/>
  <c r="J620" i="12"/>
  <c r="K620" i="12"/>
  <c r="K621" i="12" s="1"/>
  <c r="L620" i="12"/>
  <c r="R620" i="12"/>
  <c r="S620" i="12"/>
  <c r="T620" i="12"/>
  <c r="U620" i="12"/>
  <c r="D621" i="12"/>
  <c r="J621" i="12"/>
  <c r="L621" i="12"/>
  <c r="B622" i="12"/>
  <c r="C622" i="12" a="1"/>
  <c r="C622" i="12" s="1"/>
  <c r="D622" i="12"/>
  <c r="E622" i="12"/>
  <c r="F622" i="12"/>
  <c r="I622" i="12" s="1"/>
  <c r="H622" i="12"/>
  <c r="J622" i="12"/>
  <c r="J623" i="12" s="1"/>
  <c r="K622" i="12"/>
  <c r="L622" i="12"/>
  <c r="L623" i="12" s="1"/>
  <c r="R622" i="12"/>
  <c r="S622" i="12"/>
  <c r="T622" i="12"/>
  <c r="U622" i="12"/>
  <c r="D623" i="12"/>
  <c r="K623" i="12"/>
  <c r="B624" i="12"/>
  <c r="C624" i="12" a="1"/>
  <c r="C624" i="12"/>
  <c r="D624" i="12"/>
  <c r="E624" i="12"/>
  <c r="F624" i="12"/>
  <c r="H624" i="12" s="1"/>
  <c r="I624" i="12"/>
  <c r="J624" i="12"/>
  <c r="K624" i="12"/>
  <c r="K625" i="12" s="1"/>
  <c r="L624" i="12"/>
  <c r="R624" i="12"/>
  <c r="S624" i="12"/>
  <c r="T624" i="12"/>
  <c r="U624" i="12"/>
  <c r="D625" i="12"/>
  <c r="J625" i="12"/>
  <c r="L625" i="12"/>
  <c r="B626" i="12"/>
  <c r="C626" i="12" a="1"/>
  <c r="C626" i="12" s="1"/>
  <c r="D626" i="12"/>
  <c r="E626" i="12"/>
  <c r="F626" i="12"/>
  <c r="J626" i="12"/>
  <c r="J627" i="12" s="1"/>
  <c r="K626" i="12"/>
  <c r="L626" i="12"/>
  <c r="L627" i="12" s="1"/>
  <c r="R626" i="12"/>
  <c r="S626" i="12"/>
  <c r="T626" i="12"/>
  <c r="U626" i="12"/>
  <c r="D627" i="12"/>
  <c r="K627" i="12"/>
  <c r="B628" i="12"/>
  <c r="C628" i="12" a="1"/>
  <c r="C628" i="12"/>
  <c r="D628" i="12"/>
  <c r="E628" i="12"/>
  <c r="F628" i="12"/>
  <c r="H628" i="12"/>
  <c r="I628" i="12"/>
  <c r="J628" i="12"/>
  <c r="K628" i="12"/>
  <c r="K629" i="12" s="1"/>
  <c r="M628" i="12" s="1"/>
  <c r="G628" i="12" s="1"/>
  <c r="L628" i="12"/>
  <c r="R628" i="12"/>
  <c r="S628" i="12"/>
  <c r="T628" i="12"/>
  <c r="U628" i="12"/>
  <c r="D629" i="12"/>
  <c r="J629" i="12"/>
  <c r="L629" i="12"/>
  <c r="B630" i="12"/>
  <c r="C630" i="12" a="1"/>
  <c r="C630" i="12" s="1"/>
  <c r="D630" i="12"/>
  <c r="E630" i="12"/>
  <c r="F630" i="12"/>
  <c r="H630" i="12"/>
  <c r="J630" i="12"/>
  <c r="J631" i="12" s="1"/>
  <c r="K630" i="12"/>
  <c r="L630" i="12"/>
  <c r="L631" i="12" s="1"/>
  <c r="R630" i="12"/>
  <c r="S630" i="12"/>
  <c r="T630" i="12"/>
  <c r="U630" i="12"/>
  <c r="D631" i="12"/>
  <c r="K631" i="12"/>
  <c r="B632" i="12"/>
  <c r="C632" i="12" a="1"/>
  <c r="C632" i="12"/>
  <c r="D632" i="12"/>
  <c r="E632" i="12"/>
  <c r="F632" i="12"/>
  <c r="H632" i="12" s="1"/>
  <c r="I632" i="12"/>
  <c r="J632" i="12"/>
  <c r="K632" i="12"/>
  <c r="K633" i="12" s="1"/>
  <c r="L632" i="12"/>
  <c r="R632" i="12"/>
  <c r="S632" i="12"/>
  <c r="T632" i="12"/>
  <c r="U632" i="12"/>
  <c r="D633" i="12"/>
  <c r="J633" i="12"/>
  <c r="L633" i="12"/>
  <c r="B634" i="12"/>
  <c r="C634" i="12" a="1"/>
  <c r="C634" i="12" s="1"/>
  <c r="D634" i="12"/>
  <c r="E634" i="12"/>
  <c r="F634" i="12"/>
  <c r="J634" i="12"/>
  <c r="J635" i="12" s="1"/>
  <c r="K634" i="12"/>
  <c r="L634" i="12"/>
  <c r="L635" i="12" s="1"/>
  <c r="R634" i="12"/>
  <c r="S634" i="12"/>
  <c r="T634" i="12"/>
  <c r="U634" i="12"/>
  <c r="D635" i="12"/>
  <c r="K635" i="12"/>
  <c r="B636" i="12"/>
  <c r="C636" i="12" a="1"/>
  <c r="C636" i="12"/>
  <c r="D636" i="12"/>
  <c r="E636" i="12"/>
  <c r="F636" i="12"/>
  <c r="H636" i="12"/>
  <c r="I636" i="12"/>
  <c r="M636" i="12" s="1"/>
  <c r="G636" i="12" s="1"/>
  <c r="Q636" i="12" s="1"/>
  <c r="J636" i="12"/>
  <c r="K636" i="12"/>
  <c r="K637" i="12" s="1"/>
  <c r="L636" i="12"/>
  <c r="R636" i="12"/>
  <c r="S636" i="12"/>
  <c r="T636" i="12"/>
  <c r="U636" i="12"/>
  <c r="D637" i="12"/>
  <c r="J637" i="12"/>
  <c r="L637" i="12"/>
  <c r="B638" i="12"/>
  <c r="C638" i="12" a="1"/>
  <c r="C638" i="12" s="1"/>
  <c r="D638" i="12"/>
  <c r="E638" i="12"/>
  <c r="F638" i="12"/>
  <c r="I638" i="12" s="1"/>
  <c r="H638" i="12"/>
  <c r="J638" i="12"/>
  <c r="J639" i="12" s="1"/>
  <c r="K638" i="12"/>
  <c r="L638" i="12"/>
  <c r="L639" i="12" s="1"/>
  <c r="R638" i="12"/>
  <c r="S638" i="12"/>
  <c r="T638" i="12"/>
  <c r="U638" i="12"/>
  <c r="D639" i="12"/>
  <c r="K639" i="12"/>
  <c r="B640" i="12"/>
  <c r="C640" i="12" a="1"/>
  <c r="C640" i="12"/>
  <c r="D640" i="12"/>
  <c r="E640" i="12"/>
  <c r="F640" i="12"/>
  <c r="H640" i="12" s="1"/>
  <c r="I640" i="12"/>
  <c r="J640" i="12"/>
  <c r="K640" i="12"/>
  <c r="K641" i="12" s="1"/>
  <c r="L640" i="12"/>
  <c r="R640" i="12"/>
  <c r="S640" i="12"/>
  <c r="T640" i="12"/>
  <c r="U640" i="12"/>
  <c r="D641" i="12"/>
  <c r="J641" i="12"/>
  <c r="L641" i="12"/>
  <c r="B642" i="12"/>
  <c r="C642" i="12" a="1"/>
  <c r="C642" i="12" s="1"/>
  <c r="D642" i="12"/>
  <c r="E642" i="12"/>
  <c r="F642" i="12"/>
  <c r="J642" i="12"/>
  <c r="J643" i="12" s="1"/>
  <c r="K642" i="12"/>
  <c r="L642" i="12"/>
  <c r="L643" i="12" s="1"/>
  <c r="R642" i="12"/>
  <c r="S642" i="12"/>
  <c r="T642" i="12"/>
  <c r="U642" i="12"/>
  <c r="D643" i="12"/>
  <c r="K643" i="12"/>
  <c r="B644" i="12"/>
  <c r="C644" i="12" a="1"/>
  <c r="C644" i="12"/>
  <c r="D644" i="12"/>
  <c r="E644" i="12"/>
  <c r="F644" i="12"/>
  <c r="H644" i="12"/>
  <c r="I644" i="12"/>
  <c r="J644" i="12"/>
  <c r="K644" i="12"/>
  <c r="K645" i="12" s="1"/>
  <c r="M644" i="12" s="1"/>
  <c r="G644" i="12" s="1"/>
  <c r="L644" i="12"/>
  <c r="R644" i="12"/>
  <c r="S644" i="12"/>
  <c r="T644" i="12"/>
  <c r="U644" i="12"/>
  <c r="D645" i="12"/>
  <c r="J645" i="12"/>
  <c r="L645" i="12"/>
  <c r="B646" i="12"/>
  <c r="C646" i="12" a="1"/>
  <c r="C646" i="12" s="1"/>
  <c r="D646" i="12"/>
  <c r="E646" i="12"/>
  <c r="F646" i="12"/>
  <c r="H646" i="12"/>
  <c r="J646" i="12"/>
  <c r="J647" i="12" s="1"/>
  <c r="K646" i="12"/>
  <c r="L646" i="12"/>
  <c r="L647" i="12" s="1"/>
  <c r="R646" i="12"/>
  <c r="S646" i="12"/>
  <c r="T646" i="12"/>
  <c r="U646" i="12"/>
  <c r="D647" i="12"/>
  <c r="K647" i="12"/>
  <c r="B648" i="12"/>
  <c r="C648" i="12" a="1"/>
  <c r="C648" i="12"/>
  <c r="D648" i="12"/>
  <c r="E648" i="12"/>
  <c r="F648" i="12"/>
  <c r="H648" i="12" s="1"/>
  <c r="I648" i="12"/>
  <c r="J648" i="12"/>
  <c r="K648" i="12"/>
  <c r="K649" i="12" s="1"/>
  <c r="L648" i="12"/>
  <c r="R648" i="12"/>
  <c r="S648" i="12"/>
  <c r="T648" i="12"/>
  <c r="U648" i="12"/>
  <c r="D649" i="12"/>
  <c r="J649" i="12"/>
  <c r="L649" i="12"/>
  <c r="B650" i="12"/>
  <c r="C650" i="12" a="1"/>
  <c r="C650" i="12" s="1"/>
  <c r="D650" i="12"/>
  <c r="E650" i="12"/>
  <c r="F650" i="12"/>
  <c r="J650" i="12"/>
  <c r="J651" i="12" s="1"/>
  <c r="K650" i="12"/>
  <c r="L650" i="12"/>
  <c r="L651" i="12" s="1"/>
  <c r="R650" i="12"/>
  <c r="S650" i="12"/>
  <c r="T650" i="12"/>
  <c r="U650" i="12"/>
  <c r="D651" i="12"/>
  <c r="K651" i="12"/>
  <c r="B652" i="12"/>
  <c r="C652" i="12" a="1"/>
  <c r="C652" i="12"/>
  <c r="D652" i="12"/>
  <c r="E652" i="12"/>
  <c r="F652" i="12"/>
  <c r="H652" i="12"/>
  <c r="I652" i="12"/>
  <c r="J652" i="12"/>
  <c r="K652" i="12"/>
  <c r="K653" i="12" s="1"/>
  <c r="L652" i="12"/>
  <c r="R652" i="12"/>
  <c r="S652" i="12"/>
  <c r="T652" i="12"/>
  <c r="U652" i="12"/>
  <c r="D653" i="12"/>
  <c r="J653" i="12"/>
  <c r="L653" i="12"/>
  <c r="B654" i="12"/>
  <c r="C654" i="12" a="1"/>
  <c r="C654" i="12" s="1"/>
  <c r="D654" i="12"/>
  <c r="E654" i="12"/>
  <c r="F654" i="12"/>
  <c r="I654" i="12" s="1"/>
  <c r="H654" i="12"/>
  <c r="J654" i="12"/>
  <c r="J655" i="12" s="1"/>
  <c r="K654" i="12"/>
  <c r="L654" i="12"/>
  <c r="L655" i="12" s="1"/>
  <c r="R654" i="12"/>
  <c r="S654" i="12"/>
  <c r="T654" i="12"/>
  <c r="U654" i="12"/>
  <c r="D655" i="12"/>
  <c r="K655" i="12"/>
  <c r="B656" i="12"/>
  <c r="C656" i="12" a="1"/>
  <c r="C656" i="12"/>
  <c r="D656" i="12"/>
  <c r="E656" i="12"/>
  <c r="F656" i="12"/>
  <c r="G656" i="12"/>
  <c r="O656" i="12" s="1"/>
  <c r="H656" i="12"/>
  <c r="I656" i="12"/>
  <c r="J656" i="12"/>
  <c r="K656" i="12"/>
  <c r="K657" i="12" s="1"/>
  <c r="L656" i="12"/>
  <c r="R656" i="12"/>
  <c r="S656" i="12"/>
  <c r="T656" i="12"/>
  <c r="U656" i="12"/>
  <c r="D657" i="12"/>
  <c r="J657" i="12"/>
  <c r="M656" i="12" s="1"/>
  <c r="L657" i="12"/>
  <c r="B658" i="12"/>
  <c r="C658" i="12" a="1"/>
  <c r="C658" i="12" s="1"/>
  <c r="D658" i="12"/>
  <c r="E658" i="12"/>
  <c r="F658" i="12"/>
  <c r="J658" i="12"/>
  <c r="J659" i="12" s="1"/>
  <c r="K658" i="12"/>
  <c r="L658" i="12"/>
  <c r="L659" i="12" s="1"/>
  <c r="R658" i="12"/>
  <c r="S658" i="12"/>
  <c r="T658" i="12"/>
  <c r="U658" i="12"/>
  <c r="D659" i="12"/>
  <c r="K659" i="12"/>
  <c r="B660" i="12"/>
  <c r="C660" i="12" a="1"/>
  <c r="C660" i="12"/>
  <c r="D660" i="12"/>
  <c r="E660" i="12"/>
  <c r="F660" i="12"/>
  <c r="H660" i="12" s="1"/>
  <c r="M660" i="12" s="1"/>
  <c r="G660" i="12" s="1"/>
  <c r="I660" i="12"/>
  <c r="J660" i="12"/>
  <c r="K660" i="12"/>
  <c r="K661" i="12" s="1"/>
  <c r="L660" i="12"/>
  <c r="R660" i="12"/>
  <c r="S660" i="12"/>
  <c r="T660" i="12"/>
  <c r="U660" i="12"/>
  <c r="D661" i="12"/>
  <c r="J661" i="12"/>
  <c r="L661" i="12"/>
  <c r="B662" i="12"/>
  <c r="C662" i="12" a="1"/>
  <c r="C662" i="12" s="1"/>
  <c r="D662" i="12"/>
  <c r="E662" i="12"/>
  <c r="F662" i="12"/>
  <c r="H662" i="12"/>
  <c r="J662" i="12"/>
  <c r="J663" i="12" s="1"/>
  <c r="K662" i="12"/>
  <c r="L662" i="12"/>
  <c r="L663" i="12" s="1"/>
  <c r="R662" i="12"/>
  <c r="S662" i="12"/>
  <c r="T662" i="12"/>
  <c r="U662" i="12"/>
  <c r="D663" i="12"/>
  <c r="K663" i="12"/>
  <c r="B664" i="12"/>
  <c r="C664" i="12" a="1"/>
  <c r="C664" i="12"/>
  <c r="D664" i="12"/>
  <c r="E664" i="12"/>
  <c r="F664" i="12"/>
  <c r="H664" i="12" s="1"/>
  <c r="I664" i="12"/>
  <c r="J664" i="12"/>
  <c r="K664" i="12"/>
  <c r="K665" i="12" s="1"/>
  <c r="L664" i="12"/>
  <c r="R664" i="12"/>
  <c r="S664" i="12"/>
  <c r="T664" i="12"/>
  <c r="U664" i="12"/>
  <c r="D665" i="12"/>
  <c r="J665" i="12"/>
  <c r="L665" i="12"/>
  <c r="B666" i="12"/>
  <c r="C666" i="12" a="1"/>
  <c r="C666" i="12" s="1"/>
  <c r="D666" i="12"/>
  <c r="E666" i="12"/>
  <c r="F666" i="12"/>
  <c r="J666" i="12"/>
  <c r="J667" i="12" s="1"/>
  <c r="K666" i="12"/>
  <c r="L666" i="12"/>
  <c r="L667" i="12" s="1"/>
  <c r="R666" i="12"/>
  <c r="S666" i="12"/>
  <c r="T666" i="12"/>
  <c r="U666" i="12"/>
  <c r="D667" i="12"/>
  <c r="K667" i="12"/>
  <c r="B668" i="12"/>
  <c r="C668" i="12" a="1"/>
  <c r="C668" i="12"/>
  <c r="D668" i="12"/>
  <c r="E668" i="12"/>
  <c r="F668" i="12"/>
  <c r="H668" i="12" s="1"/>
  <c r="M668" i="12" s="1"/>
  <c r="G668" i="12" s="1"/>
  <c r="Q668" i="12" s="1"/>
  <c r="I668" i="12"/>
  <c r="J668" i="12"/>
  <c r="K668" i="12"/>
  <c r="K669" i="12" s="1"/>
  <c r="L668" i="12"/>
  <c r="R668" i="12"/>
  <c r="S668" i="12"/>
  <c r="T668" i="12"/>
  <c r="U668" i="12"/>
  <c r="D669" i="12"/>
  <c r="J669" i="12"/>
  <c r="L669" i="12"/>
  <c r="B670" i="12"/>
  <c r="C670" i="12" a="1"/>
  <c r="C670" i="12" s="1"/>
  <c r="D670" i="12"/>
  <c r="E670" i="12"/>
  <c r="F670" i="12"/>
  <c r="I670" i="12" s="1"/>
  <c r="H670" i="12"/>
  <c r="J670" i="12"/>
  <c r="J671" i="12" s="1"/>
  <c r="K670" i="12"/>
  <c r="L670" i="12"/>
  <c r="L671" i="12" s="1"/>
  <c r="R670" i="12"/>
  <c r="S670" i="12"/>
  <c r="T670" i="12"/>
  <c r="U670" i="12"/>
  <c r="D671" i="12"/>
  <c r="K671" i="12"/>
  <c r="B672" i="12"/>
  <c r="C672" i="12" a="1"/>
  <c r="C672" i="12"/>
  <c r="D672" i="12"/>
  <c r="E672" i="12"/>
  <c r="F672" i="12"/>
  <c r="G672" i="12"/>
  <c r="H672" i="12"/>
  <c r="I672" i="12"/>
  <c r="J672" i="12"/>
  <c r="K672" i="12"/>
  <c r="K673" i="12" s="1"/>
  <c r="L672" i="12"/>
  <c r="R672" i="12"/>
  <c r="S672" i="12"/>
  <c r="T672" i="12"/>
  <c r="U672" i="12"/>
  <c r="D673" i="12"/>
  <c r="J673" i="12"/>
  <c r="M672" i="12" s="1"/>
  <c r="L673" i="12"/>
  <c r="B674" i="12"/>
  <c r="C674" i="12" a="1"/>
  <c r="C674" i="12" s="1"/>
  <c r="D674" i="12"/>
  <c r="E674" i="12"/>
  <c r="F674" i="12"/>
  <c r="J674" i="12"/>
  <c r="J675" i="12" s="1"/>
  <c r="K674" i="12"/>
  <c r="L674" i="12"/>
  <c r="L675" i="12" s="1"/>
  <c r="R674" i="12"/>
  <c r="S674" i="12"/>
  <c r="T674" i="12"/>
  <c r="U674" i="12"/>
  <c r="D675" i="12"/>
  <c r="K675" i="12"/>
  <c r="B676" i="12"/>
  <c r="C676" i="12" a="1"/>
  <c r="C676" i="12"/>
  <c r="D676" i="12"/>
  <c r="E676" i="12"/>
  <c r="F676" i="12"/>
  <c r="H676" i="12" s="1"/>
  <c r="M676" i="12" s="1"/>
  <c r="G676" i="12" s="1"/>
  <c r="I676" i="12"/>
  <c r="J676" i="12"/>
  <c r="K676" i="12"/>
  <c r="K677" i="12" s="1"/>
  <c r="L676" i="12"/>
  <c r="R676" i="12"/>
  <c r="S676" i="12"/>
  <c r="T676" i="12"/>
  <c r="U676" i="12"/>
  <c r="D677" i="12"/>
  <c r="J677" i="12"/>
  <c r="L677" i="12"/>
  <c r="B678" i="12"/>
  <c r="C678" i="12" a="1"/>
  <c r="C678" i="12" s="1"/>
  <c r="D678" i="12"/>
  <c r="E678" i="12"/>
  <c r="F678" i="12"/>
  <c r="H678" i="12"/>
  <c r="J678" i="12"/>
  <c r="J679" i="12" s="1"/>
  <c r="K678" i="12"/>
  <c r="L678" i="12"/>
  <c r="L679" i="12" s="1"/>
  <c r="R678" i="12"/>
  <c r="S678" i="12"/>
  <c r="T678" i="12"/>
  <c r="U678" i="12"/>
  <c r="D679" i="12"/>
  <c r="K679" i="12"/>
  <c r="B680" i="12"/>
  <c r="C680" i="12" a="1"/>
  <c r="C680" i="12"/>
  <c r="D680" i="12"/>
  <c r="E680" i="12"/>
  <c r="F680" i="12"/>
  <c r="H680" i="12"/>
  <c r="I680" i="12"/>
  <c r="J680" i="12"/>
  <c r="K680" i="12"/>
  <c r="K681" i="12" s="1"/>
  <c r="L680" i="12"/>
  <c r="R680" i="12"/>
  <c r="S680" i="12"/>
  <c r="T680" i="12"/>
  <c r="U680" i="12"/>
  <c r="D681" i="12"/>
  <c r="J681" i="12"/>
  <c r="M680" i="12" s="1"/>
  <c r="G680" i="12" s="1"/>
  <c r="L681" i="12"/>
  <c r="B682" i="12"/>
  <c r="C682" i="12" a="1"/>
  <c r="C682" i="12" s="1"/>
  <c r="D682" i="12"/>
  <c r="E682" i="12"/>
  <c r="F682" i="12"/>
  <c r="J682" i="12"/>
  <c r="J683" i="12" s="1"/>
  <c r="K682" i="12"/>
  <c r="L682" i="12"/>
  <c r="L683" i="12" s="1"/>
  <c r="R682" i="12"/>
  <c r="S682" i="12"/>
  <c r="T682" i="12"/>
  <c r="U682" i="12"/>
  <c r="D683" i="12"/>
  <c r="K683" i="12"/>
  <c r="B684" i="12"/>
  <c r="C684" i="12" a="1"/>
  <c r="C684" i="12"/>
  <c r="D684" i="12"/>
  <c r="E684" i="12"/>
  <c r="F684" i="12"/>
  <c r="H684" i="12" s="1"/>
  <c r="M684" i="12" s="1"/>
  <c r="G684" i="12" s="1"/>
  <c r="Q684" i="12" s="1"/>
  <c r="I684" i="12"/>
  <c r="J684" i="12"/>
  <c r="K684" i="12"/>
  <c r="K685" i="12" s="1"/>
  <c r="L684" i="12"/>
  <c r="R684" i="12"/>
  <c r="S684" i="12"/>
  <c r="T684" i="12"/>
  <c r="U684" i="12"/>
  <c r="D685" i="12"/>
  <c r="J685" i="12"/>
  <c r="L685" i="12"/>
  <c r="B686" i="12"/>
  <c r="C686" i="12" a="1"/>
  <c r="C686" i="12" s="1"/>
  <c r="D686" i="12"/>
  <c r="E686" i="12"/>
  <c r="F686" i="12"/>
  <c r="I686" i="12" s="1"/>
  <c r="H686" i="12"/>
  <c r="M686" i="12" s="1"/>
  <c r="J686" i="12"/>
  <c r="J687" i="12" s="1"/>
  <c r="K686" i="12"/>
  <c r="L686" i="12"/>
  <c r="L687" i="12" s="1"/>
  <c r="R686" i="12"/>
  <c r="S686" i="12"/>
  <c r="T686" i="12"/>
  <c r="U686" i="12"/>
  <c r="D687" i="12"/>
  <c r="K687" i="12"/>
  <c r="B688" i="12"/>
  <c r="C688" i="12" a="1"/>
  <c r="C688" i="12"/>
  <c r="D688" i="12"/>
  <c r="E688" i="12"/>
  <c r="F688" i="12"/>
  <c r="H688" i="12" s="1"/>
  <c r="M688" i="12" s="1"/>
  <c r="G688" i="12" s="1"/>
  <c r="I688" i="12"/>
  <c r="J688" i="12"/>
  <c r="K688" i="12"/>
  <c r="K689" i="12" s="1"/>
  <c r="L688" i="12"/>
  <c r="R688" i="12"/>
  <c r="S688" i="12"/>
  <c r="T688" i="12"/>
  <c r="U688" i="12"/>
  <c r="D689" i="12"/>
  <c r="J689" i="12"/>
  <c r="L689" i="12"/>
  <c r="B690" i="12"/>
  <c r="C690" i="12" a="1"/>
  <c r="C690" i="12" s="1"/>
  <c r="D690" i="12"/>
  <c r="E690" i="12"/>
  <c r="F690" i="12"/>
  <c r="J690" i="12"/>
  <c r="J691" i="12" s="1"/>
  <c r="K690" i="12"/>
  <c r="L690" i="12"/>
  <c r="L691" i="12" s="1"/>
  <c r="R690" i="12"/>
  <c r="S690" i="12"/>
  <c r="T690" i="12"/>
  <c r="U690" i="12"/>
  <c r="D691" i="12"/>
  <c r="K691" i="12"/>
  <c r="D8" i="13"/>
  <c r="D10" i="13" s="1"/>
  <c r="Z12" i="13"/>
  <c r="AA12" i="13"/>
  <c r="AB12" i="13"/>
  <c r="AC12" i="13"/>
  <c r="B10" i="12"/>
  <c r="C10" i="12" a="1"/>
  <c r="C10" i="12" s="1"/>
  <c r="E10" i="12"/>
  <c r="F10" i="12"/>
  <c r="I10" i="12" s="1"/>
  <c r="J10" i="12"/>
  <c r="J11" i="12" s="1"/>
  <c r="K10" i="12"/>
  <c r="L10" i="12"/>
  <c r="R10" i="12"/>
  <c r="S10" i="12"/>
  <c r="T10" i="12"/>
  <c r="U10" i="12"/>
  <c r="D11" i="12"/>
  <c r="K11" i="12"/>
  <c r="L11" i="12"/>
  <c r="B12" i="12"/>
  <c r="C12" i="12" a="1"/>
  <c r="C12" i="12" s="1"/>
  <c r="E12" i="12"/>
  <c r="F12" i="12"/>
  <c r="H12" i="12" s="1"/>
  <c r="I12" i="12"/>
  <c r="J12" i="12"/>
  <c r="K12" i="12"/>
  <c r="L12" i="12"/>
  <c r="R12" i="12"/>
  <c r="S12" i="12"/>
  <c r="T12" i="12"/>
  <c r="U12" i="12"/>
  <c r="D13" i="12"/>
  <c r="J13" i="12"/>
  <c r="K13" i="12"/>
  <c r="K13" i="13" s="1"/>
  <c r="L13" i="12"/>
  <c r="L13" i="13" s="1"/>
  <c r="B14" i="12"/>
  <c r="C14" i="12" a="1"/>
  <c r="C14" i="12" s="1"/>
  <c r="D14" i="12"/>
  <c r="E14" i="12"/>
  <c r="F14" i="12"/>
  <c r="J14" i="12"/>
  <c r="K14" i="12"/>
  <c r="L14" i="12"/>
  <c r="L15" i="12" s="1"/>
  <c r="L15" i="13" s="1"/>
  <c r="R14" i="12"/>
  <c r="S14" i="12"/>
  <c r="T14" i="12"/>
  <c r="U14" i="12"/>
  <c r="D15" i="12"/>
  <c r="J15" i="12"/>
  <c r="J15" i="13" s="1"/>
  <c r="K15" i="12"/>
  <c r="K15" i="13" s="1"/>
  <c r="AC10" i="13"/>
  <c r="AB10" i="13"/>
  <c r="AA10" i="13"/>
  <c r="Z10" i="13"/>
  <c r="D9" i="12"/>
  <c r="D8" i="12"/>
  <c r="N564" i="12" l="1"/>
  <c r="O564" i="12"/>
  <c r="P564" i="12"/>
  <c r="Q564" i="12"/>
  <c r="N580" i="12"/>
  <c r="O580" i="12"/>
  <c r="P580" i="12"/>
  <c r="Q580" i="12"/>
  <c r="N644" i="12"/>
  <c r="O644" i="12"/>
  <c r="P644" i="12"/>
  <c r="Q644" i="12"/>
  <c r="N628" i="12"/>
  <c r="O628" i="12"/>
  <c r="P628" i="12"/>
  <c r="Q628" i="12"/>
  <c r="P688" i="12"/>
  <c r="Q688" i="12"/>
  <c r="N688" i="12"/>
  <c r="O688" i="12"/>
  <c r="N676" i="12"/>
  <c r="O676" i="12"/>
  <c r="P676" i="12"/>
  <c r="Q676" i="12"/>
  <c r="N660" i="12"/>
  <c r="O660" i="12"/>
  <c r="P660" i="12"/>
  <c r="Q660" i="12"/>
  <c r="H674" i="12"/>
  <c r="I674" i="12"/>
  <c r="G610" i="12"/>
  <c r="H610" i="12"/>
  <c r="M610" i="12" s="1"/>
  <c r="I610" i="12"/>
  <c r="N596" i="12"/>
  <c r="O596" i="12"/>
  <c r="P596" i="12"/>
  <c r="Q596" i="12"/>
  <c r="M652" i="12"/>
  <c r="G652" i="12" s="1"/>
  <c r="M646" i="12"/>
  <c r="G646" i="12" s="1"/>
  <c r="P608" i="12"/>
  <c r="Q608" i="12"/>
  <c r="N608" i="12"/>
  <c r="M588" i="12"/>
  <c r="G588" i="12" s="1"/>
  <c r="P544" i="12"/>
  <c r="Q544" i="12"/>
  <c r="N544" i="12"/>
  <c r="H444" i="12"/>
  <c r="I444" i="12"/>
  <c r="Q532" i="12"/>
  <c r="N532" i="12"/>
  <c r="O532" i="12"/>
  <c r="G630" i="12"/>
  <c r="N568" i="12"/>
  <c r="O568" i="12"/>
  <c r="P568" i="12"/>
  <c r="Q568" i="12"/>
  <c r="N494" i="12"/>
  <c r="O494" i="12"/>
  <c r="P494" i="12"/>
  <c r="Q494" i="12"/>
  <c r="O36" i="12"/>
  <c r="P36" i="12"/>
  <c r="Q36" i="12"/>
  <c r="P672" i="12"/>
  <c r="Q672" i="12"/>
  <c r="N672" i="12"/>
  <c r="M648" i="12"/>
  <c r="G648" i="12" s="1"/>
  <c r="H626" i="12"/>
  <c r="I626" i="12"/>
  <c r="N612" i="12"/>
  <c r="O612" i="12"/>
  <c r="P612" i="12"/>
  <c r="Q612" i="12"/>
  <c r="M606" i="12"/>
  <c r="M584" i="12"/>
  <c r="G584" i="12" s="1"/>
  <c r="H562" i="12"/>
  <c r="I562" i="12"/>
  <c r="N548" i="12"/>
  <c r="O548" i="12"/>
  <c r="P548" i="12"/>
  <c r="Q548" i="12"/>
  <c r="M542" i="12"/>
  <c r="G542" i="12" s="1"/>
  <c r="P532" i="12"/>
  <c r="M526" i="12"/>
  <c r="G526" i="12" s="1"/>
  <c r="M522" i="12"/>
  <c r="G522" i="12" s="1"/>
  <c r="M520" i="12"/>
  <c r="G520" i="12" s="1"/>
  <c r="N510" i="12"/>
  <c r="O510" i="12"/>
  <c r="P510" i="12"/>
  <c r="Q510" i="12"/>
  <c r="H470" i="12"/>
  <c r="I470" i="12"/>
  <c r="P656" i="12"/>
  <c r="Q656" i="12"/>
  <c r="N656" i="12"/>
  <c r="M630" i="12"/>
  <c r="N572" i="12"/>
  <c r="O572" i="12"/>
  <c r="P572" i="12"/>
  <c r="G546" i="12"/>
  <c r="H546" i="12"/>
  <c r="M546" i="12" s="1"/>
  <c r="I546" i="12"/>
  <c r="H690" i="12"/>
  <c r="M690" i="12" s="1"/>
  <c r="G690" i="12" s="1"/>
  <c r="I690" i="12"/>
  <c r="M670" i="12"/>
  <c r="M604" i="12"/>
  <c r="G604" i="12" s="1"/>
  <c r="Q572" i="12"/>
  <c r="H540" i="12"/>
  <c r="M540" i="12" s="1"/>
  <c r="G540" i="12" s="1"/>
  <c r="I540" i="12"/>
  <c r="H518" i="12"/>
  <c r="I518" i="12"/>
  <c r="H508" i="12"/>
  <c r="I508" i="12"/>
  <c r="M504" i="12"/>
  <c r="N684" i="12"/>
  <c r="O684" i="12"/>
  <c r="P684" i="12"/>
  <c r="N636" i="12"/>
  <c r="O636" i="12"/>
  <c r="P636" i="12"/>
  <c r="P592" i="12"/>
  <c r="Q592" i="12"/>
  <c r="N592" i="12"/>
  <c r="M654" i="12"/>
  <c r="M632" i="12"/>
  <c r="G632" i="12" s="1"/>
  <c r="M590" i="12"/>
  <c r="N36" i="12"/>
  <c r="N680" i="12"/>
  <c r="O680" i="12"/>
  <c r="P680" i="12"/>
  <c r="Q680" i="12"/>
  <c r="O672" i="12"/>
  <c r="M664" i="12"/>
  <c r="G664" i="12" s="1"/>
  <c r="H642" i="12"/>
  <c r="I642" i="12"/>
  <c r="M624" i="12"/>
  <c r="G624" i="12" s="1"/>
  <c r="M622" i="12"/>
  <c r="O608" i="12"/>
  <c r="M600" i="12"/>
  <c r="G600" i="12" s="1"/>
  <c r="H578" i="12"/>
  <c r="I578" i="12"/>
  <c r="M560" i="12"/>
  <c r="G560" i="12" s="1"/>
  <c r="M558" i="12"/>
  <c r="O544" i="12"/>
  <c r="N668" i="12"/>
  <c r="O668" i="12"/>
  <c r="P668" i="12"/>
  <c r="G678" i="12"/>
  <c r="H658" i="12"/>
  <c r="I658" i="12"/>
  <c r="N620" i="12"/>
  <c r="O620" i="12"/>
  <c r="P620" i="12"/>
  <c r="N556" i="12"/>
  <c r="O556" i="12"/>
  <c r="P556" i="12"/>
  <c r="M678" i="12"/>
  <c r="M640" i="12"/>
  <c r="G640" i="12" s="1"/>
  <c r="M638" i="12"/>
  <c r="G618" i="12"/>
  <c r="N616" i="12"/>
  <c r="O616" i="12"/>
  <c r="P616" i="12"/>
  <c r="Q616" i="12"/>
  <c r="H594" i="12"/>
  <c r="I594" i="12"/>
  <c r="M576" i="12"/>
  <c r="G576" i="12" s="1"/>
  <c r="M574" i="12"/>
  <c r="N552" i="12"/>
  <c r="O552" i="12"/>
  <c r="P552" i="12"/>
  <c r="Q552" i="12"/>
  <c r="G686" i="12"/>
  <c r="I682" i="12"/>
  <c r="G670" i="12"/>
  <c r="I666" i="12"/>
  <c r="G654" i="12"/>
  <c r="I650" i="12"/>
  <c r="G638" i="12"/>
  <c r="I634" i="12"/>
  <c r="G622" i="12"/>
  <c r="I618" i="12"/>
  <c r="G606" i="12"/>
  <c r="I602" i="12"/>
  <c r="G590" i="12"/>
  <c r="I586" i="12"/>
  <c r="G574" i="12"/>
  <c r="I570" i="12"/>
  <c r="G558" i="12"/>
  <c r="I554" i="12"/>
  <c r="G534" i="12"/>
  <c r="M514" i="12"/>
  <c r="G514" i="12" s="1"/>
  <c r="H486" i="12"/>
  <c r="M486" i="12" s="1"/>
  <c r="G486" i="12" s="1"/>
  <c r="I486" i="12"/>
  <c r="M480" i="12"/>
  <c r="G480" i="12" s="1"/>
  <c r="G478" i="12"/>
  <c r="H682" i="12"/>
  <c r="M682" i="12" s="1"/>
  <c r="G682" i="12" s="1"/>
  <c r="H666" i="12"/>
  <c r="M666" i="12" s="1"/>
  <c r="G666" i="12" s="1"/>
  <c r="H650" i="12"/>
  <c r="H634" i="12"/>
  <c r="H618" i="12"/>
  <c r="M618" i="12" s="1"/>
  <c r="H602" i="12"/>
  <c r="M602" i="12" s="1"/>
  <c r="G602" i="12" s="1"/>
  <c r="H586" i="12"/>
  <c r="M586" i="12" s="1"/>
  <c r="G586" i="12" s="1"/>
  <c r="H570" i="12"/>
  <c r="M570" i="12" s="1"/>
  <c r="G570" i="12" s="1"/>
  <c r="H554" i="12"/>
  <c r="M554" i="12" s="1"/>
  <c r="G554" i="12" s="1"/>
  <c r="M528" i="12"/>
  <c r="G528" i="12" s="1"/>
  <c r="I520" i="12"/>
  <c r="I502" i="12"/>
  <c r="M502" i="12" s="1"/>
  <c r="G502" i="12" s="1"/>
  <c r="M484" i="12"/>
  <c r="G484" i="12" s="1"/>
  <c r="P428" i="12"/>
  <c r="N428" i="12"/>
  <c r="O428" i="12"/>
  <c r="Q428" i="12"/>
  <c r="I678" i="12"/>
  <c r="I662" i="12"/>
  <c r="M662" i="12" s="1"/>
  <c r="G662" i="12" s="1"/>
  <c r="I646" i="12"/>
  <c r="I630" i="12"/>
  <c r="I614" i="12"/>
  <c r="M614" i="12" s="1"/>
  <c r="G614" i="12" s="1"/>
  <c r="I598" i="12"/>
  <c r="M598" i="12" s="1"/>
  <c r="G598" i="12" s="1"/>
  <c r="I582" i="12"/>
  <c r="M582" i="12" s="1"/>
  <c r="G582" i="12" s="1"/>
  <c r="I566" i="12"/>
  <c r="M566" i="12" s="1"/>
  <c r="G566" i="12" s="1"/>
  <c r="I550" i="12"/>
  <c r="M550" i="12" s="1"/>
  <c r="G550" i="12" s="1"/>
  <c r="H538" i="12"/>
  <c r="M538" i="12" s="1"/>
  <c r="G538" i="12" s="1"/>
  <c r="I538" i="12"/>
  <c r="H516" i="12"/>
  <c r="M516" i="12" s="1"/>
  <c r="G516" i="12" s="1"/>
  <c r="M498" i="12"/>
  <c r="G498" i="12" s="1"/>
  <c r="H462" i="12"/>
  <c r="I462" i="12"/>
  <c r="M454" i="12"/>
  <c r="G454" i="12" s="1"/>
  <c r="H524" i="12"/>
  <c r="I524" i="12"/>
  <c r="H460" i="12"/>
  <c r="I460" i="12"/>
  <c r="M530" i="12"/>
  <c r="G530" i="12" s="1"/>
  <c r="I488" i="12"/>
  <c r="M488" i="12" s="1"/>
  <c r="G488" i="12" s="1"/>
  <c r="M432" i="12"/>
  <c r="G432" i="12" s="1"/>
  <c r="G430" i="12"/>
  <c r="I430" i="12"/>
  <c r="H430" i="12"/>
  <c r="M430" i="12" s="1"/>
  <c r="Q392" i="12"/>
  <c r="N392" i="12"/>
  <c r="O392" i="12"/>
  <c r="P392" i="12"/>
  <c r="M512" i="12"/>
  <c r="G512" i="12" s="1"/>
  <c r="G504" i="12"/>
  <c r="I504" i="12"/>
  <c r="M500" i="12"/>
  <c r="G500" i="12" s="1"/>
  <c r="M496" i="12"/>
  <c r="G496" i="12" s="1"/>
  <c r="M482" i="12"/>
  <c r="G482" i="12" s="1"/>
  <c r="N416" i="12"/>
  <c r="O416" i="12"/>
  <c r="P416" i="12"/>
  <c r="Q416" i="12"/>
  <c r="H378" i="12"/>
  <c r="I378" i="12"/>
  <c r="Q312" i="12"/>
  <c r="N312" i="12"/>
  <c r="O312" i="12"/>
  <c r="P312" i="12"/>
  <c r="H536" i="12"/>
  <c r="M536" i="12" s="1"/>
  <c r="G536" i="12" s="1"/>
  <c r="G492" i="12"/>
  <c r="H492" i="12"/>
  <c r="M492" i="12" s="1"/>
  <c r="I492" i="12"/>
  <c r="H446" i="12"/>
  <c r="M446" i="12" s="1"/>
  <c r="G446" i="12" s="1"/>
  <c r="I446" i="12"/>
  <c r="H466" i="12"/>
  <c r="I466" i="12"/>
  <c r="H450" i="12"/>
  <c r="M450" i="12" s="1"/>
  <c r="G450" i="12" s="1"/>
  <c r="I450" i="12"/>
  <c r="G438" i="12"/>
  <c r="H434" i="12"/>
  <c r="M434" i="12" s="1"/>
  <c r="G434" i="12" s="1"/>
  <c r="I434" i="12"/>
  <c r="M426" i="12"/>
  <c r="G426" i="12" s="1"/>
  <c r="G406" i="12"/>
  <c r="G404" i="12"/>
  <c r="H396" i="12"/>
  <c r="I396" i="12"/>
  <c r="G370" i="12"/>
  <c r="I368" i="12"/>
  <c r="H368" i="12"/>
  <c r="M368" i="12" s="1"/>
  <c r="G368" i="12" s="1"/>
  <c r="N350" i="12"/>
  <c r="O350" i="12"/>
  <c r="P350" i="12"/>
  <c r="Q350" i="12"/>
  <c r="N286" i="12"/>
  <c r="O286" i="12"/>
  <c r="P286" i="12"/>
  <c r="Q286" i="12"/>
  <c r="G202" i="12"/>
  <c r="G148" i="12"/>
  <c r="H148" i="12"/>
  <c r="M148" i="12" s="1"/>
  <c r="I148" i="12"/>
  <c r="N118" i="12"/>
  <c r="O118" i="12"/>
  <c r="P118" i="12"/>
  <c r="Q118" i="12"/>
  <c r="H478" i="12"/>
  <c r="M478" i="12" s="1"/>
  <c r="I476" i="12"/>
  <c r="M440" i="12"/>
  <c r="G440" i="12" s="1"/>
  <c r="H412" i="12"/>
  <c r="M412" i="12" s="1"/>
  <c r="G412" i="12" s="1"/>
  <c r="I412" i="12"/>
  <c r="M384" i="12"/>
  <c r="G384" i="12" s="1"/>
  <c r="G372" i="12"/>
  <c r="H372" i="12"/>
  <c r="M372" i="12" s="1"/>
  <c r="I522" i="12"/>
  <c r="I506" i="12"/>
  <c r="M506" i="12" s="1"/>
  <c r="G506" i="12" s="1"/>
  <c r="I490" i="12"/>
  <c r="M490" i="12" s="1"/>
  <c r="G490" i="12" s="1"/>
  <c r="H476" i="12"/>
  <c r="I474" i="12"/>
  <c r="M474" i="12" s="1"/>
  <c r="G474" i="12" s="1"/>
  <c r="H442" i="12"/>
  <c r="M442" i="12" s="1"/>
  <c r="G442" i="12" s="1"/>
  <c r="M408" i="12"/>
  <c r="G408" i="12" s="1"/>
  <c r="H330" i="12"/>
  <c r="M330" i="12" s="1"/>
  <c r="G330" i="12" s="1"/>
  <c r="I330" i="12"/>
  <c r="I472" i="12"/>
  <c r="I458" i="12"/>
  <c r="M456" i="12"/>
  <c r="G456" i="12" s="1"/>
  <c r="M422" i="12"/>
  <c r="H394" i="12"/>
  <c r="M394" i="12" s="1"/>
  <c r="G394" i="12" s="1"/>
  <c r="I394" i="12"/>
  <c r="M390" i="12"/>
  <c r="G390" i="12" s="1"/>
  <c r="N258" i="12"/>
  <c r="O258" i="12"/>
  <c r="P258" i="12"/>
  <c r="Q258" i="12"/>
  <c r="H472" i="12"/>
  <c r="H464" i="12"/>
  <c r="M464" i="12" s="1"/>
  <c r="G464" i="12" s="1"/>
  <c r="H458" i="12"/>
  <c r="H448" i="12"/>
  <c r="M448" i="12" s="1"/>
  <c r="G448" i="12" s="1"/>
  <c r="G422" i="12"/>
  <c r="G420" i="12"/>
  <c r="H410" i="12"/>
  <c r="M410" i="12" s="1"/>
  <c r="H380" i="12"/>
  <c r="M380" i="12" s="1"/>
  <c r="G380" i="12" s="1"/>
  <c r="I380" i="12"/>
  <c r="M366" i="12"/>
  <c r="G366" i="12" s="1"/>
  <c r="N326" i="12"/>
  <c r="O326" i="12"/>
  <c r="P326" i="12"/>
  <c r="Q326" i="12"/>
  <c r="P270" i="12"/>
  <c r="Q270" i="12"/>
  <c r="N270" i="12"/>
  <c r="O270" i="12"/>
  <c r="G468" i="12"/>
  <c r="H468" i="12"/>
  <c r="M468" i="12" s="1"/>
  <c r="H452" i="12"/>
  <c r="M452" i="12" s="1"/>
  <c r="G452" i="12" s="1"/>
  <c r="H414" i="12"/>
  <c r="I414" i="12"/>
  <c r="G410" i="12"/>
  <c r="N400" i="12"/>
  <c r="O400" i="12"/>
  <c r="P400" i="12"/>
  <c r="Q400" i="12"/>
  <c r="N334" i="12"/>
  <c r="O334" i="12"/>
  <c r="P334" i="12"/>
  <c r="Q334" i="12"/>
  <c r="G308" i="12"/>
  <c r="N282" i="12"/>
  <c r="P282" i="12"/>
  <c r="O282" i="12"/>
  <c r="Q282" i="12"/>
  <c r="M276" i="12"/>
  <c r="G276" i="12" s="1"/>
  <c r="M424" i="12"/>
  <c r="G424" i="12" s="1"/>
  <c r="M374" i="12"/>
  <c r="G374" i="12" s="1"/>
  <c r="H348" i="12"/>
  <c r="I348" i="12"/>
  <c r="N302" i="12"/>
  <c r="O302" i="12"/>
  <c r="P302" i="12"/>
  <c r="Q302" i="12"/>
  <c r="N278" i="12"/>
  <c r="P278" i="12"/>
  <c r="O278" i="12"/>
  <c r="Q278" i="12"/>
  <c r="M268" i="12"/>
  <c r="G268" i="12" s="1"/>
  <c r="H436" i="12"/>
  <c r="M436" i="12" s="1"/>
  <c r="G436" i="12" s="1"/>
  <c r="H420" i="12"/>
  <c r="M420" i="12" s="1"/>
  <c r="I418" i="12"/>
  <c r="H404" i="12"/>
  <c r="M404" i="12" s="1"/>
  <c r="I402" i="12"/>
  <c r="H388" i="12"/>
  <c r="M388" i="12" s="1"/>
  <c r="G388" i="12" s="1"/>
  <c r="I386" i="12"/>
  <c r="M358" i="12"/>
  <c r="G358" i="12" s="1"/>
  <c r="M342" i="12"/>
  <c r="G342" i="12" s="1"/>
  <c r="H300" i="12"/>
  <c r="M300" i="12" s="1"/>
  <c r="G300" i="12" s="1"/>
  <c r="I300" i="12"/>
  <c r="N126" i="12"/>
  <c r="O126" i="12"/>
  <c r="P126" i="12"/>
  <c r="Q126" i="12"/>
  <c r="H418" i="12"/>
  <c r="M418" i="12" s="1"/>
  <c r="G418" i="12" s="1"/>
  <c r="H402" i="12"/>
  <c r="M402" i="12" s="1"/>
  <c r="G402" i="12" s="1"/>
  <c r="H386" i="12"/>
  <c r="M362" i="12"/>
  <c r="G362" i="12" s="1"/>
  <c r="H346" i="12"/>
  <c r="I346" i="12"/>
  <c r="M328" i="12"/>
  <c r="G328" i="12" s="1"/>
  <c r="M294" i="12"/>
  <c r="I268" i="12"/>
  <c r="I398" i="12"/>
  <c r="I382" i="12"/>
  <c r="H370" i="12"/>
  <c r="M370" i="12" s="1"/>
  <c r="I370" i="12"/>
  <c r="M360" i="12"/>
  <c r="G360" i="12" s="1"/>
  <c r="H298" i="12"/>
  <c r="I298" i="12"/>
  <c r="G294" i="12"/>
  <c r="H398" i="12"/>
  <c r="H382" i="12"/>
  <c r="M382" i="12" s="1"/>
  <c r="G382" i="12" s="1"/>
  <c r="H376" i="12"/>
  <c r="M376" i="12" s="1"/>
  <c r="I364" i="12"/>
  <c r="M364" i="12" s="1"/>
  <c r="M344" i="12"/>
  <c r="G344" i="12" s="1"/>
  <c r="N318" i="12"/>
  <c r="O318" i="12"/>
  <c r="P318" i="12"/>
  <c r="Q318" i="12"/>
  <c r="H316" i="12"/>
  <c r="I316" i="12"/>
  <c r="G376" i="12"/>
  <c r="M310" i="12"/>
  <c r="G310" i="12" s="1"/>
  <c r="G304" i="12"/>
  <c r="M296" i="12"/>
  <c r="G296" i="12" s="1"/>
  <c r="N274" i="12"/>
  <c r="O274" i="12"/>
  <c r="P274" i="12"/>
  <c r="Q274" i="12"/>
  <c r="P254" i="12"/>
  <c r="Q254" i="12"/>
  <c r="N254" i="12"/>
  <c r="O254" i="12"/>
  <c r="N242" i="12"/>
  <c r="O242" i="12"/>
  <c r="P242" i="12"/>
  <c r="Q242" i="12"/>
  <c r="N226" i="12"/>
  <c r="O226" i="12"/>
  <c r="P226" i="12"/>
  <c r="Q226" i="12"/>
  <c r="G364" i="12"/>
  <c r="H332" i="12"/>
  <c r="I332" i="12"/>
  <c r="H314" i="12"/>
  <c r="I314" i="12"/>
  <c r="H356" i="12"/>
  <c r="M356" i="12" s="1"/>
  <c r="G356" i="12" s="1"/>
  <c r="I354" i="12"/>
  <c r="H340" i="12"/>
  <c r="M340" i="12" s="1"/>
  <c r="G340" i="12" s="1"/>
  <c r="I338" i="12"/>
  <c r="M338" i="12" s="1"/>
  <c r="G338" i="12" s="1"/>
  <c r="H324" i="12"/>
  <c r="M324" i="12" s="1"/>
  <c r="G324" i="12" s="1"/>
  <c r="I322" i="12"/>
  <c r="M322" i="12" s="1"/>
  <c r="G322" i="12" s="1"/>
  <c r="H308" i="12"/>
  <c r="M308" i="12" s="1"/>
  <c r="I306" i="12"/>
  <c r="M306" i="12" s="1"/>
  <c r="G306" i="12" s="1"/>
  <c r="H292" i="12"/>
  <c r="M292" i="12" s="1"/>
  <c r="G292" i="12" s="1"/>
  <c r="I290" i="12"/>
  <c r="M290" i="12" s="1"/>
  <c r="G290" i="12" s="1"/>
  <c r="M212" i="12"/>
  <c r="G212" i="12" s="1"/>
  <c r="N182" i="12"/>
  <c r="O182" i="12"/>
  <c r="Q182" i="12"/>
  <c r="P182" i="12"/>
  <c r="I144" i="12"/>
  <c r="H144" i="12"/>
  <c r="M144" i="12" s="1"/>
  <c r="G144" i="12" s="1"/>
  <c r="H354" i="12"/>
  <c r="I352" i="12"/>
  <c r="I336" i="12"/>
  <c r="I320" i="12"/>
  <c r="I304" i="12"/>
  <c r="I288" i="12"/>
  <c r="H272" i="12"/>
  <c r="M272" i="12" s="1"/>
  <c r="G272" i="12" s="1"/>
  <c r="I272" i="12"/>
  <c r="M234" i="12"/>
  <c r="G234" i="12" s="1"/>
  <c r="G230" i="12"/>
  <c r="H192" i="12"/>
  <c r="M192" i="12" s="1"/>
  <c r="G192" i="12" s="1"/>
  <c r="I192" i="12"/>
  <c r="N174" i="12"/>
  <c r="P174" i="12"/>
  <c r="O174" i="12"/>
  <c r="Q174" i="12"/>
  <c r="P130" i="12"/>
  <c r="Q130" i="12"/>
  <c r="N130" i="12"/>
  <c r="O130" i="12"/>
  <c r="H352" i="12"/>
  <c r="M352" i="12" s="1"/>
  <c r="G352" i="12" s="1"/>
  <c r="H336" i="12"/>
  <c r="M336" i="12" s="1"/>
  <c r="G336" i="12" s="1"/>
  <c r="H320" i="12"/>
  <c r="H304" i="12"/>
  <c r="M304" i="12" s="1"/>
  <c r="H288" i="12"/>
  <c r="M284" i="12"/>
  <c r="M260" i="12"/>
  <c r="G260" i="12" s="1"/>
  <c r="M250" i="12"/>
  <c r="G250" i="12" s="1"/>
  <c r="G232" i="12"/>
  <c r="M218" i="12"/>
  <c r="G218" i="12" s="1"/>
  <c r="N150" i="12"/>
  <c r="O150" i="12"/>
  <c r="P150" i="12"/>
  <c r="Q150" i="12"/>
  <c r="N54" i="12"/>
  <c r="O54" i="12"/>
  <c r="P54" i="12"/>
  <c r="Q54" i="12"/>
  <c r="P18" i="12"/>
  <c r="Q18" i="12"/>
  <c r="N18" i="12"/>
  <c r="O18" i="12"/>
  <c r="I284" i="12"/>
  <c r="G284" i="12"/>
  <c r="G280" i="12"/>
  <c r="I280" i="12"/>
  <c r="M280" i="12" s="1"/>
  <c r="M266" i="12"/>
  <c r="G266" i="12" s="1"/>
  <c r="N262" i="12"/>
  <c r="O262" i="12"/>
  <c r="P262" i="12"/>
  <c r="Q262" i="12"/>
  <c r="H208" i="12"/>
  <c r="I208" i="12"/>
  <c r="M206" i="12"/>
  <c r="G206" i="12" s="1"/>
  <c r="N194" i="12"/>
  <c r="O194" i="12"/>
  <c r="P194" i="12"/>
  <c r="Q194" i="12"/>
  <c r="N106" i="12"/>
  <c r="O106" i="12"/>
  <c r="P106" i="12"/>
  <c r="Q106" i="12"/>
  <c r="P50" i="12"/>
  <c r="Q50" i="12"/>
  <c r="N50" i="12"/>
  <c r="H240" i="12"/>
  <c r="M240" i="12" s="1"/>
  <c r="G240" i="12" s="1"/>
  <c r="I240" i="12"/>
  <c r="N140" i="12"/>
  <c r="O140" i="12"/>
  <c r="Q140" i="12"/>
  <c r="P140" i="12"/>
  <c r="N138" i="12"/>
  <c r="O138" i="12"/>
  <c r="P138" i="12"/>
  <c r="Q138" i="12"/>
  <c r="P34" i="12"/>
  <c r="Q34" i="12"/>
  <c r="N34" i="12"/>
  <c r="O34" i="12"/>
  <c r="H256" i="12"/>
  <c r="I256" i="12"/>
  <c r="M238" i="12"/>
  <c r="G238" i="12" s="1"/>
  <c r="H224" i="12"/>
  <c r="I224" i="12"/>
  <c r="M222" i="12"/>
  <c r="G222" i="12" s="1"/>
  <c r="N210" i="12"/>
  <c r="O210" i="12"/>
  <c r="P210" i="12"/>
  <c r="Q210" i="12"/>
  <c r="M204" i="12"/>
  <c r="N78" i="12"/>
  <c r="O78" i="12"/>
  <c r="P78" i="12"/>
  <c r="Q78" i="12"/>
  <c r="N76" i="12"/>
  <c r="O76" i="12"/>
  <c r="P76" i="12"/>
  <c r="Q76" i="12"/>
  <c r="I264" i="12"/>
  <c r="M264" i="12" s="1"/>
  <c r="G264" i="12" s="1"/>
  <c r="G252" i="12"/>
  <c r="I248" i="12"/>
  <c r="G236" i="12"/>
  <c r="I232" i="12"/>
  <c r="G220" i="12"/>
  <c r="I216" i="12"/>
  <c r="G204" i="12"/>
  <c r="H202" i="12"/>
  <c r="M202" i="12" s="1"/>
  <c r="I200" i="12"/>
  <c r="M200" i="12" s="1"/>
  <c r="G200" i="12" s="1"/>
  <c r="G172" i="12"/>
  <c r="H164" i="12"/>
  <c r="I164" i="12"/>
  <c r="M158" i="12"/>
  <c r="G158" i="12" s="1"/>
  <c r="M120" i="12"/>
  <c r="G120" i="12" s="1"/>
  <c r="P98" i="12"/>
  <c r="Q98" i="12"/>
  <c r="N98" i="12"/>
  <c r="N88" i="12"/>
  <c r="O88" i="12"/>
  <c r="P88" i="12"/>
  <c r="Q88" i="12"/>
  <c r="P82" i="12"/>
  <c r="Q82" i="12"/>
  <c r="N82" i="12"/>
  <c r="M62" i="12"/>
  <c r="G62" i="12" s="1"/>
  <c r="N60" i="12"/>
  <c r="O60" i="12"/>
  <c r="P60" i="12"/>
  <c r="Q60" i="12"/>
  <c r="M30" i="12"/>
  <c r="G30" i="12" s="1"/>
  <c r="N28" i="12"/>
  <c r="O28" i="12"/>
  <c r="P28" i="12"/>
  <c r="Q28" i="12"/>
  <c r="M16" i="12"/>
  <c r="G16" i="12" s="1"/>
  <c r="H248" i="12"/>
  <c r="I246" i="12"/>
  <c r="H232" i="12"/>
  <c r="M232" i="12" s="1"/>
  <c r="I230" i="12"/>
  <c r="H216" i="12"/>
  <c r="M216" i="12" s="1"/>
  <c r="G216" i="12" s="1"/>
  <c r="I214" i="12"/>
  <c r="I198" i="12"/>
  <c r="H170" i="12"/>
  <c r="M170" i="12" s="1"/>
  <c r="G170" i="12" s="1"/>
  <c r="M136" i="12"/>
  <c r="G136" i="12" s="1"/>
  <c r="O116" i="12"/>
  <c r="P116" i="12"/>
  <c r="Q116" i="12"/>
  <c r="N110" i="12"/>
  <c r="O110" i="12"/>
  <c r="P110" i="12"/>
  <c r="N104" i="12"/>
  <c r="O104" i="12"/>
  <c r="P104" i="12"/>
  <c r="Q104" i="12"/>
  <c r="N102" i="12"/>
  <c r="O102" i="12"/>
  <c r="P102" i="12"/>
  <c r="Q102" i="12"/>
  <c r="O98" i="12"/>
  <c r="N86" i="12"/>
  <c r="O86" i="12"/>
  <c r="P86" i="12"/>
  <c r="Q86" i="12"/>
  <c r="O82" i="12"/>
  <c r="N72" i="12"/>
  <c r="O72" i="12"/>
  <c r="P72" i="12"/>
  <c r="Q72" i="12"/>
  <c r="P66" i="12"/>
  <c r="Q66" i="12"/>
  <c r="N66" i="12"/>
  <c r="M48" i="12"/>
  <c r="G48" i="12" s="1"/>
  <c r="H246" i="12"/>
  <c r="M246" i="12" s="1"/>
  <c r="G246" i="12" s="1"/>
  <c r="I244" i="12"/>
  <c r="M244" i="12" s="1"/>
  <c r="G244" i="12" s="1"/>
  <c r="H230" i="12"/>
  <c r="M230" i="12" s="1"/>
  <c r="I228" i="12"/>
  <c r="M228" i="12" s="1"/>
  <c r="G228" i="12" s="1"/>
  <c r="H214" i="12"/>
  <c r="I212" i="12"/>
  <c r="H198" i="12"/>
  <c r="I196" i="12"/>
  <c r="H178" i="12"/>
  <c r="M178" i="12" s="1"/>
  <c r="G178" i="12" s="1"/>
  <c r="I178" i="12"/>
  <c r="N166" i="12"/>
  <c r="O166" i="12"/>
  <c r="P166" i="12"/>
  <c r="Q166" i="12"/>
  <c r="M142" i="12"/>
  <c r="G142" i="12" s="1"/>
  <c r="N90" i="12"/>
  <c r="O90" i="12"/>
  <c r="P90" i="12"/>
  <c r="Q90" i="12"/>
  <c r="N70" i="12"/>
  <c r="O70" i="12"/>
  <c r="P70" i="12"/>
  <c r="Q70" i="12"/>
  <c r="O66" i="12"/>
  <c r="N40" i="12"/>
  <c r="O40" i="12"/>
  <c r="P40" i="12"/>
  <c r="Q40" i="12"/>
  <c r="O20" i="12"/>
  <c r="P20" i="12"/>
  <c r="Q20" i="12"/>
  <c r="N20" i="12"/>
  <c r="H196" i="12"/>
  <c r="M196" i="12" s="1"/>
  <c r="G196" i="12" s="1"/>
  <c r="G188" i="12"/>
  <c r="M160" i="12"/>
  <c r="N124" i="12"/>
  <c r="O124" i="12"/>
  <c r="P124" i="12"/>
  <c r="Q124" i="12"/>
  <c r="P114" i="12"/>
  <c r="Q114" i="12"/>
  <c r="N114" i="12"/>
  <c r="M96" i="12"/>
  <c r="N74" i="12"/>
  <c r="O74" i="12"/>
  <c r="P74" i="12"/>
  <c r="Q74" i="12"/>
  <c r="O52" i="12"/>
  <c r="P52" i="12"/>
  <c r="Q52" i="12"/>
  <c r="N52" i="12"/>
  <c r="N38" i="12"/>
  <c r="O38" i="12"/>
  <c r="P38" i="12"/>
  <c r="Q38" i="12"/>
  <c r="M190" i="12"/>
  <c r="G190" i="12" s="1"/>
  <c r="M176" i="12"/>
  <c r="G176" i="12" s="1"/>
  <c r="I160" i="12"/>
  <c r="G160" i="12"/>
  <c r="M156" i="12"/>
  <c r="G156" i="12" s="1"/>
  <c r="M152" i="12"/>
  <c r="G152" i="12" s="1"/>
  <c r="Q80" i="12"/>
  <c r="N80" i="12"/>
  <c r="O80" i="12"/>
  <c r="N46" i="12"/>
  <c r="O46" i="12"/>
  <c r="P46" i="12"/>
  <c r="N44" i="12"/>
  <c r="O44" i="12"/>
  <c r="P44" i="12"/>
  <c r="Q44" i="12"/>
  <c r="H186" i="12"/>
  <c r="M186" i="12" s="1"/>
  <c r="G186" i="12" s="1"/>
  <c r="H132" i="12"/>
  <c r="I132" i="12"/>
  <c r="N122" i="12"/>
  <c r="O122" i="12"/>
  <c r="P122" i="12"/>
  <c r="Q122" i="12"/>
  <c r="Q110" i="12"/>
  <c r="N108" i="12"/>
  <c r="O108" i="12"/>
  <c r="P108" i="12"/>
  <c r="Q108" i="12"/>
  <c r="O100" i="12"/>
  <c r="P100" i="12"/>
  <c r="Q100" i="12"/>
  <c r="N100" i="12"/>
  <c r="O84" i="12"/>
  <c r="P84" i="12"/>
  <c r="Q84" i="12"/>
  <c r="N84" i="12"/>
  <c r="Q64" i="12"/>
  <c r="N64" i="12"/>
  <c r="O64" i="12"/>
  <c r="M32" i="12"/>
  <c r="G32" i="12" s="1"/>
  <c r="N24" i="12"/>
  <c r="O24" i="12"/>
  <c r="P24" i="12"/>
  <c r="Q24" i="12"/>
  <c r="H180" i="12"/>
  <c r="M180" i="12" s="1"/>
  <c r="G180" i="12" s="1"/>
  <c r="N134" i="12"/>
  <c r="O134" i="12"/>
  <c r="P134" i="12"/>
  <c r="Q134" i="12"/>
  <c r="M112" i="12"/>
  <c r="N94" i="12"/>
  <c r="O94" i="12"/>
  <c r="P94" i="12"/>
  <c r="N92" i="12"/>
  <c r="O92" i="12"/>
  <c r="P92" i="12"/>
  <c r="Q92" i="12"/>
  <c r="O68" i="12"/>
  <c r="P68" i="12"/>
  <c r="Q68" i="12"/>
  <c r="N68" i="12"/>
  <c r="N56" i="12"/>
  <c r="O56" i="12"/>
  <c r="P56" i="12"/>
  <c r="Q56" i="12"/>
  <c r="N22" i="12"/>
  <c r="O22" i="12"/>
  <c r="P22" i="12"/>
  <c r="Q22" i="12"/>
  <c r="G128" i="12"/>
  <c r="G112" i="12"/>
  <c r="G96" i="12"/>
  <c r="Q26" i="12"/>
  <c r="I184" i="12"/>
  <c r="M184" i="12" s="1"/>
  <c r="G184" i="12" s="1"/>
  <c r="I168" i="12"/>
  <c r="M168" i="12" s="1"/>
  <c r="G168" i="12" s="1"/>
  <c r="H154" i="12"/>
  <c r="M154" i="12" s="1"/>
  <c r="G154" i="12" s="1"/>
  <c r="I162" i="12"/>
  <c r="M162" i="12" s="1"/>
  <c r="G162" i="12" s="1"/>
  <c r="I146" i="12"/>
  <c r="M146" i="12" s="1"/>
  <c r="G146" i="12" s="1"/>
  <c r="D12" i="13"/>
  <c r="D12" i="12" s="1"/>
  <c r="D10" i="12"/>
  <c r="M12" i="12"/>
  <c r="G12" i="12" s="1"/>
  <c r="P12" i="12" s="1"/>
  <c r="P12" i="13" s="1"/>
  <c r="J13" i="13"/>
  <c r="M12" i="13" s="1"/>
  <c r="H10" i="12"/>
  <c r="M10" i="12" s="1"/>
  <c r="G10" i="12" s="1"/>
  <c r="I14" i="12"/>
  <c r="I14" i="13" s="1"/>
  <c r="H14" i="12"/>
  <c r="M14" i="12" l="1"/>
  <c r="G14" i="12" s="1"/>
  <c r="G14" i="13" s="1"/>
  <c r="H14" i="13"/>
  <c r="M14" i="13" s="1"/>
  <c r="N244" i="12"/>
  <c r="O244" i="12"/>
  <c r="P244" i="12"/>
  <c r="Q244" i="12"/>
  <c r="N184" i="12"/>
  <c r="P184" i="12"/>
  <c r="Q184" i="12"/>
  <c r="O184" i="12"/>
  <c r="P178" i="12"/>
  <c r="Q178" i="12"/>
  <c r="N178" i="12"/>
  <c r="O178" i="12"/>
  <c r="N324" i="12"/>
  <c r="O324" i="12"/>
  <c r="P324" i="12"/>
  <c r="Q324" i="12"/>
  <c r="N436" i="12"/>
  <c r="O436" i="12"/>
  <c r="P436" i="12"/>
  <c r="Q436" i="12"/>
  <c r="P330" i="12"/>
  <c r="Q330" i="12"/>
  <c r="N330" i="12"/>
  <c r="O330" i="12"/>
  <c r="O446" i="12"/>
  <c r="P446" i="12"/>
  <c r="Q446" i="12"/>
  <c r="N446" i="12"/>
  <c r="N216" i="12"/>
  <c r="O216" i="12"/>
  <c r="P216" i="12"/>
  <c r="Q216" i="12"/>
  <c r="N264" i="12"/>
  <c r="O264" i="12"/>
  <c r="P264" i="12"/>
  <c r="Q264" i="12"/>
  <c r="O192" i="12"/>
  <c r="P192" i="12"/>
  <c r="Q192" i="12"/>
  <c r="N192" i="12"/>
  <c r="N338" i="12"/>
  <c r="O338" i="12"/>
  <c r="P338" i="12"/>
  <c r="Q338" i="12"/>
  <c r="N418" i="12"/>
  <c r="O418" i="12"/>
  <c r="P418" i="12"/>
  <c r="Q418" i="12"/>
  <c r="Q268" i="12"/>
  <c r="O268" i="12"/>
  <c r="N268" i="12"/>
  <c r="P268" i="12"/>
  <c r="O434" i="12"/>
  <c r="P434" i="12"/>
  <c r="Q434" i="12"/>
  <c r="N434" i="12"/>
  <c r="N662" i="12"/>
  <c r="O662" i="12"/>
  <c r="P662" i="12"/>
  <c r="Q662" i="12"/>
  <c r="O690" i="12"/>
  <c r="Q690" i="12"/>
  <c r="P690" i="12"/>
  <c r="N690" i="12"/>
  <c r="N646" i="12"/>
  <c r="O646" i="12"/>
  <c r="P646" i="12"/>
  <c r="Q646" i="12"/>
  <c r="N352" i="12"/>
  <c r="O352" i="12"/>
  <c r="P352" i="12"/>
  <c r="Q352" i="12"/>
  <c r="N200" i="12"/>
  <c r="O200" i="12"/>
  <c r="P200" i="12"/>
  <c r="Q200" i="12"/>
  <c r="N402" i="12"/>
  <c r="O402" i="12"/>
  <c r="P402" i="12"/>
  <c r="Q402" i="12"/>
  <c r="Q448" i="12"/>
  <c r="O448" i="12"/>
  <c r="P448" i="12"/>
  <c r="N448" i="12"/>
  <c r="P502" i="12"/>
  <c r="N502" i="12"/>
  <c r="O502" i="12"/>
  <c r="Q502" i="12"/>
  <c r="O186" i="12"/>
  <c r="P186" i="12"/>
  <c r="Q186" i="12"/>
  <c r="N186" i="12"/>
  <c r="O240" i="12"/>
  <c r="P240" i="12"/>
  <c r="Q240" i="12"/>
  <c r="N240" i="12"/>
  <c r="N340" i="12"/>
  <c r="O340" i="12"/>
  <c r="P340" i="12"/>
  <c r="Q340" i="12"/>
  <c r="Q464" i="12"/>
  <c r="O464" i="12"/>
  <c r="P464" i="12"/>
  <c r="N464" i="12"/>
  <c r="P394" i="12"/>
  <c r="Q394" i="12"/>
  <c r="N394" i="12"/>
  <c r="O394" i="12"/>
  <c r="Q442" i="12"/>
  <c r="N442" i="12"/>
  <c r="O442" i="12"/>
  <c r="P442" i="12"/>
  <c r="N550" i="12"/>
  <c r="O550" i="12"/>
  <c r="P550" i="12"/>
  <c r="Q550" i="12"/>
  <c r="N666" i="12"/>
  <c r="O666" i="12"/>
  <c r="P666" i="12"/>
  <c r="Q666" i="12"/>
  <c r="O520" i="12"/>
  <c r="Q520" i="12"/>
  <c r="N520" i="12"/>
  <c r="P520" i="12"/>
  <c r="N322" i="12"/>
  <c r="O322" i="12"/>
  <c r="P322" i="12"/>
  <c r="Q322" i="12"/>
  <c r="N196" i="12"/>
  <c r="O196" i="12"/>
  <c r="P196" i="12"/>
  <c r="Q196" i="12"/>
  <c r="N246" i="12"/>
  <c r="O246" i="12"/>
  <c r="P246" i="12"/>
  <c r="Q246" i="12"/>
  <c r="N290" i="12"/>
  <c r="O290" i="12"/>
  <c r="P290" i="12"/>
  <c r="Q290" i="12"/>
  <c r="N388" i="12"/>
  <c r="O388" i="12"/>
  <c r="P388" i="12"/>
  <c r="Q388" i="12"/>
  <c r="N474" i="12"/>
  <c r="O474" i="12"/>
  <c r="P474" i="12"/>
  <c r="Q474" i="12"/>
  <c r="N566" i="12"/>
  <c r="O566" i="12"/>
  <c r="P566" i="12"/>
  <c r="Q566" i="12"/>
  <c r="N554" i="12"/>
  <c r="O554" i="12"/>
  <c r="P554" i="12"/>
  <c r="Q554" i="12"/>
  <c r="N682" i="12"/>
  <c r="O682" i="12"/>
  <c r="P682" i="12"/>
  <c r="Q682" i="12"/>
  <c r="N168" i="12"/>
  <c r="O168" i="12"/>
  <c r="P168" i="12"/>
  <c r="Q168" i="12"/>
  <c r="Q144" i="12"/>
  <c r="O144" i="12"/>
  <c r="N144" i="12"/>
  <c r="P144" i="12"/>
  <c r="N292" i="12"/>
  <c r="O292" i="12"/>
  <c r="P292" i="12"/>
  <c r="Q292" i="12"/>
  <c r="O380" i="12"/>
  <c r="P380" i="12"/>
  <c r="Q380" i="12"/>
  <c r="N380" i="12"/>
  <c r="N570" i="12"/>
  <c r="O570" i="12"/>
  <c r="P570" i="12"/>
  <c r="Q570" i="12"/>
  <c r="P162" i="12"/>
  <c r="Q162" i="12"/>
  <c r="N162" i="12"/>
  <c r="O162" i="12"/>
  <c r="O180" i="12"/>
  <c r="P180" i="12"/>
  <c r="N180" i="12"/>
  <c r="Q180" i="12"/>
  <c r="N228" i="12"/>
  <c r="O228" i="12"/>
  <c r="P228" i="12"/>
  <c r="Q228" i="12"/>
  <c r="O272" i="12"/>
  <c r="P272" i="12"/>
  <c r="Q272" i="12"/>
  <c r="N272" i="12"/>
  <c r="N306" i="12"/>
  <c r="O306" i="12"/>
  <c r="P306" i="12"/>
  <c r="Q306" i="12"/>
  <c r="O488" i="12"/>
  <c r="Q488" i="12"/>
  <c r="N488" i="12"/>
  <c r="P488" i="12"/>
  <c r="N598" i="12"/>
  <c r="O598" i="12"/>
  <c r="P598" i="12"/>
  <c r="Q598" i="12"/>
  <c r="N586" i="12"/>
  <c r="O586" i="12"/>
  <c r="P586" i="12"/>
  <c r="Q586" i="12"/>
  <c r="N382" i="12"/>
  <c r="O382" i="12"/>
  <c r="P382" i="12"/>
  <c r="Q382" i="12"/>
  <c r="P146" i="12"/>
  <c r="Q146" i="12"/>
  <c r="N146" i="12"/>
  <c r="O146" i="12"/>
  <c r="N356" i="12"/>
  <c r="O356" i="12"/>
  <c r="P356" i="12"/>
  <c r="Q356" i="12"/>
  <c r="N582" i="12"/>
  <c r="O582" i="12"/>
  <c r="P582" i="12"/>
  <c r="Q582" i="12"/>
  <c r="P540" i="12"/>
  <c r="N540" i="12"/>
  <c r="O540" i="12"/>
  <c r="Q540" i="12"/>
  <c r="N154" i="12"/>
  <c r="O154" i="12"/>
  <c r="P154" i="12"/>
  <c r="Q154" i="12"/>
  <c r="O170" i="12"/>
  <c r="P170" i="12"/>
  <c r="N170" i="12"/>
  <c r="Q170" i="12"/>
  <c r="N336" i="12"/>
  <c r="O336" i="12"/>
  <c r="P336" i="12"/>
  <c r="Q336" i="12"/>
  <c r="N506" i="12"/>
  <c r="P506" i="12"/>
  <c r="Q506" i="12"/>
  <c r="O506" i="12"/>
  <c r="N614" i="12"/>
  <c r="O614" i="12"/>
  <c r="P614" i="12"/>
  <c r="Q614" i="12"/>
  <c r="N602" i="12"/>
  <c r="O602" i="12"/>
  <c r="P602" i="12"/>
  <c r="Q602" i="12"/>
  <c r="Q542" i="12"/>
  <c r="N542" i="12"/>
  <c r="O542" i="12"/>
  <c r="P542" i="12"/>
  <c r="O300" i="12"/>
  <c r="P300" i="12"/>
  <c r="Q300" i="12"/>
  <c r="N300" i="12"/>
  <c r="O452" i="12"/>
  <c r="P452" i="12"/>
  <c r="Q452" i="12"/>
  <c r="N452" i="12"/>
  <c r="Q426" i="12"/>
  <c r="N426" i="12"/>
  <c r="O426" i="12"/>
  <c r="P426" i="12"/>
  <c r="Q236" i="12"/>
  <c r="N236" i="12"/>
  <c r="O236" i="12"/>
  <c r="P236" i="12"/>
  <c r="N358" i="12"/>
  <c r="O358" i="12"/>
  <c r="P358" i="12"/>
  <c r="Q358" i="12"/>
  <c r="O372" i="12"/>
  <c r="P372" i="12"/>
  <c r="N372" i="12"/>
  <c r="Q372" i="12"/>
  <c r="Q482" i="12"/>
  <c r="N482" i="12"/>
  <c r="O482" i="12"/>
  <c r="P482" i="12"/>
  <c r="Q686" i="12"/>
  <c r="N686" i="12"/>
  <c r="O686" i="12"/>
  <c r="P686" i="12"/>
  <c r="N632" i="12"/>
  <c r="O632" i="12"/>
  <c r="P632" i="12"/>
  <c r="Q632" i="12"/>
  <c r="N630" i="12"/>
  <c r="O630" i="12"/>
  <c r="P630" i="12"/>
  <c r="Q630" i="12"/>
  <c r="N172" i="12"/>
  <c r="O172" i="12"/>
  <c r="Q172" i="12"/>
  <c r="P172" i="12"/>
  <c r="N250" i="12"/>
  <c r="O250" i="12"/>
  <c r="P250" i="12"/>
  <c r="Q250" i="12"/>
  <c r="N234" i="12"/>
  <c r="O234" i="12"/>
  <c r="P234" i="12"/>
  <c r="Q234" i="12"/>
  <c r="M316" i="12"/>
  <c r="G316" i="12" s="1"/>
  <c r="M346" i="12"/>
  <c r="G346" i="12" s="1"/>
  <c r="N422" i="12"/>
  <c r="O422" i="12"/>
  <c r="P422" i="12"/>
  <c r="Q422" i="12"/>
  <c r="Q536" i="12"/>
  <c r="N536" i="12"/>
  <c r="O536" i="12"/>
  <c r="P536" i="12"/>
  <c r="M378" i="12"/>
  <c r="G378" i="12" s="1"/>
  <c r="N480" i="12"/>
  <c r="O480" i="12"/>
  <c r="P480" i="12"/>
  <c r="Q480" i="12"/>
  <c r="N522" i="12"/>
  <c r="P522" i="12"/>
  <c r="Q522" i="12"/>
  <c r="O522" i="12"/>
  <c r="N652" i="12"/>
  <c r="O652" i="12"/>
  <c r="P652" i="12"/>
  <c r="Q652" i="12"/>
  <c r="N142" i="12"/>
  <c r="P142" i="12"/>
  <c r="O142" i="12"/>
  <c r="Q142" i="12"/>
  <c r="M198" i="12"/>
  <c r="G198" i="12" s="1"/>
  <c r="Q252" i="12"/>
  <c r="N252" i="12"/>
  <c r="O252" i="12"/>
  <c r="P252" i="12"/>
  <c r="N260" i="12"/>
  <c r="O260" i="12"/>
  <c r="P260" i="12"/>
  <c r="Q260" i="12"/>
  <c r="M298" i="12"/>
  <c r="G298" i="12" s="1"/>
  <c r="P362" i="12"/>
  <c r="N362" i="12"/>
  <c r="O362" i="12"/>
  <c r="Q362" i="12"/>
  <c r="M348" i="12"/>
  <c r="G348" i="12" s="1"/>
  <c r="N366" i="12"/>
  <c r="Q366" i="12"/>
  <c r="P366" i="12"/>
  <c r="O366" i="12"/>
  <c r="N390" i="12"/>
  <c r="O390" i="12"/>
  <c r="P390" i="12"/>
  <c r="Q390" i="12"/>
  <c r="M476" i="12"/>
  <c r="G476" i="12" s="1"/>
  <c r="Q368" i="12"/>
  <c r="N368" i="12"/>
  <c r="O368" i="12"/>
  <c r="P368" i="12"/>
  <c r="M466" i="12"/>
  <c r="G466" i="12" s="1"/>
  <c r="Q500" i="12"/>
  <c r="N500" i="12"/>
  <c r="O500" i="12"/>
  <c r="P500" i="12"/>
  <c r="N530" i="12"/>
  <c r="P530" i="12"/>
  <c r="Q530" i="12"/>
  <c r="O530" i="12"/>
  <c r="Q516" i="12"/>
  <c r="N516" i="12"/>
  <c r="O516" i="12"/>
  <c r="P516" i="12"/>
  <c r="P484" i="12"/>
  <c r="Q484" i="12"/>
  <c r="N484" i="12"/>
  <c r="O484" i="12"/>
  <c r="Q574" i="12"/>
  <c r="N574" i="12"/>
  <c r="O574" i="12"/>
  <c r="P574" i="12"/>
  <c r="Q638" i="12"/>
  <c r="N638" i="12"/>
  <c r="O638" i="12"/>
  <c r="P638" i="12"/>
  <c r="M594" i="12"/>
  <c r="G594" i="12" s="1"/>
  <c r="M642" i="12"/>
  <c r="G642" i="12" s="1"/>
  <c r="M518" i="12"/>
  <c r="G518" i="12" s="1"/>
  <c r="N526" i="12"/>
  <c r="O526" i="12"/>
  <c r="P526" i="12"/>
  <c r="Q526" i="12"/>
  <c r="M562" i="12"/>
  <c r="G562" i="12" s="1"/>
  <c r="M674" i="12"/>
  <c r="G674" i="12" s="1"/>
  <c r="N404" i="12"/>
  <c r="O404" i="12"/>
  <c r="P404" i="12"/>
  <c r="Q404" i="12"/>
  <c r="N498" i="12"/>
  <c r="O498" i="12"/>
  <c r="P498" i="12"/>
  <c r="Q498" i="12"/>
  <c r="P576" i="12"/>
  <c r="Q576" i="12"/>
  <c r="N576" i="12"/>
  <c r="O576" i="12"/>
  <c r="N648" i="12"/>
  <c r="O648" i="12"/>
  <c r="P648" i="12"/>
  <c r="Q648" i="12"/>
  <c r="O610" i="12"/>
  <c r="P610" i="12"/>
  <c r="Q610" i="12"/>
  <c r="N610" i="12"/>
  <c r="O284" i="12"/>
  <c r="P284" i="12"/>
  <c r="Q284" i="12"/>
  <c r="N284" i="12"/>
  <c r="O364" i="12"/>
  <c r="P364" i="12"/>
  <c r="Q364" i="12"/>
  <c r="N364" i="12"/>
  <c r="M414" i="12"/>
  <c r="G414" i="12" s="1"/>
  <c r="N384" i="12"/>
  <c r="O384" i="12"/>
  <c r="P384" i="12"/>
  <c r="Q384" i="12"/>
  <c r="N202" i="12"/>
  <c r="O202" i="12"/>
  <c r="P202" i="12"/>
  <c r="Q202" i="12"/>
  <c r="N406" i="12"/>
  <c r="O406" i="12"/>
  <c r="P406" i="12"/>
  <c r="Q406" i="12"/>
  <c r="N496" i="12"/>
  <c r="O496" i="12"/>
  <c r="P496" i="12"/>
  <c r="Q496" i="12"/>
  <c r="M524" i="12"/>
  <c r="G524" i="12" s="1"/>
  <c r="N618" i="12"/>
  <c r="O618" i="12"/>
  <c r="P618" i="12"/>
  <c r="Q618" i="12"/>
  <c r="M578" i="12"/>
  <c r="G578" i="12" s="1"/>
  <c r="M470" i="12"/>
  <c r="G470" i="12" s="1"/>
  <c r="P222" i="12"/>
  <c r="Q222" i="12"/>
  <c r="N222" i="12"/>
  <c r="O222" i="12"/>
  <c r="M354" i="12"/>
  <c r="G354" i="12" s="1"/>
  <c r="Q296" i="12"/>
  <c r="N296" i="12"/>
  <c r="O296" i="12"/>
  <c r="P296" i="12"/>
  <c r="M386" i="12"/>
  <c r="G386" i="12" s="1"/>
  <c r="M458" i="12"/>
  <c r="G458" i="12" s="1"/>
  <c r="N490" i="12"/>
  <c r="P490" i="12"/>
  <c r="Q490" i="12"/>
  <c r="O490" i="12"/>
  <c r="P486" i="12"/>
  <c r="Q486" i="12"/>
  <c r="N486" i="12"/>
  <c r="O486" i="12"/>
  <c r="P640" i="12"/>
  <c r="Q640" i="12"/>
  <c r="N640" i="12"/>
  <c r="O640" i="12"/>
  <c r="Q176" i="12"/>
  <c r="P176" i="12"/>
  <c r="N176" i="12"/>
  <c r="O176" i="12"/>
  <c r="N232" i="12"/>
  <c r="O232" i="12"/>
  <c r="P232" i="12"/>
  <c r="Q232" i="12"/>
  <c r="N294" i="12"/>
  <c r="O294" i="12"/>
  <c r="P294" i="12"/>
  <c r="Q294" i="12"/>
  <c r="N420" i="12"/>
  <c r="O420" i="12"/>
  <c r="P420" i="12"/>
  <c r="Q420" i="12"/>
  <c r="O492" i="12"/>
  <c r="P492" i="12"/>
  <c r="Q492" i="12"/>
  <c r="N492" i="12"/>
  <c r="P624" i="12"/>
  <c r="Q624" i="12"/>
  <c r="N624" i="12"/>
  <c r="O624" i="12"/>
  <c r="O546" i="12"/>
  <c r="P546" i="12"/>
  <c r="Q546" i="12"/>
  <c r="N546" i="12"/>
  <c r="N62" i="12"/>
  <c r="O62" i="12"/>
  <c r="P62" i="12"/>
  <c r="Q62" i="12"/>
  <c r="N30" i="12"/>
  <c r="O30" i="12"/>
  <c r="P30" i="12"/>
  <c r="Q30" i="12"/>
  <c r="Q360" i="12"/>
  <c r="N360" i="12"/>
  <c r="P360" i="12"/>
  <c r="O360" i="12"/>
  <c r="N308" i="12"/>
  <c r="O308" i="12"/>
  <c r="P308" i="12"/>
  <c r="Q308" i="12"/>
  <c r="P412" i="12"/>
  <c r="Q412" i="12"/>
  <c r="N412" i="12"/>
  <c r="O412" i="12"/>
  <c r="O430" i="12"/>
  <c r="Q430" i="12"/>
  <c r="N430" i="12"/>
  <c r="P430" i="12"/>
  <c r="Q654" i="12"/>
  <c r="N654" i="12"/>
  <c r="O654" i="12"/>
  <c r="P654" i="12"/>
  <c r="O280" i="12"/>
  <c r="Q280" i="12"/>
  <c r="N280" i="12"/>
  <c r="P280" i="12"/>
  <c r="N230" i="12"/>
  <c r="O230" i="12"/>
  <c r="P230" i="12"/>
  <c r="Q230" i="12"/>
  <c r="Q558" i="12"/>
  <c r="N558" i="12"/>
  <c r="O558" i="12"/>
  <c r="P558" i="12"/>
  <c r="N190" i="12"/>
  <c r="P190" i="12"/>
  <c r="Q190" i="12"/>
  <c r="O190" i="12"/>
  <c r="M256" i="12"/>
  <c r="G256" i="12" s="1"/>
  <c r="N152" i="12"/>
  <c r="O152" i="12"/>
  <c r="P152" i="12"/>
  <c r="Q152" i="12"/>
  <c r="M214" i="12"/>
  <c r="G214" i="12" s="1"/>
  <c r="Q590" i="12"/>
  <c r="N590" i="12"/>
  <c r="O590" i="12"/>
  <c r="P590" i="12"/>
  <c r="Q96" i="12"/>
  <c r="N96" i="12"/>
  <c r="O96" i="12"/>
  <c r="P96" i="12"/>
  <c r="M132" i="12"/>
  <c r="G132" i="12" s="1"/>
  <c r="N156" i="12"/>
  <c r="O156" i="12"/>
  <c r="Q156" i="12"/>
  <c r="P156" i="12"/>
  <c r="N136" i="12"/>
  <c r="O136" i="12"/>
  <c r="P136" i="12"/>
  <c r="Q136" i="12"/>
  <c r="N158" i="12"/>
  <c r="P158" i="12"/>
  <c r="O158" i="12"/>
  <c r="Q158" i="12"/>
  <c r="M224" i="12"/>
  <c r="G224" i="12" s="1"/>
  <c r="P206" i="12"/>
  <c r="Q206" i="12"/>
  <c r="N206" i="12"/>
  <c r="O206" i="12"/>
  <c r="M288" i="12"/>
  <c r="G288" i="12" s="1"/>
  <c r="M314" i="12"/>
  <c r="G314" i="12" s="1"/>
  <c r="N310" i="12"/>
  <c r="O310" i="12"/>
  <c r="P310" i="12"/>
  <c r="Q310" i="12"/>
  <c r="M398" i="12"/>
  <c r="G398" i="12" s="1"/>
  <c r="M472" i="12"/>
  <c r="G472" i="12" s="1"/>
  <c r="N512" i="12"/>
  <c r="O512" i="12"/>
  <c r="P512" i="12"/>
  <c r="Q512" i="12"/>
  <c r="N432" i="12"/>
  <c r="P432" i="12"/>
  <c r="Q432" i="12"/>
  <c r="O432" i="12"/>
  <c r="M460" i="12"/>
  <c r="G460" i="12" s="1"/>
  <c r="M650" i="12"/>
  <c r="G650" i="12" s="1"/>
  <c r="Q534" i="12"/>
  <c r="N534" i="12"/>
  <c r="O534" i="12"/>
  <c r="P534" i="12"/>
  <c r="N664" i="12"/>
  <c r="O664" i="12"/>
  <c r="P664" i="12"/>
  <c r="Q664" i="12"/>
  <c r="N584" i="12"/>
  <c r="O584" i="12"/>
  <c r="P584" i="12"/>
  <c r="Q584" i="12"/>
  <c r="M626" i="12"/>
  <c r="G626" i="12" s="1"/>
  <c r="Q344" i="12"/>
  <c r="N344" i="12"/>
  <c r="O344" i="12"/>
  <c r="P344" i="12"/>
  <c r="P450" i="12"/>
  <c r="Q450" i="12"/>
  <c r="N450" i="12"/>
  <c r="O450" i="12"/>
  <c r="Q622" i="12"/>
  <c r="N622" i="12"/>
  <c r="O622" i="12"/>
  <c r="P622" i="12"/>
  <c r="N678" i="12"/>
  <c r="O678" i="12"/>
  <c r="P678" i="12"/>
  <c r="Q678" i="12"/>
  <c r="Q48" i="12"/>
  <c r="N48" i="12"/>
  <c r="O48" i="12"/>
  <c r="P48" i="12"/>
  <c r="N120" i="12"/>
  <c r="O120" i="12"/>
  <c r="P120" i="12"/>
  <c r="Q120" i="12"/>
  <c r="N212" i="12"/>
  <c r="O212" i="12"/>
  <c r="P212" i="12"/>
  <c r="Q212" i="12"/>
  <c r="N374" i="12"/>
  <c r="O374" i="12"/>
  <c r="P374" i="12"/>
  <c r="Q374" i="12"/>
  <c r="N454" i="12"/>
  <c r="O454" i="12"/>
  <c r="P454" i="12"/>
  <c r="Q454" i="12"/>
  <c r="N514" i="12"/>
  <c r="O514" i="12"/>
  <c r="P514" i="12"/>
  <c r="Q514" i="12"/>
  <c r="Q160" i="12"/>
  <c r="O160" i="12"/>
  <c r="P160" i="12"/>
  <c r="N160" i="12"/>
  <c r="M248" i="12"/>
  <c r="G248" i="12" s="1"/>
  <c r="Q220" i="12"/>
  <c r="N220" i="12"/>
  <c r="O220" i="12"/>
  <c r="P220" i="12"/>
  <c r="N266" i="12"/>
  <c r="P266" i="12"/>
  <c r="O266" i="12"/>
  <c r="Q266" i="12"/>
  <c r="Q328" i="12"/>
  <c r="N328" i="12"/>
  <c r="O328" i="12"/>
  <c r="P328" i="12"/>
  <c r="N424" i="12"/>
  <c r="O424" i="12"/>
  <c r="P424" i="12"/>
  <c r="Q424" i="12"/>
  <c r="N408" i="12"/>
  <c r="O408" i="12"/>
  <c r="P408" i="12"/>
  <c r="Q408" i="12"/>
  <c r="M396" i="12"/>
  <c r="G396" i="12" s="1"/>
  <c r="N438" i="12"/>
  <c r="O438" i="12"/>
  <c r="P438" i="12"/>
  <c r="Q438" i="12"/>
  <c r="M462" i="12"/>
  <c r="G462" i="12" s="1"/>
  <c r="N528" i="12"/>
  <c r="O528" i="12"/>
  <c r="P528" i="12"/>
  <c r="Q528" i="12"/>
  <c r="Q606" i="12"/>
  <c r="N606" i="12"/>
  <c r="O606" i="12"/>
  <c r="P606" i="12"/>
  <c r="Q670" i="12"/>
  <c r="N670" i="12"/>
  <c r="O670" i="12"/>
  <c r="P670" i="12"/>
  <c r="M658" i="12"/>
  <c r="G658" i="12" s="1"/>
  <c r="M508" i="12"/>
  <c r="G508" i="12" s="1"/>
  <c r="M444" i="12"/>
  <c r="G444" i="12" s="1"/>
  <c r="O468" i="12"/>
  <c r="P468" i="12"/>
  <c r="Q468" i="12"/>
  <c r="N468" i="12"/>
  <c r="O148" i="12"/>
  <c r="P148" i="12"/>
  <c r="Q148" i="12"/>
  <c r="N148" i="12"/>
  <c r="N478" i="12"/>
  <c r="O478" i="12"/>
  <c r="P478" i="12"/>
  <c r="Q478" i="12"/>
  <c r="N604" i="12"/>
  <c r="O604" i="12"/>
  <c r="P604" i="12"/>
  <c r="Q604" i="12"/>
  <c r="Q204" i="12"/>
  <c r="N204" i="12"/>
  <c r="O204" i="12"/>
  <c r="P204" i="12"/>
  <c r="N304" i="12"/>
  <c r="O304" i="12"/>
  <c r="P304" i="12"/>
  <c r="Q304" i="12"/>
  <c r="P370" i="12"/>
  <c r="Q370" i="12"/>
  <c r="N370" i="12"/>
  <c r="O370" i="12"/>
  <c r="O504" i="12"/>
  <c r="Q504" i="12"/>
  <c r="P504" i="12"/>
  <c r="N504" i="12"/>
  <c r="P538" i="12"/>
  <c r="Q538" i="12"/>
  <c r="N538" i="12"/>
  <c r="O538" i="12"/>
  <c r="M634" i="12"/>
  <c r="G634" i="12" s="1"/>
  <c r="N600" i="12"/>
  <c r="O600" i="12"/>
  <c r="P600" i="12"/>
  <c r="Q600" i="12"/>
  <c r="N588" i="12"/>
  <c r="O588" i="12"/>
  <c r="P588" i="12"/>
  <c r="Q588" i="12"/>
  <c r="Q112" i="12"/>
  <c r="N112" i="12"/>
  <c r="O112" i="12"/>
  <c r="P112" i="12"/>
  <c r="Q128" i="12"/>
  <c r="N128" i="12"/>
  <c r="O128" i="12"/>
  <c r="P128" i="12"/>
  <c r="Q32" i="12"/>
  <c r="N32" i="12"/>
  <c r="O32" i="12"/>
  <c r="P32" i="12"/>
  <c r="N188" i="12"/>
  <c r="O188" i="12"/>
  <c r="P188" i="12"/>
  <c r="Q188" i="12"/>
  <c r="Q16" i="12"/>
  <c r="N16" i="12"/>
  <c r="O16" i="12"/>
  <c r="P16" i="12"/>
  <c r="M164" i="12"/>
  <c r="G164" i="12" s="1"/>
  <c r="P238" i="12"/>
  <c r="Q238" i="12"/>
  <c r="N238" i="12"/>
  <c r="O238" i="12"/>
  <c r="M208" i="12"/>
  <c r="G208" i="12" s="1"/>
  <c r="N218" i="12"/>
  <c r="O218" i="12"/>
  <c r="P218" i="12"/>
  <c r="Q218" i="12"/>
  <c r="M320" i="12"/>
  <c r="G320" i="12" s="1"/>
  <c r="M332" i="12"/>
  <c r="G332" i="12" s="1"/>
  <c r="Q376" i="12"/>
  <c r="P376" i="12"/>
  <c r="N376" i="12"/>
  <c r="O376" i="12"/>
  <c r="N342" i="12"/>
  <c r="O342" i="12"/>
  <c r="P342" i="12"/>
  <c r="Q342" i="12"/>
  <c r="N276" i="12"/>
  <c r="O276" i="12"/>
  <c r="Q276" i="12"/>
  <c r="P276" i="12"/>
  <c r="Q410" i="12"/>
  <c r="P410" i="12"/>
  <c r="N410" i="12"/>
  <c r="O410" i="12"/>
  <c r="N456" i="12"/>
  <c r="O456" i="12"/>
  <c r="P456" i="12"/>
  <c r="Q456" i="12"/>
  <c r="N440" i="12"/>
  <c r="O440" i="12"/>
  <c r="P440" i="12"/>
  <c r="Q440" i="12"/>
  <c r="P560" i="12"/>
  <c r="Q560" i="12"/>
  <c r="N560" i="12"/>
  <c r="O560" i="12"/>
  <c r="V12" i="13"/>
  <c r="X12" i="13"/>
  <c r="Y12" i="13"/>
  <c r="O12" i="12"/>
  <c r="O12" i="13" s="1"/>
  <c r="N12" i="12"/>
  <c r="N12" i="13" s="1"/>
  <c r="Q12" i="12"/>
  <c r="Q12" i="13" s="1"/>
  <c r="O14" i="12"/>
  <c r="O14" i="13" s="1"/>
  <c r="P14" i="12"/>
  <c r="P14" i="13" s="1"/>
  <c r="Q14" i="12"/>
  <c r="Q14" i="13" s="1"/>
  <c r="N14" i="12"/>
  <c r="N14" i="13" s="1"/>
  <c r="Q10" i="12"/>
  <c r="N10" i="12"/>
  <c r="O10" i="12"/>
  <c r="P10" i="12"/>
  <c r="V14" i="13" l="1"/>
  <c r="X14" i="13"/>
  <c r="Y14" i="13"/>
  <c r="O562" i="12"/>
  <c r="P562" i="12"/>
  <c r="Q562" i="12"/>
  <c r="N562" i="12"/>
  <c r="N386" i="12"/>
  <c r="O386" i="12"/>
  <c r="P386" i="12"/>
  <c r="Q386" i="12"/>
  <c r="O332" i="12"/>
  <c r="P332" i="12"/>
  <c r="Q332" i="12"/>
  <c r="N332" i="12"/>
  <c r="N634" i="12"/>
  <c r="O634" i="12"/>
  <c r="P634" i="12"/>
  <c r="Q634" i="12"/>
  <c r="N650" i="12"/>
  <c r="O650" i="12"/>
  <c r="P650" i="12"/>
  <c r="Q650" i="12"/>
  <c r="P314" i="12"/>
  <c r="Q314" i="12"/>
  <c r="N314" i="12"/>
  <c r="O314" i="12"/>
  <c r="O414" i="12"/>
  <c r="P414" i="12"/>
  <c r="Q414" i="12"/>
  <c r="N414" i="12"/>
  <c r="O658" i="12"/>
  <c r="P658" i="12"/>
  <c r="Q658" i="12"/>
  <c r="N658" i="12"/>
  <c r="O524" i="12"/>
  <c r="P524" i="12"/>
  <c r="Q524" i="12"/>
  <c r="N524" i="12"/>
  <c r="N320" i="12"/>
  <c r="O320" i="12"/>
  <c r="P320" i="12"/>
  <c r="Q320" i="12"/>
  <c r="O396" i="12"/>
  <c r="P396" i="12"/>
  <c r="Q396" i="12"/>
  <c r="N396" i="12"/>
  <c r="O460" i="12"/>
  <c r="P460" i="12"/>
  <c r="Q460" i="12"/>
  <c r="N460" i="12"/>
  <c r="N288" i="12"/>
  <c r="O288" i="12"/>
  <c r="P288" i="12"/>
  <c r="Q288" i="12"/>
  <c r="O256" i="12"/>
  <c r="P256" i="12"/>
  <c r="Q256" i="12"/>
  <c r="N256" i="12"/>
  <c r="O470" i="12"/>
  <c r="P470" i="12"/>
  <c r="Q470" i="12"/>
  <c r="N470" i="12"/>
  <c r="P298" i="12"/>
  <c r="Q298" i="12"/>
  <c r="N298" i="12"/>
  <c r="O298" i="12"/>
  <c r="O224" i="12"/>
  <c r="P224" i="12"/>
  <c r="Q224" i="12"/>
  <c r="N224" i="12"/>
  <c r="N472" i="12"/>
  <c r="O472" i="12"/>
  <c r="P472" i="12"/>
  <c r="Q472" i="12"/>
  <c r="O578" i="12"/>
  <c r="P578" i="12"/>
  <c r="Q578" i="12"/>
  <c r="N578" i="12"/>
  <c r="N198" i="12"/>
  <c r="O198" i="12"/>
  <c r="P198" i="12"/>
  <c r="Q198" i="12"/>
  <c r="O208" i="12"/>
  <c r="P208" i="12"/>
  <c r="Q208" i="12"/>
  <c r="N208" i="12"/>
  <c r="O508" i="12"/>
  <c r="P508" i="12"/>
  <c r="Q508" i="12"/>
  <c r="N508" i="12"/>
  <c r="O458" i="12"/>
  <c r="P458" i="12"/>
  <c r="Q458" i="12"/>
  <c r="N458" i="12"/>
  <c r="O626" i="12"/>
  <c r="P626" i="12"/>
  <c r="Q626" i="12"/>
  <c r="N626" i="12"/>
  <c r="P518" i="12"/>
  <c r="Q518" i="12"/>
  <c r="N518" i="12"/>
  <c r="O518" i="12"/>
  <c r="N476" i="12"/>
  <c r="O476" i="12"/>
  <c r="P476" i="12"/>
  <c r="Q476" i="12"/>
  <c r="P378" i="12"/>
  <c r="Q378" i="12"/>
  <c r="N378" i="12"/>
  <c r="O378" i="12"/>
  <c r="N248" i="12"/>
  <c r="O248" i="12"/>
  <c r="P248" i="12"/>
  <c r="Q248" i="12"/>
  <c r="P466" i="12"/>
  <c r="Q466" i="12"/>
  <c r="N466" i="12"/>
  <c r="O466" i="12"/>
  <c r="O164" i="12"/>
  <c r="P164" i="12"/>
  <c r="Q164" i="12"/>
  <c r="N164" i="12"/>
  <c r="N398" i="12"/>
  <c r="O398" i="12"/>
  <c r="P398" i="12"/>
  <c r="Q398" i="12"/>
  <c r="O132" i="12"/>
  <c r="P132" i="12"/>
  <c r="Q132" i="12"/>
  <c r="N132" i="12"/>
  <c r="O462" i="12"/>
  <c r="P462" i="12"/>
  <c r="Q462" i="12"/>
  <c r="N462" i="12"/>
  <c r="N214" i="12"/>
  <c r="O214" i="12"/>
  <c r="P214" i="12"/>
  <c r="Q214" i="12"/>
  <c r="N354" i="12"/>
  <c r="O354" i="12"/>
  <c r="P354" i="12"/>
  <c r="Q354" i="12"/>
  <c r="O642" i="12"/>
  <c r="P642" i="12"/>
  <c r="Q642" i="12"/>
  <c r="N642" i="12"/>
  <c r="O348" i="12"/>
  <c r="P348" i="12"/>
  <c r="Q348" i="12"/>
  <c r="N348" i="12"/>
  <c r="P346" i="12"/>
  <c r="Q346" i="12"/>
  <c r="N346" i="12"/>
  <c r="O346" i="12"/>
  <c r="O444" i="12"/>
  <c r="P444" i="12"/>
  <c r="Q444" i="12"/>
  <c r="N444" i="12"/>
  <c r="O674" i="12"/>
  <c r="P674" i="12"/>
  <c r="Q674" i="12"/>
  <c r="N674" i="12"/>
  <c r="O594" i="12"/>
  <c r="P594" i="12"/>
  <c r="Q594" i="12"/>
  <c r="N594" i="12"/>
  <c r="O316" i="12"/>
  <c r="P316" i="12"/>
  <c r="Q316" i="12"/>
  <c r="N316" i="12"/>
  <c r="W12" i="13"/>
  <c r="AD12" i="13" s="1"/>
  <c r="W14" i="13" l="1"/>
  <c r="AD14" i="13" s="1"/>
  <c r="U8" i="12" l="1"/>
  <c r="T8" i="12"/>
  <c r="S8" i="12"/>
  <c r="R8" i="12"/>
  <c r="F8" i="12"/>
  <c r="E8" i="12"/>
  <c r="B8" i="12"/>
  <c r="C8" i="12" a="1"/>
  <c r="C8" i="12" s="1"/>
  <c r="S4" i="12"/>
  <c r="L8" i="12"/>
  <c r="K8" i="12"/>
  <c r="J8" i="12"/>
  <c r="AC8" i="13"/>
  <c r="AB8" i="13"/>
  <c r="AA8" i="13"/>
  <c r="Z8" i="13"/>
  <c r="F14" i="7"/>
  <c r="K13" i="7"/>
  <c r="J13" i="7"/>
  <c r="I13" i="7"/>
  <c r="AB12" i="7"/>
  <c r="AA12" i="7"/>
  <c r="Z12" i="7"/>
  <c r="Y12" i="7"/>
  <c r="H12" i="7"/>
  <c r="G12" i="7"/>
  <c r="L12" i="7" s="1"/>
  <c r="F12" i="7" s="1"/>
  <c r="X7" i="12"/>
  <c r="X6" i="12"/>
  <c r="X4" i="12"/>
  <c r="G14" i="7"/>
  <c r="H14" i="7"/>
  <c r="I15" i="7"/>
  <c r="J15" i="7"/>
  <c r="K15" i="7"/>
  <c r="F16" i="7"/>
  <c r="N16" i="7" s="1"/>
  <c r="G8" i="7"/>
  <c r="AB14" i="7"/>
  <c r="Y10" i="7"/>
  <c r="Z10" i="7"/>
  <c r="AA10" i="7"/>
  <c r="AB10" i="7"/>
  <c r="Y14" i="7"/>
  <c r="Z14" i="7"/>
  <c r="AA14" i="7"/>
  <c r="AB8" i="7"/>
  <c r="AA8" i="7"/>
  <c r="Y8" i="7"/>
  <c r="Z8" i="7"/>
  <c r="Q18" i="7"/>
  <c r="R18" i="7"/>
  <c r="S18" i="7"/>
  <c r="T18" i="7"/>
  <c r="F8" i="9"/>
  <c r="E8" i="9"/>
  <c r="G14" i="9"/>
  <c r="G8" i="9"/>
  <c r="K11" i="7"/>
  <c r="J11" i="7"/>
  <c r="I11" i="7"/>
  <c r="K9" i="7"/>
  <c r="J9" i="7"/>
  <c r="I9" i="7"/>
  <c r="E16" i="7"/>
  <c r="U16" i="7" l="1"/>
  <c r="J9" i="12"/>
  <c r="J9" i="13" s="1"/>
  <c r="L11" i="13"/>
  <c r="K11" i="13"/>
  <c r="J11" i="13"/>
  <c r="H8" i="12"/>
  <c r="I8" i="12"/>
  <c r="K9" i="12"/>
  <c r="K9" i="13" s="1"/>
  <c r="L9" i="12"/>
  <c r="L9" i="13" s="1"/>
  <c r="X12" i="7"/>
  <c r="W12" i="7"/>
  <c r="U12" i="7"/>
  <c r="P12" i="7"/>
  <c r="M12" i="7"/>
  <c r="O12" i="7"/>
  <c r="N12" i="7"/>
  <c r="P16" i="7"/>
  <c r="O16" i="7"/>
  <c r="L14" i="7"/>
  <c r="N14" i="7" s="1"/>
  <c r="AC16" i="7"/>
  <c r="G10" i="7"/>
  <c r="H10" i="7"/>
  <c r="H8" i="7"/>
  <c r="M10" i="13" l="1"/>
  <c r="M8" i="13"/>
  <c r="V8" i="13" s="1"/>
  <c r="M8" i="12"/>
  <c r="G8" i="12" s="1"/>
  <c r="V12" i="7"/>
  <c r="AC12" i="7" s="1"/>
  <c r="P14" i="7"/>
  <c r="M14" i="7"/>
  <c r="O14" i="7"/>
  <c r="L10" i="7"/>
  <c r="F10" i="7" s="1"/>
  <c r="U10" i="7" s="1"/>
  <c r="E18" i="7"/>
  <c r="AB18" i="7"/>
  <c r="Y18" i="7"/>
  <c r="Z18" i="7"/>
  <c r="AA18" i="7"/>
  <c r="Y10" i="13" l="1"/>
  <c r="X10" i="13"/>
  <c r="V10" i="13"/>
  <c r="P8" i="12"/>
  <c r="P8" i="13" s="1"/>
  <c r="N8" i="12"/>
  <c r="N8" i="13" s="1"/>
  <c r="N10" i="13"/>
  <c r="O10" i="13"/>
  <c r="P10" i="13"/>
  <c r="Q10" i="13"/>
  <c r="Q8" i="12"/>
  <c r="Q8" i="13" s="1"/>
  <c r="O8" i="12"/>
  <c r="O8" i="13" s="1"/>
  <c r="Y8" i="13"/>
  <c r="X8" i="13"/>
  <c r="W8" i="13"/>
  <c r="V10" i="7"/>
  <c r="O10" i="7"/>
  <c r="P10" i="7"/>
  <c r="N10" i="7"/>
  <c r="M10" i="7"/>
  <c r="W10" i="7"/>
  <c r="X10" i="7"/>
  <c r="U14" i="7"/>
  <c r="H7" i="9"/>
  <c r="I7" i="9" s="1"/>
  <c r="W10" i="13" l="1"/>
  <c r="AD10" i="13" s="1"/>
  <c r="AD8" i="13"/>
  <c r="V14" i="7"/>
  <c r="W14" i="7"/>
  <c r="X14" i="7"/>
  <c r="I8" i="9"/>
  <c r="H13" i="9"/>
  <c r="I13" i="9" s="1"/>
  <c r="E14" i="9"/>
  <c r="I14" i="9" l="1"/>
  <c r="H8" i="9"/>
  <c r="H14" i="9"/>
  <c r="J7" i="9"/>
  <c r="K7" i="9" s="1"/>
  <c r="H16" i="7"/>
  <c r="J13" i="9" l="1"/>
  <c r="K13" i="9" s="1"/>
  <c r="J8" i="9"/>
  <c r="K8" i="9" s="1"/>
  <c r="G16" i="7"/>
  <c r="M16" i="7" s="1"/>
  <c r="J14" i="9" l="1"/>
  <c r="K14" i="9" s="1"/>
  <c r="L8" i="7"/>
  <c r="L16" i="7"/>
  <c r="F8" i="7" l="1"/>
  <c r="AC10" i="7"/>
  <c r="AC14" i="7"/>
  <c r="U8" i="7" l="1"/>
  <c r="V8" i="7" s="1"/>
  <c r="M8" i="7"/>
  <c r="M18" i="7" s="1"/>
  <c r="P8" i="7"/>
  <c r="P18" i="7" s="1"/>
  <c r="X8" i="7"/>
  <c r="X18" i="7" s="1"/>
  <c r="N8" i="7"/>
  <c r="N18" i="7" s="1"/>
  <c r="W8" i="7"/>
  <c r="W18" i="7" s="1"/>
  <c r="O8" i="7"/>
  <c r="O18" i="7" s="1"/>
  <c r="AC8" i="7" l="1"/>
  <c r="AC18" i="7" s="1"/>
  <c r="U18" i="7"/>
  <c r="V1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 Park</author>
  </authors>
  <commentList>
    <comment ref="I8" authorId="0" shapeId="0" xr:uid="{00000000-0006-0000-0000-000002000000}">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J8" authorId="0" shapeId="0" xr:uid="{00000000-0006-0000-0000-000003000000}">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K8" authorId="0" shapeId="0" xr:uid="{00000000-0006-0000-0000-000004000000}">
      <text>
        <r>
          <rPr>
            <b/>
            <sz val="9"/>
            <color indexed="81"/>
            <rFont val="돋움"/>
            <family val="3"/>
            <charset val="129"/>
          </rPr>
          <t>숫자만</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Sara Park</author>
  </authors>
  <commentList>
    <comment ref="H6" authorId="0" shapeId="0" xr:uid="{00000000-0006-0000-0100-000001000000}">
      <text>
        <r>
          <rPr>
            <b/>
            <sz val="10"/>
            <color indexed="81"/>
            <rFont val="맑은 고딕"/>
            <family val="3"/>
            <charset val="129"/>
          </rPr>
          <t>소정근로시간: 일 8시간</t>
        </r>
      </text>
    </comment>
    <comment ref="I6" authorId="0" shapeId="0" xr:uid="{00000000-0006-0000-0100-000002000000}">
      <text>
        <r>
          <rPr>
            <b/>
            <sz val="11"/>
            <color indexed="81"/>
            <rFont val="맑은 고딕"/>
            <family val="3"/>
            <charset val="129"/>
          </rPr>
          <t xml:space="preserve">주40시간 미만 근로자 (주 5일 소정 근무시) 
주휴수당=통상임금 (시급 ) x 8시간 x (주 근로시간 / 40) </t>
        </r>
      </text>
    </comment>
    <comment ref="E7" authorId="0" shapeId="0" xr:uid="{00000000-0006-0000-0100-000003000000}">
      <text>
        <r>
          <rPr>
            <b/>
            <sz val="11"/>
            <color indexed="81"/>
            <rFont val="돋움"/>
            <family val="3"/>
            <charset val="129"/>
          </rPr>
          <t>숫자만</t>
        </r>
        <r>
          <rPr>
            <b/>
            <sz val="11"/>
            <color indexed="81"/>
            <rFont val="Tahoma"/>
            <family val="2"/>
          </rPr>
          <t xml:space="preserve"> </t>
        </r>
        <r>
          <rPr>
            <b/>
            <sz val="11"/>
            <color indexed="81"/>
            <rFont val="돋움"/>
            <family val="3"/>
            <charset val="129"/>
          </rPr>
          <t>입력</t>
        </r>
        <r>
          <rPr>
            <sz val="9"/>
            <color indexed="81"/>
            <rFont val="Tahoma"/>
            <family val="2"/>
          </rPr>
          <t xml:space="preserve">
</t>
        </r>
      </text>
    </comment>
    <comment ref="F7" authorId="0" shapeId="0" xr:uid="{00000000-0006-0000-0100-000004000000}">
      <text>
        <r>
          <rPr>
            <b/>
            <sz val="11"/>
            <color indexed="81"/>
            <rFont val="돋움"/>
            <family val="3"/>
            <charset val="129"/>
          </rPr>
          <t>숫자만</t>
        </r>
        <r>
          <rPr>
            <b/>
            <sz val="11"/>
            <color indexed="81"/>
            <rFont val="Tahoma"/>
            <family val="2"/>
          </rPr>
          <t xml:space="preserve"> </t>
        </r>
        <r>
          <rPr>
            <b/>
            <sz val="11"/>
            <color indexed="81"/>
            <rFont val="돋움"/>
            <family val="3"/>
            <charset val="129"/>
          </rPr>
          <t>입력</t>
        </r>
        <r>
          <rPr>
            <sz val="9"/>
            <color indexed="81"/>
            <rFont val="Tahoma"/>
            <family val="2"/>
          </rPr>
          <t xml:space="preserve">
</t>
        </r>
      </text>
    </comment>
    <comment ref="H12" authorId="0" shapeId="0" xr:uid="{00000000-0006-0000-0100-000005000000}">
      <text>
        <r>
          <rPr>
            <b/>
            <sz val="10"/>
            <color indexed="81"/>
            <rFont val="맑은 고딕"/>
            <family val="3"/>
            <charset val="129"/>
          </rPr>
          <t>소정근로시간: 일 8시간</t>
        </r>
      </text>
    </comment>
    <comment ref="I12" authorId="0" shapeId="0" xr:uid="{61DB462D-83E3-4990-964C-4CA2751A02A4}">
      <text>
        <r>
          <rPr>
            <b/>
            <sz val="11"/>
            <color indexed="81"/>
            <rFont val="맑은 고딕"/>
            <family val="3"/>
            <charset val="129"/>
          </rPr>
          <t xml:space="preserve">주40시간 미만 근로자 (주 5일 소정 근무시) 
주휴수당=통상임금 (시급 ) x 8시간 x (주 근로시간 / 40) </t>
        </r>
      </text>
    </comment>
    <comment ref="E13" authorId="0" shapeId="0" xr:uid="{00000000-0006-0000-0100-000007000000}">
      <text>
        <r>
          <rPr>
            <b/>
            <sz val="11"/>
            <color indexed="81"/>
            <rFont val="돋움"/>
            <family val="3"/>
            <charset val="129"/>
          </rPr>
          <t>숫자만</t>
        </r>
        <r>
          <rPr>
            <b/>
            <sz val="11"/>
            <color indexed="81"/>
            <rFont val="Tahoma"/>
            <family val="2"/>
          </rPr>
          <t xml:space="preserve"> </t>
        </r>
        <r>
          <rPr>
            <b/>
            <sz val="11"/>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Sara Park</author>
  </authors>
  <commentList>
    <comment ref="J8" authorId="0" shapeId="0" xr:uid="{8EBB11CD-3868-4DC7-91F0-6FB9B8312261}">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K8" authorId="0" shapeId="0" xr:uid="{A423AB81-FC54-4F4A-A20C-4A8F005E4BBB}">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L8" authorId="0" shapeId="0" xr:uid="{F4ACE82F-4C0A-494F-8EE1-22FC3F07C41D}">
      <text>
        <r>
          <rPr>
            <b/>
            <sz val="9"/>
            <color indexed="81"/>
            <rFont val="돋움"/>
            <family val="3"/>
            <charset val="129"/>
          </rPr>
          <t>숫자만</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 ref="J10" authorId="0" shapeId="0" xr:uid="{BE4F5FAD-FAA1-4A40-83C3-2053CAD214E0}">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K10" authorId="0" shapeId="0" xr:uid="{51733FF7-1AA2-49EC-85AC-780FD1ADB6D1}">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L10" authorId="0" shapeId="0" xr:uid="{683CF9C7-2F2E-4143-A8FE-B32B11706D31}">
      <text>
        <r>
          <rPr>
            <b/>
            <sz val="9"/>
            <color indexed="81"/>
            <rFont val="돋움"/>
            <family val="3"/>
            <charset val="129"/>
          </rPr>
          <t>숫자만</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Sara Park</author>
  </authors>
  <commentList>
    <comment ref="J8" authorId="0" shapeId="0" xr:uid="{0B8B80EE-C476-41D7-A7A3-4894A8D52416}">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K8" authorId="0" shapeId="0" xr:uid="{9C807E32-7D9F-4250-9D10-D73221AAAB5B}">
      <text>
        <r>
          <rPr>
            <b/>
            <sz val="9"/>
            <color indexed="81"/>
            <rFont val="돋움"/>
            <family val="3"/>
            <charset val="129"/>
          </rPr>
          <t>숫자만</t>
        </r>
        <r>
          <rPr>
            <b/>
            <sz val="9"/>
            <color indexed="81"/>
            <rFont val="Tahoma"/>
            <family val="2"/>
          </rPr>
          <t xml:space="preserve"> </t>
        </r>
        <r>
          <rPr>
            <b/>
            <sz val="9"/>
            <color indexed="81"/>
            <rFont val="돋움"/>
            <family val="3"/>
            <charset val="129"/>
          </rPr>
          <t>입력</t>
        </r>
      </text>
    </comment>
    <comment ref="L8" authorId="0" shapeId="0" xr:uid="{5D779F0C-2F87-492C-A143-097631946CA4}">
      <text>
        <r>
          <rPr>
            <b/>
            <sz val="9"/>
            <color indexed="81"/>
            <rFont val="돋움"/>
            <family val="3"/>
            <charset val="129"/>
          </rPr>
          <t>숫자만</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<sst xmlns="http://schemas.openxmlformats.org/spreadsheetml/2006/main" count="160" uniqueCount="69">
  <si>
    <t>합계</t>
    <phoneticPr fontId="9" type="noConversion"/>
  </si>
  <si>
    <t>식대</t>
    <phoneticPr fontId="9" type="noConversion"/>
  </si>
  <si>
    <t>주휴시수</t>
    <phoneticPr fontId="9" type="noConversion"/>
  </si>
  <si>
    <t>기본근로</t>
    <phoneticPr fontId="9" type="noConversion"/>
  </si>
  <si>
    <t>(시간급)</t>
    <phoneticPr fontId="9" type="noConversion"/>
  </si>
  <si>
    <t>입사일</t>
    <phoneticPr fontId="9" type="noConversion"/>
  </si>
  <si>
    <t>이름</t>
    <phoneticPr fontId="9" type="noConversion"/>
  </si>
  <si>
    <t>차량유지비</t>
    <phoneticPr fontId="9" type="noConversion"/>
  </si>
  <si>
    <t>직급</t>
    <phoneticPr fontId="4" type="noConversion"/>
  </si>
  <si>
    <t>임금의 구성</t>
    <phoneticPr fontId="4" type="noConversion"/>
  </si>
  <si>
    <t>기본급</t>
    <phoneticPr fontId="4" type="noConversion"/>
  </si>
  <si>
    <t>사업장 : OOO</t>
  </si>
  <si>
    <t>총임금
근로시간</t>
    <phoneticPr fontId="9" type="noConversion"/>
  </si>
  <si>
    <t>(월환산액)</t>
    <phoneticPr fontId="4" type="noConversion"/>
  </si>
  <si>
    <t>비과세 수당</t>
    <phoneticPr fontId="4" type="noConversion"/>
  </si>
  <si>
    <t>통상임금 *</t>
    <phoneticPr fontId="9" type="noConversion"/>
  </si>
  <si>
    <t>* 통상임금 붉은색은 최저시급에 미달인 경우</t>
    <phoneticPr fontId="4" type="noConversion"/>
  </si>
  <si>
    <t>총임금
근로시간</t>
    <phoneticPr fontId="9" type="noConversion"/>
  </si>
  <si>
    <t>기본급여 + 연장수당</t>
    <phoneticPr fontId="9" type="noConversion"/>
  </si>
  <si>
    <t>연장수당</t>
    <phoneticPr fontId="4" type="noConversion"/>
  </si>
  <si>
    <t xml:space="preserve">비과세 수당 </t>
    <phoneticPr fontId="4" type="noConversion"/>
  </si>
  <si>
    <t>비과세 급여
(월보수액에서 제외)</t>
    <phoneticPr fontId="4" type="noConversion"/>
  </si>
  <si>
    <t xml:space="preserve">소정근로시간 8시간 + 주휴수당 지급 </t>
    <phoneticPr fontId="4" type="noConversion"/>
  </si>
  <si>
    <t>월약정급여</t>
    <phoneticPr fontId="9" type="noConversion"/>
  </si>
  <si>
    <t>기본근로</t>
    <phoneticPr fontId="9" type="noConversion"/>
  </si>
  <si>
    <t xml:space="preserve">임금시간 시수 </t>
    <phoneticPr fontId="9" type="noConversion"/>
  </si>
  <si>
    <t>직무</t>
    <phoneticPr fontId="4" type="noConversion"/>
  </si>
  <si>
    <t>근로시간
(일간)</t>
    <phoneticPr fontId="4" type="noConversion"/>
  </si>
  <si>
    <t>근로일수 
(주당)</t>
    <phoneticPr fontId="4" type="noConversion"/>
  </si>
  <si>
    <t>급여</t>
    <phoneticPr fontId="9" type="noConversion"/>
  </si>
  <si>
    <t>근로시간
(월간)</t>
    <phoneticPr fontId="4" type="noConversion"/>
  </si>
  <si>
    <t>통상임금
(시간급)</t>
    <phoneticPr fontId="9" type="noConversion"/>
  </si>
  <si>
    <t xml:space="preserve">고정 근로시간 </t>
    <phoneticPr fontId="4" type="noConversion"/>
  </si>
  <si>
    <t>단시간 근로자 임금대장 설계용</t>
    <phoneticPr fontId="4" type="noConversion"/>
  </si>
  <si>
    <t xml:space="preserve">변동 근로시간 </t>
    <phoneticPr fontId="4" type="noConversion"/>
  </si>
  <si>
    <t>기본급</t>
    <phoneticPr fontId="9" type="noConversion"/>
  </si>
  <si>
    <t>육아수당</t>
  </si>
  <si>
    <t xml:space="preserve">* 주휴수당은 주(평균) 15시간 이상 근무시 적용함 </t>
    <phoneticPr fontId="4" type="noConversion"/>
  </si>
  <si>
    <t>연구보조비</t>
    <phoneticPr fontId="4" type="noConversion"/>
  </si>
  <si>
    <t>상시근로자수</t>
    <phoneticPr fontId="4" type="noConversion"/>
  </si>
  <si>
    <t>통상임금
(시간급)</t>
    <phoneticPr fontId="9" type="noConversion"/>
  </si>
  <si>
    <t>사업장 : A 주식회사</t>
    <phoneticPr fontId="4" type="noConversion"/>
  </si>
  <si>
    <t>최저시급</t>
    <phoneticPr fontId="4" type="noConversion"/>
  </si>
  <si>
    <t>홍길동</t>
    <phoneticPr fontId="4" type="noConversion"/>
  </si>
  <si>
    <t xml:space="preserve">* 주휴수당은 주(평균) 15시간 이상 근무시 적용함 </t>
    <phoneticPr fontId="4" type="noConversion"/>
  </si>
  <si>
    <t xml:space="preserve">* 노란색 셀에만 입력해 주세요. </t>
    <phoneticPr fontId="4" type="noConversion"/>
  </si>
  <si>
    <t>고정
연장수당</t>
    <phoneticPr fontId="9" type="noConversion"/>
  </si>
  <si>
    <t>임금시간 시수(H)</t>
    <phoneticPr fontId="9" type="noConversion"/>
  </si>
  <si>
    <t>아르바이트</t>
    <phoneticPr fontId="4" type="noConversion"/>
  </si>
  <si>
    <t xml:space="preserve"> </t>
    <phoneticPr fontId="4" type="noConversion"/>
  </si>
  <si>
    <t>최저임금적용
최소 월급여
(조정급여액)</t>
    <phoneticPr fontId="4" type="noConversion"/>
  </si>
  <si>
    <t>조정안(최저임금 반영)</t>
    <phoneticPr fontId="4" type="noConversion"/>
  </si>
  <si>
    <t>고정
연장근로(주간)</t>
    <phoneticPr fontId="9" type="noConversion"/>
  </si>
  <si>
    <t>야간 또는 
휴일근로(월간)</t>
    <phoneticPr fontId="9" type="noConversion"/>
  </si>
  <si>
    <t>야간 또는 
휴일연장근로(월간)</t>
    <phoneticPr fontId="9" type="noConversion"/>
  </si>
  <si>
    <t>이철수</t>
    <phoneticPr fontId="4" type="noConversion"/>
  </si>
  <si>
    <t>파트타임</t>
    <phoneticPr fontId="4" type="noConversion"/>
  </si>
  <si>
    <t xml:space="preserve">기본시간 초과 근무시 </t>
    <phoneticPr fontId="4" type="noConversion"/>
  </si>
  <si>
    <t xml:space="preserve">  -일 8시간 초과, 주 40시간, 월 174시간 초과 근무는 연장근로
  - 5인 이상 사업장 연장근무 1.5배 가산, 휴일근로(주휴일 근로) 1.5배 가산 
  - 야간근로(밤10시 ~ 오전6시) 0.5배 추가가산, 휴일 8시간 초과 연장근로 0.5배 추가 가산</t>
    <phoneticPr fontId="4" type="noConversion"/>
  </si>
  <si>
    <t>휴일근로(월간)</t>
    <phoneticPr fontId="9" type="noConversion"/>
  </si>
  <si>
    <t>야간근로 또는 
휴일연장근로(월간)</t>
    <phoneticPr fontId="9" type="noConversion"/>
  </si>
  <si>
    <t xml:space="preserve">  - 식대(20만원), 차량유지비(20만원), 육아수당(20만원), 
    연구보조비(20만원), 생산직 연장·야간·휴일근로수당, 업무관련 학자금 등</t>
    <phoneticPr fontId="4" type="noConversion"/>
  </si>
  <si>
    <t xml:space="preserve">  - 소정근로시간에 대한 수당 지급
  - 기본급과 비과세수당은 최저임금 이상이어야 함
  - 월 209시간 기준 (실근로시간 174H + 주휴시수35H)</t>
    <phoneticPr fontId="4" type="noConversion"/>
  </si>
  <si>
    <t>임금대장 설계용 (2025년)</t>
    <phoneticPr fontId="4" type="noConversion"/>
  </si>
  <si>
    <t>5인 이상</t>
  </si>
  <si>
    <t>2025년 최저임금 월급여액</t>
    <phoneticPr fontId="4" type="noConversion"/>
  </si>
  <si>
    <t>2025년 최저임금 기준 지급 임금</t>
    <phoneticPr fontId="4" type="noConversion"/>
  </si>
  <si>
    <t>임금대장</t>
    <phoneticPr fontId="4" type="noConversion"/>
  </si>
  <si>
    <t>임금대장 양식</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</si>
</sst>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quot;* #,##0_-;\-&quot;₩&quot;* #,##0_-;_-&quot;₩&quot;* &quot;-&quot;_-;_-@_-"/>
    <numFmt numFmtId="41" formatCode="_-* #,##0_-;\-* #,##0_-;_-* &quot;-&quot;_-;_-@_-"/>
    <numFmt numFmtId="43" formatCode="_-* #,##0.00_-;\-* #,##0.00_-;_-* &quot;-&quot;??_-;_-@_-"/>
    <numFmt numFmtId="176" formatCode="#,##0_);[Red]\(#,##0\)"/>
    <numFmt numFmtId="177" formatCode="#&quot;H&quot;"/>
    <numFmt numFmtId="178" formatCode="&quot;월간&quot;\ ##&quot;시간&quot;"/>
    <numFmt numFmtId="179" formatCode="##&quot;시간&quot;"/>
    <numFmt numFmtId="180" formatCode="##&quot;일&quot;"/>
    <numFmt numFmtId="181" formatCode="&quot;주 &quot;##&quot;시간 초과&quot;"/>
    <numFmt numFmtId="182" formatCode="#,##0.000_ "/>
    <numFmt numFmtId="183" formatCode="0&quot;H&quot;"/>
    <numFmt numFmtId="184" formatCode="#.0&quot;H&quot;"/>
    <numFmt numFmtId="188" formatCode="0_);[Red]\(0\)"/>
  </numFmts>
  <fonts count="33">
    <font>
      <sz val="11"/>
      <color theme="1"/>
      <name val="휴먼고딕"/>
      <family val="2"/>
      <charset val="129"/>
    </font>
    <font>
      <sz val="11"/>
      <color theme="1"/>
      <name val="휴먼고딕"/>
      <family val="2"/>
      <charset val="129"/>
    </font>
    <font>
      <sz val="11"/>
      <color theme="1"/>
      <name val="맑은 고딕"/>
      <family val="2"/>
      <charset val="129"/>
      <scheme val="minor"/>
    </font>
    <font>
      <sz val="10"/>
      <color theme="1"/>
      <name val="맑은 고딕"/>
      <family val="2"/>
      <charset val="129"/>
      <scheme val="minor"/>
    </font>
    <font>
      <sz val="8"/>
      <name val="휴먼고딕"/>
      <family val="2"/>
      <charset val="129"/>
    </font>
    <font>
      <sz val="10"/>
      <color theme="1"/>
      <name val="맑은 고딕"/>
      <family val="3"/>
      <charset val="129"/>
      <scheme val="minor"/>
    </font>
    <font>
      <b/>
      <sz val="11"/>
      <color theme="1"/>
      <name val="맑은 고딕"/>
      <family val="3"/>
      <charset val="129"/>
      <scheme val="minor"/>
    </font>
    <font>
      <b/>
      <sz val="10"/>
      <name val="맑은 고딕"/>
      <family val="3"/>
      <charset val="129"/>
      <scheme val="minor"/>
    </font>
    <font>
      <b/>
      <sz val="11"/>
      <color theme="1"/>
      <name val="맑은 고딕"/>
      <family val="2"/>
      <charset val="129"/>
      <scheme val="minor"/>
    </font>
    <font>
      <sz val="8"/>
      <name val="맑은 고딕"/>
      <family val="2"/>
      <charset val="129"/>
      <scheme val="minor"/>
    </font>
    <font>
      <sz val="12"/>
      <color theme="1"/>
      <name val="맑은 고딕"/>
      <family val="2"/>
      <charset val="129"/>
      <scheme val="minor"/>
    </font>
    <font>
      <b/>
      <sz val="10"/>
      <color theme="1"/>
      <name val="맑은 고딕"/>
      <family val="3"/>
      <charset val="129"/>
      <scheme val="minor"/>
    </font>
    <font>
      <b/>
      <sz val="12"/>
      <color theme="1"/>
      <name val="맑은 고딕"/>
      <family val="2"/>
      <charset val="129"/>
    </font>
    <font>
      <sz val="10"/>
      <color rgb="FFFF0000"/>
      <name val="맑은 고딕"/>
      <family val="2"/>
      <charset val="129"/>
      <scheme val="minor"/>
    </font>
    <font>
      <sz val="11"/>
      <color theme="1"/>
      <name val="맑은 고딕"/>
      <family val="3"/>
      <charset val="129"/>
      <scheme val="minor"/>
    </font>
    <font>
      <b/>
      <sz val="18"/>
      <color theme="1"/>
      <name val="맑은 고딕"/>
      <family val="2"/>
      <charset val="129"/>
    </font>
    <font>
      <b/>
      <sz val="11"/>
      <color indexed="81"/>
      <name val="맑은 고딕"/>
      <family val="3"/>
      <charset val="129"/>
    </font>
    <font>
      <b/>
      <sz val="16"/>
      <color theme="1"/>
      <name val="맑은 고딕"/>
      <family val="3"/>
      <charset val="129"/>
      <scheme val="minor"/>
    </font>
    <font>
      <b/>
      <sz val="10"/>
      <color indexed="81"/>
      <name val="맑은 고딕"/>
      <family val="3"/>
      <charset val="129"/>
    </font>
    <font>
      <b/>
      <sz val="26"/>
      <color theme="1"/>
      <name val="맑은 고딕"/>
      <family val="3"/>
      <charset val="129"/>
      <scheme val="minor"/>
    </font>
    <font>
      <b/>
      <sz val="11"/>
      <color indexed="81"/>
      <name val="돋움"/>
      <family val="3"/>
      <charset val="129"/>
    </font>
    <font>
      <b/>
      <sz val="11"/>
      <color indexed="81"/>
      <name val="Tahoma"/>
      <family val="2"/>
    </font>
    <font>
      <sz val="10"/>
      <color rgb="FFFF0000"/>
      <name val="맑은 고딕"/>
      <family val="3"/>
      <charset val="129"/>
      <scheme val="minor"/>
    </font>
    <font>
      <b/>
      <sz val="11"/>
      <color rgb="FFFF0000"/>
      <name val="맑은 고딕"/>
      <family val="2"/>
      <charset val="129"/>
      <scheme val="minor"/>
    </font>
    <font>
      <sz val="9"/>
      <color indexed="81"/>
      <name val="Tahoma"/>
      <family val="2"/>
    </font>
    <font>
      <b/>
      <sz val="9"/>
      <color indexed="81"/>
      <name val="Tahoma"/>
      <family val="2"/>
    </font>
    <font>
      <b/>
      <sz val="9"/>
      <color indexed="81"/>
      <name val="돋움"/>
      <family val="3"/>
      <charset val="129"/>
    </font>
    <font>
      <b/>
      <sz val="16"/>
      <color theme="1"/>
      <name val="맑은 고딕"/>
      <family val="2"/>
      <charset val="129"/>
    </font>
    <font>
      <b/>
      <sz val="16"/>
      <color theme="1"/>
      <name val="맑은 고딕"/>
      <family val="3"/>
      <charset val="129"/>
    </font>
    <font>
      <sz val="10"/>
      <color rgb="FFFEF4EC"/>
      <name val="맑은 고딕"/>
      <family val="3"/>
      <charset val="129"/>
      <scheme val="minor"/>
    </font>
    <font>
      <b/>
      <sz val="11"/>
      <color theme="1"/>
      <name val="맑은 고딕"/>
      <family val="3"/>
      <charset val="129"/>
    </font>
    <font>
      <b/>
      <sz val="11"/>
      <name val="맑은 고딕"/>
      <family val="3"/>
      <charset val="129"/>
      <scheme val="minor"/>
    </font>
    <font>
      <sz val="10"/>
      <name val="맑은 고딕"/>
      <family val="3"/>
      <charset val="129"/>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EF4EC"/>
        <bgColor indexed="64"/>
      </patternFill>
    </fill>
    <fill>
      <patternFill patternType="solid">
        <fgColor rgb="FFFFFFCC"/>
        <bgColor indexed="64"/>
      </patternFill>
    </fill>
    <fill>
      <patternFill patternType="solid">
        <fgColor theme="3" tint="0.79998168889431442"/>
        <bgColor indexed="64"/>
      </patternFill>
    </fill>
  </fills>
  <borders count="120">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1"/>
      </top>
      <bottom style="thin">
        <color theme="0" tint="-0.14999847407452621"/>
      </bottom>
      <diagonal/>
    </border>
    <border>
      <left style="thin">
        <color theme="0" tint="-0.14999847407452621"/>
      </left>
      <right style="thin">
        <color theme="1"/>
      </right>
      <top style="thin">
        <color theme="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249977111117893"/>
      </bottom>
      <diagonal/>
    </border>
    <border>
      <left style="thin">
        <color theme="0" tint="-0.499984740745262"/>
      </left>
      <right style="thin">
        <color theme="0" tint="-0.14999847407452621"/>
      </right>
      <top style="thin">
        <color theme="0" tint="-0.499984740745262"/>
      </top>
      <bottom style="thin">
        <color theme="0" tint="-0.14999847407452621"/>
      </bottom>
      <diagonal/>
    </border>
    <border>
      <left style="thin">
        <color theme="0" tint="-0.14999847407452621"/>
      </left>
      <right style="thin">
        <color theme="0" tint="-0.14999847407452621"/>
      </right>
      <top style="thin">
        <color theme="0" tint="-0.499984740745262"/>
      </top>
      <bottom style="thin">
        <color theme="0" tint="-0.14999847407452621"/>
      </bottom>
      <diagonal/>
    </border>
    <border>
      <left style="thin">
        <color theme="0" tint="-0.499984740745262"/>
      </left>
      <right style="thin">
        <color theme="0" tint="-0.14999847407452621"/>
      </right>
      <top style="thin">
        <color theme="0" tint="-0.14999847407452621"/>
      </top>
      <bottom style="thin">
        <color theme="0" tint="-0.249977111117893"/>
      </bottom>
      <diagonal/>
    </border>
    <border>
      <left style="thin">
        <color theme="0" tint="-0.499984740745262"/>
      </left>
      <right style="thin">
        <color theme="0" tint="-0.14999847407452621"/>
      </right>
      <top/>
      <bottom style="thin">
        <color theme="0" tint="-0.14999847407452621"/>
      </bottom>
      <diagonal/>
    </border>
    <border>
      <left style="thin">
        <color theme="0" tint="-0.499984740745262"/>
      </left>
      <right style="thin">
        <color theme="0" tint="-0.14999847407452621"/>
      </right>
      <top style="thin">
        <color theme="0" tint="-0.14999847407452621"/>
      </top>
      <bottom style="thin">
        <color theme="0" tint="-0.499984740745262"/>
      </bottom>
      <diagonal/>
    </border>
    <border>
      <left style="thin">
        <color theme="0" tint="-0.14999847407452621"/>
      </left>
      <right style="thin">
        <color theme="0" tint="-0.14999847407452621"/>
      </right>
      <top style="thin">
        <color theme="0" tint="-0.14999847407452621"/>
      </top>
      <bottom style="thin">
        <color theme="0" tint="-0.499984740745262"/>
      </bottom>
      <diagonal/>
    </border>
    <border>
      <left style="thin">
        <color theme="1"/>
      </left>
      <right style="thin">
        <color theme="0" tint="-0.14999847407452621"/>
      </right>
      <top style="thin">
        <color theme="0" tint="-0.1499984740745262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0" tint="-0.14999847407452621"/>
      </left>
      <right/>
      <top style="thin">
        <color theme="0" tint="-0.249977111117893"/>
      </top>
      <bottom style="thin">
        <color theme="0" tint="-0.14999847407452621"/>
      </bottom>
      <diagonal/>
    </border>
    <border>
      <left/>
      <right/>
      <top style="thin">
        <color theme="0" tint="-0.249977111117893"/>
      </top>
      <bottom style="thin">
        <color theme="0" tint="-0.14999847407452621"/>
      </bottom>
      <diagonal/>
    </border>
    <border>
      <left/>
      <right style="thin">
        <color theme="0" tint="-0.499984740745262"/>
      </right>
      <top style="thin">
        <color theme="0" tint="-0.249977111117893"/>
      </top>
      <bottom style="thin">
        <color theme="0" tint="-0.14999847407452621"/>
      </bottom>
      <diagonal/>
    </border>
    <border>
      <left style="thin">
        <color theme="0" tint="-0.14999847407452621"/>
      </left>
      <right/>
      <top style="thin">
        <color theme="0" tint="-0.14999847407452621"/>
      </top>
      <bottom style="thin">
        <color theme="0" tint="-0.499984740745262"/>
      </bottom>
      <diagonal/>
    </border>
    <border>
      <left/>
      <right/>
      <top style="thin">
        <color theme="0" tint="-0.14999847407452621"/>
      </top>
      <bottom style="thin">
        <color theme="0" tint="-0.499984740745262"/>
      </bottom>
      <diagonal/>
    </border>
    <border>
      <left/>
      <right style="thin">
        <color theme="0" tint="-0.499984740745262"/>
      </right>
      <top style="thin">
        <color theme="0" tint="-0.14999847407452621"/>
      </top>
      <bottom style="thin">
        <color theme="0" tint="-0.499984740745262"/>
      </bottom>
      <diagonal/>
    </border>
    <border>
      <left style="thin">
        <color theme="0" tint="-0.14999847407452621"/>
      </left>
      <right/>
      <top style="thin">
        <color theme="0" tint="-0.499984740745262"/>
      </top>
      <bottom style="thin">
        <color theme="0" tint="-0.14999847407452621"/>
      </bottom>
      <diagonal/>
    </border>
    <border>
      <left/>
      <right/>
      <top style="thin">
        <color theme="0" tint="-0.499984740745262"/>
      </top>
      <bottom style="thin">
        <color theme="0" tint="-0.14999847407452621"/>
      </bottom>
      <diagonal/>
    </border>
    <border>
      <left/>
      <right style="thin">
        <color theme="0" tint="-0.499984740745262"/>
      </right>
      <top style="thin">
        <color theme="0" tint="-0.499984740745262"/>
      </top>
      <bottom style="thin">
        <color theme="0" tint="-0.14999847407452621"/>
      </bottom>
      <diagonal/>
    </border>
    <border>
      <left style="thin">
        <color theme="0" tint="-0.14999847407452621"/>
      </left>
      <right/>
      <top style="thin">
        <color theme="0" tint="-0.14999847407452621"/>
      </top>
      <bottom style="thin">
        <color theme="0" tint="-0.249977111117893"/>
      </bottom>
      <diagonal/>
    </border>
    <border>
      <left/>
      <right/>
      <top style="thin">
        <color theme="0" tint="-0.14999847407452621"/>
      </top>
      <bottom style="thin">
        <color theme="0" tint="-0.249977111117893"/>
      </bottom>
      <diagonal/>
    </border>
    <border>
      <left/>
      <right style="thin">
        <color theme="0" tint="-0.499984740745262"/>
      </right>
      <top style="thin">
        <color theme="0" tint="-0.14999847407452621"/>
      </top>
      <bottom style="thin">
        <color theme="0" tint="-0.249977111117893"/>
      </bottom>
      <diagonal/>
    </border>
    <border>
      <left style="thin">
        <color theme="1"/>
      </left>
      <right style="thin">
        <color theme="0" tint="-0.14999847407452621"/>
      </right>
      <top/>
      <bottom style="thin">
        <color theme="0" tint="-0.14999847407452621"/>
      </bottom>
      <diagonal/>
    </border>
    <border>
      <left style="thin">
        <color theme="0" tint="-0.14999847407452621"/>
      </left>
      <right style="thin">
        <color theme="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1"/>
      </left>
      <right style="thin">
        <color theme="0" tint="-0.14999847407452621"/>
      </right>
      <top style="thin">
        <color theme="0" tint="-0.14999847407452621"/>
      </top>
      <bottom style="thin">
        <color theme="0" tint="-0.249977111117893"/>
      </bottom>
      <diagonal/>
    </border>
    <border>
      <left style="thin">
        <color theme="0" tint="-0.14999847407452621"/>
      </left>
      <right style="thin">
        <color theme="1"/>
      </right>
      <top style="thin">
        <color theme="0" tint="-0.14999847407452621"/>
      </top>
      <bottom style="thin">
        <color theme="0" tint="-0.249977111117893"/>
      </bottom>
      <diagonal/>
    </border>
    <border>
      <left/>
      <right style="thin">
        <color theme="0" tint="-0.14999847407452621"/>
      </right>
      <top style="thin">
        <color theme="0" tint="-0.14999847407452621"/>
      </top>
      <bottom style="thin">
        <color theme="1"/>
      </bottom>
      <diagonal/>
    </border>
    <border>
      <left style="thin">
        <color theme="0" tint="-0.14999847407452621"/>
      </left>
      <right style="thin">
        <color theme="1"/>
      </right>
      <top style="thin">
        <color theme="1"/>
      </top>
      <bottom/>
      <diagonal/>
    </border>
    <border>
      <left style="thin">
        <color theme="0" tint="-0.14999847407452621"/>
      </left>
      <right style="thin">
        <color theme="1"/>
      </right>
      <top/>
      <bottom style="thin">
        <color theme="0" tint="-0.249977111117893"/>
      </bottom>
      <diagonal/>
    </border>
    <border>
      <left style="thin">
        <color theme="1"/>
      </left>
      <right style="thin">
        <color theme="1"/>
      </right>
      <top style="thin">
        <color theme="1"/>
      </top>
      <bottom/>
      <diagonal/>
    </border>
    <border>
      <left style="thin">
        <color theme="1"/>
      </left>
      <right style="thin">
        <color theme="1"/>
      </right>
      <top/>
      <bottom style="thin">
        <color theme="0" tint="-0.249977111117893"/>
      </bottom>
      <diagonal/>
    </border>
    <border>
      <left style="thin">
        <color theme="1"/>
      </left>
      <right style="thin">
        <color theme="0" tint="-0.14999847407452621"/>
      </right>
      <top/>
      <bottom style="thin">
        <color theme="0" tint="-0.249977111117893"/>
      </bottom>
      <diagonal/>
    </border>
    <border>
      <left style="thin">
        <color theme="0" tint="-0.14999847407452621"/>
      </left>
      <right style="thin">
        <color theme="0" tint="-0.14999847407452621"/>
      </right>
      <top/>
      <bottom style="thin">
        <color theme="0" tint="-0.249977111117893"/>
      </bottom>
      <diagonal/>
    </border>
    <border>
      <left/>
      <right style="thin">
        <color theme="0" tint="-0.14999847407452621"/>
      </right>
      <top/>
      <bottom style="thin">
        <color theme="0" tint="-0.249977111117893"/>
      </bottom>
      <diagonal/>
    </border>
    <border>
      <left style="thin">
        <color theme="1"/>
      </left>
      <right style="thin">
        <color theme="1"/>
      </right>
      <top/>
      <bottom style="thin">
        <color theme="0" tint="-0.14999847407452621"/>
      </bottom>
      <diagonal/>
    </border>
    <border>
      <left style="thin">
        <color theme="0" tint="-0.14999847407452621"/>
      </left>
      <right style="thin">
        <color theme="0" tint="-0.14999847407452621"/>
      </right>
      <top style="thin">
        <color theme="1"/>
      </top>
      <bottom/>
      <diagonal/>
    </border>
    <border>
      <left style="thin">
        <color theme="1"/>
      </left>
      <right style="thin">
        <color theme="1"/>
      </right>
      <top style="thin">
        <color theme="0" tint="-0.14999847407452621"/>
      </top>
      <bottom style="thin">
        <color theme="1"/>
      </bottom>
      <diagonal/>
    </border>
    <border>
      <left style="thin">
        <color theme="0" tint="-0.14999847407452621"/>
      </left>
      <right/>
      <top style="thin">
        <color theme="1"/>
      </top>
      <bottom style="thin">
        <color theme="0" tint="-0.14999847407452621"/>
      </bottom>
      <diagonal/>
    </border>
    <border>
      <left/>
      <right style="thin">
        <color theme="0" tint="-0.14999847407452621"/>
      </right>
      <top style="thin">
        <color theme="1"/>
      </top>
      <bottom style="thin">
        <color theme="0" tint="-0.14999847407452621"/>
      </bottom>
      <diagonal/>
    </border>
    <border>
      <left style="thin">
        <color theme="1"/>
      </left>
      <right style="thin">
        <color theme="0" tint="-0.14999847407452621"/>
      </right>
      <top style="thin">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249977111117893"/>
      </top>
      <bottom/>
      <diagonal/>
    </border>
    <border>
      <left style="thin">
        <color theme="0" tint="-0.14999847407452621"/>
      </left>
      <right style="thin">
        <color theme="1"/>
      </right>
      <top style="thin">
        <color theme="0" tint="-0.249977111117893"/>
      </top>
      <bottom/>
      <diagonal/>
    </border>
    <border>
      <left style="thin">
        <color theme="1"/>
      </left>
      <right style="thin">
        <color theme="0" tint="-0.14999847407452621"/>
      </right>
      <top style="thin">
        <color theme="0" tint="-0.249977111117893"/>
      </top>
      <bottom/>
      <diagonal/>
    </border>
    <border>
      <left style="thin">
        <color theme="0" tint="-0.14999847407452621"/>
      </left>
      <right/>
      <top style="thin">
        <color theme="0" tint="-0.249977111117893"/>
      </top>
      <bottom/>
      <diagonal/>
    </border>
    <border>
      <left style="thin">
        <color theme="0" tint="-0.14999847407452621"/>
      </left>
      <right/>
      <top/>
      <bottom style="thin">
        <color theme="0" tint="-0.14999847407452621"/>
      </bottom>
      <diagonal/>
    </border>
    <border>
      <left style="thin">
        <color theme="0" tint="-0.14999847407452621"/>
      </left>
      <right/>
      <top style="thin">
        <color theme="1"/>
      </top>
      <bottom/>
      <diagonal/>
    </border>
    <border>
      <left/>
      <right style="thin">
        <color theme="0" tint="-0.14999847407452621"/>
      </right>
      <top style="thin">
        <color theme="1"/>
      </top>
      <bottom/>
      <diagonal/>
    </border>
    <border>
      <left style="thin">
        <color theme="0" tint="-0.14999847407452621"/>
      </left>
      <right/>
      <top/>
      <bottom style="thin">
        <color theme="0" tint="-0.249977111117893"/>
      </bottom>
      <diagonal/>
    </border>
    <border>
      <left/>
      <right style="thin">
        <color theme="0" tint="-0.14999847407452621"/>
      </right>
      <top style="thin">
        <color theme="0" tint="-0.249977111117893"/>
      </top>
      <bottom style="thin">
        <color theme="0" tint="-0.14999847407452621"/>
      </bottom>
      <diagonal/>
    </border>
    <border>
      <left style="thin">
        <color theme="0" tint="-0.14999847407452621"/>
      </left>
      <right/>
      <top style="thin">
        <color theme="0" tint="-0.14999847407452621"/>
      </top>
      <bottom style="thin">
        <color theme="1"/>
      </bottom>
      <diagonal/>
    </border>
    <border>
      <left/>
      <right/>
      <top/>
      <bottom style="thin">
        <color theme="1"/>
      </bottom>
      <diagonal/>
    </border>
    <border>
      <left/>
      <right style="thin">
        <color theme="0" tint="-0.14999847407452621"/>
      </right>
      <top/>
      <bottom style="thin">
        <color theme="1"/>
      </bottom>
      <diagonal/>
    </border>
    <border>
      <left style="thin">
        <color theme="0" tint="-0.14999847407452621"/>
      </left>
      <right style="thin">
        <color theme="0" tint="-0.14999847407452621"/>
      </right>
      <top/>
      <bottom style="thin">
        <color theme="1"/>
      </bottom>
      <diagonal/>
    </border>
    <border>
      <left style="thin">
        <color theme="0" tint="-0.14999847407452621"/>
      </left>
      <right style="thin">
        <color theme="1"/>
      </right>
      <top/>
      <bottom style="thin">
        <color theme="1"/>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thin">
        <color theme="1"/>
      </right>
      <top/>
      <bottom/>
      <diagonal/>
    </border>
    <border>
      <left/>
      <right style="thin">
        <color theme="0" tint="-0.14999847407452621"/>
      </right>
      <top style="thin">
        <color theme="0" tint="-0.249977111117893"/>
      </top>
      <bottom/>
      <diagonal/>
    </border>
    <border>
      <left/>
      <right style="thin">
        <color theme="0" tint="-0.14999847407452621"/>
      </right>
      <top/>
      <bottom style="thin">
        <color theme="0" tint="-0.14999847407452621"/>
      </bottom>
      <diagonal/>
    </border>
    <border>
      <left style="thin">
        <color theme="0" tint="-0.14999847407452621"/>
      </left>
      <right style="thin">
        <color theme="0" tint="-0.499984740745262"/>
      </right>
      <top style="thin">
        <color theme="0" tint="-0.14999847407452621"/>
      </top>
      <bottom style="thin">
        <color theme="0" tint="-0.249977111117893"/>
      </bottom>
      <diagonal/>
    </border>
    <border>
      <left style="thin">
        <color theme="0" tint="-0.14999847407452621"/>
      </left>
      <right style="thin">
        <color theme="0" tint="-0.499984740745262"/>
      </right>
      <top style="thin">
        <color theme="0" tint="-0.249977111117893"/>
      </top>
      <bottom/>
      <diagonal/>
    </border>
    <border>
      <left style="thin">
        <color theme="0" tint="-0.14999847407452621"/>
      </left>
      <right style="thin">
        <color theme="0" tint="-0.499984740745262"/>
      </right>
      <top/>
      <bottom style="thin">
        <color theme="0" tint="-0.14999847407452621"/>
      </bottom>
      <diagonal/>
    </border>
    <border>
      <left style="thin">
        <color theme="0" tint="-0.14999847407452621"/>
      </left>
      <right style="thin">
        <color theme="0" tint="-0.499984740745262"/>
      </right>
      <top/>
      <bottom/>
      <diagonal/>
    </border>
    <border>
      <left style="thin">
        <color theme="0" tint="-0.14999847407452621"/>
      </left>
      <right style="thin">
        <color theme="0" tint="-0.499984740745262"/>
      </right>
      <top/>
      <bottom style="thin">
        <color theme="1"/>
      </bottom>
      <diagonal/>
    </border>
    <border>
      <left style="thin">
        <color theme="0" tint="-0.14999847407452621"/>
      </left>
      <right style="thin">
        <color theme="0" tint="-0.499984740745262"/>
      </right>
      <top/>
      <bottom style="thin">
        <color theme="0" tint="-0.249977111117893"/>
      </bottom>
      <diagonal/>
    </border>
    <border>
      <left/>
      <right style="thin">
        <color theme="1"/>
      </right>
      <top style="thin">
        <color theme="0" tint="-0.14999847407452621"/>
      </top>
      <bottom style="thin">
        <color theme="0" tint="-0.14999847407452621"/>
      </bottom>
      <diagonal/>
    </border>
    <border>
      <left/>
      <right style="thin">
        <color theme="1"/>
      </right>
      <top style="thin">
        <color theme="0" tint="-0.14999847407452621"/>
      </top>
      <bottom style="thin">
        <color theme="0" tint="-0.249977111117893"/>
      </bottom>
      <diagonal/>
    </border>
    <border>
      <left/>
      <right style="thin">
        <color theme="1"/>
      </right>
      <top/>
      <bottom/>
      <diagonal/>
    </border>
    <border>
      <left/>
      <right style="thin">
        <color theme="0" tint="-0.499984740745262"/>
      </right>
      <top/>
      <bottom style="thin">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14999847407452621"/>
      </right>
      <top/>
      <bottom style="thin">
        <color theme="0" tint="-0.249977111117893"/>
      </bottom>
      <diagonal/>
    </border>
    <border>
      <left style="thin">
        <color theme="0" tint="-0.499984740745262"/>
      </left>
      <right style="thin">
        <color theme="0" tint="-0.14999847407452621"/>
      </right>
      <top style="thin">
        <color theme="0" tint="-0.249977111117893"/>
      </top>
      <bottom/>
      <diagonal/>
    </border>
    <border>
      <left style="thin">
        <color theme="0" tint="-0.499984740745262"/>
      </left>
      <right style="thin">
        <color theme="0" tint="-0.14999847407452621"/>
      </right>
      <top/>
      <bottom/>
      <diagonal/>
    </border>
    <border>
      <left style="thin">
        <color theme="0" tint="-0.499984740745262"/>
      </left>
      <right style="thin">
        <color theme="0" tint="-0.14999847407452621"/>
      </right>
      <top/>
      <bottom style="thin">
        <color theme="1"/>
      </bottom>
      <diagonal/>
    </border>
    <border>
      <left style="thin">
        <color theme="1"/>
      </left>
      <right/>
      <top style="thin">
        <color theme="1"/>
      </top>
      <bottom style="thin">
        <color theme="0" tint="-0.249977111117893"/>
      </bottom>
      <diagonal/>
    </border>
    <border>
      <left/>
      <right/>
      <top style="thin">
        <color theme="1"/>
      </top>
      <bottom style="thin">
        <color theme="0" tint="-0.249977111117893"/>
      </bottom>
      <diagonal/>
    </border>
    <border>
      <left/>
      <right style="thin">
        <color theme="0" tint="-0.499984740745262"/>
      </right>
      <top style="thin">
        <color theme="1"/>
      </top>
      <bottom style="thin">
        <color theme="0" tint="-0.249977111117893"/>
      </bottom>
      <diagonal/>
    </border>
    <border>
      <left style="thin">
        <color theme="0" tint="-0.499984740745262"/>
      </left>
      <right/>
      <top style="thin">
        <color theme="1"/>
      </top>
      <bottom style="thin">
        <color theme="0" tint="-0.249977111117893"/>
      </bottom>
      <diagonal/>
    </border>
    <border>
      <left/>
      <right style="thin">
        <color theme="1"/>
      </right>
      <top style="thin">
        <color theme="1"/>
      </top>
      <bottom style="thin">
        <color theme="0" tint="-0.14999847407452621"/>
      </bottom>
      <diagonal/>
    </border>
    <border>
      <left style="thin">
        <color theme="1"/>
      </left>
      <right/>
      <top/>
      <bottom/>
      <diagonal/>
    </border>
    <border>
      <left style="thin">
        <color theme="1"/>
      </left>
      <right style="thin">
        <color theme="0" tint="-0.14999847407452621"/>
      </right>
      <top style="thin">
        <color theme="1"/>
      </top>
      <bottom style="thin">
        <color theme="1"/>
      </bottom>
      <diagonal/>
    </border>
    <border>
      <left style="thin">
        <color theme="0" tint="-0.14999847407452621"/>
      </left>
      <right style="thin">
        <color theme="0" tint="-0.14999847407452621"/>
      </right>
      <top style="thin">
        <color theme="1"/>
      </top>
      <bottom style="thin">
        <color theme="1"/>
      </bottom>
      <diagonal/>
    </border>
    <border>
      <left style="thin">
        <color theme="0" tint="-0.14999847407452621"/>
      </left>
      <right style="thin">
        <color theme="1"/>
      </right>
      <top style="thin">
        <color theme="1"/>
      </top>
      <bottom style="thin">
        <color theme="1"/>
      </bottom>
      <diagonal/>
    </border>
    <border>
      <left style="thin">
        <color theme="0" tint="-0.14999847407452621"/>
      </left>
      <right style="thin">
        <color theme="0" tint="-0.499984740745262"/>
      </right>
      <top style="thin">
        <color theme="1"/>
      </top>
      <bottom style="thin">
        <color theme="1"/>
      </bottom>
      <diagonal/>
    </border>
    <border>
      <left/>
      <right style="thin">
        <color theme="0" tint="-0.14999847407452621"/>
      </right>
      <top style="thin">
        <color theme="1"/>
      </top>
      <bottom style="thin">
        <color theme="1"/>
      </bottom>
      <diagonal/>
    </border>
    <border>
      <left style="thin">
        <color theme="0" tint="-0.14999847407452621"/>
      </left>
      <right/>
      <top style="thin">
        <color theme="1"/>
      </top>
      <bottom style="thin">
        <color theme="1"/>
      </bottom>
      <diagonal/>
    </border>
    <border>
      <left style="thin">
        <color theme="0" tint="-0.14999847407452621"/>
      </left>
      <right/>
      <top/>
      <bottom/>
      <diagonal/>
    </border>
    <border>
      <left style="thin">
        <color theme="0" tint="-0.14999847407452621"/>
      </left>
      <right/>
      <top/>
      <bottom style="thin">
        <color theme="1"/>
      </bottom>
      <diagonal/>
    </border>
    <border>
      <left/>
      <right style="thin">
        <color theme="1"/>
      </right>
      <top style="thin">
        <color theme="1"/>
      </top>
      <bottom style="thin">
        <color theme="0" tint="-0.249977111117893"/>
      </bottom>
      <diagonal/>
    </border>
    <border>
      <left/>
      <right style="thin">
        <color theme="1"/>
      </right>
      <top/>
      <bottom style="thin">
        <color theme="0" tint="-0.249977111117893"/>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1"/>
      </right>
      <top style="thin">
        <color theme="0" tint="-0.14999847407452621"/>
      </top>
      <bottom style="thin">
        <color theme="1"/>
      </bottom>
      <diagonal/>
    </border>
    <border>
      <left style="thin">
        <color theme="1"/>
      </left>
      <right style="thin">
        <color theme="1"/>
      </right>
      <top/>
      <bottom style="thin">
        <color theme="1"/>
      </bottom>
      <diagonal/>
    </border>
    <border>
      <left style="thin">
        <color theme="0" tint="-4.9989318521683403E-2"/>
      </left>
      <right style="thin">
        <color theme="0" tint="-4.9989318521683403E-2"/>
      </right>
      <top/>
      <bottom style="thin">
        <color theme="0" tint="-4.9989318521683403E-2"/>
      </bottom>
      <diagonal/>
    </border>
    <border>
      <left style="thin">
        <color theme="0" tint="-0.249977111117893"/>
      </left>
      <right style="thin">
        <color theme="0" tint="-4.9989318521683403E-2"/>
      </right>
      <top style="thin">
        <color theme="0" tint="-0.249977111117893"/>
      </top>
      <bottom style="thin">
        <color theme="0" tint="-4.9989318521683403E-2"/>
      </bottom>
      <diagonal/>
    </border>
    <border>
      <left style="thin">
        <color theme="0" tint="-4.9989318521683403E-2"/>
      </left>
      <right style="thin">
        <color theme="0" tint="-4.9989318521683403E-2"/>
      </right>
      <top style="thin">
        <color theme="0" tint="-0.249977111117893"/>
      </top>
      <bottom style="thin">
        <color theme="0" tint="-4.9989318521683403E-2"/>
      </bottom>
      <diagonal/>
    </border>
    <border>
      <left style="thin">
        <color theme="0" tint="-4.9989318521683403E-2"/>
      </left>
      <right style="thin">
        <color theme="0" tint="-0.249977111117893"/>
      </right>
      <top style="thin">
        <color theme="0" tint="-0.249977111117893"/>
      </top>
      <bottom style="thin">
        <color theme="0" tint="-4.9989318521683403E-2"/>
      </bottom>
      <diagonal/>
    </border>
    <border>
      <left style="thin">
        <color theme="0" tint="-0.249977111117893"/>
      </left>
      <right style="thin">
        <color theme="0" tint="-4.9989318521683403E-2"/>
      </right>
      <top style="thin">
        <color theme="0" tint="-4.9989318521683403E-2"/>
      </top>
      <bottom style="thin">
        <color theme="0" tint="-0.249977111117893"/>
      </bottom>
      <diagonal/>
    </border>
    <border>
      <left style="thin">
        <color theme="0" tint="-4.9989318521683403E-2"/>
      </left>
      <right style="thin">
        <color theme="0" tint="-4.9989318521683403E-2"/>
      </right>
      <top style="thin">
        <color theme="0" tint="-4.9989318521683403E-2"/>
      </top>
      <bottom style="thin">
        <color theme="0" tint="-0.249977111117893"/>
      </bottom>
      <diagonal/>
    </border>
    <border>
      <left style="thin">
        <color theme="0" tint="-4.9989318521683403E-2"/>
      </left>
      <right style="thin">
        <color theme="0" tint="-0.249977111117893"/>
      </right>
      <top style="thin">
        <color theme="0" tint="-4.9989318521683403E-2"/>
      </top>
      <bottom style="thin">
        <color theme="0" tint="-0.249977111117893"/>
      </bottom>
      <diagonal/>
    </border>
  </borders>
  <cellStyleXfs count="5">
    <xf numFmtId="0" fontId="0" fillId="0" borderId="0">
      <alignment vertical="center"/>
    </xf>
    <xf numFmtId="42" fontId="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cellStyleXfs>
  <cellXfs count="333">
    <xf numFmtId="0" fontId="0" fillId="0" borderId="0" xfId="0">
      <alignment vertical="center"/>
    </xf>
    <xf numFmtId="0" fontId="3" fillId="0" borderId="0" xfId="2" applyFont="1">
      <alignment vertical="center"/>
    </xf>
    <xf numFmtId="0" fontId="12" fillId="0" borderId="0" xfId="2" applyFont="1" applyAlignment="1">
      <alignment horizontal="left" vertical="center"/>
    </xf>
    <xf numFmtId="0" fontId="13" fillId="0" borderId="0" xfId="2" applyFont="1">
      <alignment vertical="center"/>
    </xf>
    <xf numFmtId="0" fontId="8" fillId="0" borderId="0" xfId="2" applyFont="1">
      <alignment vertical="center"/>
    </xf>
    <xf numFmtId="0" fontId="8" fillId="3" borderId="0" xfId="2" applyFont="1" applyFill="1">
      <alignment vertical="center"/>
    </xf>
    <xf numFmtId="176" fontId="5" fillId="0" borderId="5" xfId="3" applyNumberFormat="1" applyFont="1" applyBorder="1" applyAlignment="1">
      <alignment horizontal="center" vertical="center"/>
    </xf>
    <xf numFmtId="176" fontId="5" fillId="0" borderId="31" xfId="3" applyNumberFormat="1" applyFont="1" applyBorder="1" applyAlignment="1">
      <alignment horizontal="center" vertical="center"/>
    </xf>
    <xf numFmtId="176" fontId="5" fillId="6" borderId="32" xfId="3" applyNumberFormat="1" applyFont="1" applyFill="1" applyBorder="1" applyAlignment="1">
      <alignment horizontal="center" vertical="center"/>
    </xf>
    <xf numFmtId="0" fontId="11" fillId="4" borderId="6" xfId="2" applyFont="1" applyFill="1" applyBorder="1" applyAlignment="1">
      <alignment horizontal="center" vertical="center"/>
    </xf>
    <xf numFmtId="0" fontId="17" fillId="0" borderId="0" xfId="2" applyFont="1" applyAlignment="1">
      <alignment horizontal="left" vertical="center"/>
    </xf>
    <xf numFmtId="176" fontId="7" fillId="6" borderId="32" xfId="4" applyNumberFormat="1" applyFont="1" applyFill="1" applyBorder="1" applyAlignment="1">
      <alignment horizontal="center" vertical="center"/>
    </xf>
    <xf numFmtId="41" fontId="5" fillId="0" borderId="43" xfId="4" applyFont="1" applyBorder="1" applyAlignment="1">
      <alignment horizontal="center" vertical="center"/>
    </xf>
    <xf numFmtId="176" fontId="11" fillId="6" borderId="45" xfId="4" applyNumberFormat="1" applyFont="1" applyFill="1" applyBorder="1">
      <alignment vertical="center"/>
    </xf>
    <xf numFmtId="179" fontId="5" fillId="6" borderId="32" xfId="2" applyNumberFormat="1" applyFont="1" applyFill="1" applyBorder="1" applyAlignment="1">
      <alignment horizontal="center" vertical="center"/>
    </xf>
    <xf numFmtId="180" fontId="5" fillId="6" borderId="32" xfId="2" applyNumberFormat="1" applyFont="1" applyFill="1" applyBorder="1" applyAlignment="1">
      <alignment horizontal="center" vertical="center"/>
    </xf>
    <xf numFmtId="0" fontId="23" fillId="0" borderId="0" xfId="2" applyFont="1">
      <alignment vertical="center"/>
    </xf>
    <xf numFmtId="41" fontId="3" fillId="0" borderId="0" xfId="2" applyNumberFormat="1" applyFont="1">
      <alignment vertical="center"/>
    </xf>
    <xf numFmtId="182" fontId="3" fillId="0" borderId="0" xfId="4" applyNumberFormat="1" applyFont="1" applyBorder="1">
      <alignment vertical="center"/>
    </xf>
    <xf numFmtId="41" fontId="3" fillId="0" borderId="0" xfId="4" applyFont="1">
      <alignment vertical="center"/>
    </xf>
    <xf numFmtId="0" fontId="3" fillId="0" borderId="0" xfId="2" applyFont="1" applyProtection="1">
      <alignment vertical="center"/>
      <protection locked="0"/>
    </xf>
    <xf numFmtId="0" fontId="6" fillId="3" borderId="0" xfId="2" applyFont="1" applyFill="1" applyAlignment="1" applyProtection="1">
      <alignment horizontal="left" vertical="center" indent="1"/>
      <protection locked="0"/>
    </xf>
    <xf numFmtId="177" fontId="6" fillId="3" borderId="0" xfId="2" applyNumberFormat="1" applyFont="1" applyFill="1" applyAlignment="1" applyProtection="1">
      <alignment horizontal="center" vertical="center"/>
      <protection locked="0"/>
    </xf>
    <xf numFmtId="0" fontId="19" fillId="3" borderId="0" xfId="2" applyFont="1" applyFill="1" applyAlignment="1" applyProtection="1">
      <alignment horizontal="center" vertical="center"/>
      <protection locked="0"/>
    </xf>
    <xf numFmtId="0" fontId="27" fillId="0" borderId="0" xfId="2" applyFont="1" applyAlignment="1" applyProtection="1">
      <alignment horizontal="left" vertical="center"/>
      <protection locked="0"/>
    </xf>
    <xf numFmtId="0" fontId="28" fillId="0" borderId="0" xfId="2" applyFont="1" applyAlignment="1" applyProtection="1">
      <alignment horizontal="left" vertical="center"/>
      <protection locked="0"/>
    </xf>
    <xf numFmtId="0" fontId="13" fillId="0" borderId="0" xfId="2" applyFont="1" applyProtection="1">
      <alignment vertical="center"/>
      <protection locked="0"/>
    </xf>
    <xf numFmtId="0" fontId="6" fillId="3" borderId="0" xfId="2" applyFont="1" applyFill="1" applyAlignment="1" applyProtection="1">
      <alignment horizontal="center" vertical="center"/>
      <protection locked="0"/>
    </xf>
    <xf numFmtId="0" fontId="17" fillId="0" borderId="0" xfId="2" applyFont="1" applyAlignment="1" applyProtection="1">
      <alignment horizontal="left" vertical="center"/>
      <protection locked="0"/>
    </xf>
    <xf numFmtId="0" fontId="12" fillId="0" borderId="0" xfId="2" applyFont="1" applyAlignment="1" applyProtection="1">
      <alignment horizontal="left" vertical="center"/>
      <protection locked="0"/>
    </xf>
    <xf numFmtId="0" fontId="11" fillId="4" borderId="3" xfId="2" applyFont="1" applyFill="1" applyBorder="1" applyAlignment="1" applyProtection="1">
      <alignment horizontal="center" vertical="center"/>
      <protection locked="0"/>
    </xf>
    <xf numFmtId="0" fontId="11" fillId="0" borderId="0" xfId="2" applyFont="1" applyAlignment="1" applyProtection="1">
      <alignment horizontal="center" vertical="center" wrapText="1"/>
      <protection locked="0"/>
    </xf>
    <xf numFmtId="0" fontId="6" fillId="5" borderId="14" xfId="2" applyFont="1" applyFill="1" applyBorder="1" applyAlignment="1" applyProtection="1">
      <alignment horizontal="left" vertical="center" indent="1"/>
      <protection locked="0"/>
    </xf>
    <xf numFmtId="0" fontId="11" fillId="4" borderId="6" xfId="2" applyFont="1" applyFill="1" applyBorder="1" applyAlignment="1" applyProtection="1">
      <alignment horizontal="center" vertical="center" wrapText="1"/>
      <protection locked="0"/>
    </xf>
    <xf numFmtId="0" fontId="11" fillId="4" borderId="6" xfId="2" applyFont="1" applyFill="1" applyBorder="1" applyAlignment="1" applyProtection="1">
      <alignment horizontal="center" vertical="center"/>
      <protection locked="0"/>
    </xf>
    <xf numFmtId="0" fontId="11" fillId="8" borderId="40" xfId="2" applyFont="1" applyFill="1" applyBorder="1" applyAlignment="1" applyProtection="1">
      <alignment horizontal="center" vertical="center" wrapText="1"/>
      <protection locked="0"/>
    </xf>
    <xf numFmtId="0" fontId="11" fillId="8" borderId="41" xfId="2" applyFont="1" applyFill="1" applyBorder="1" applyAlignment="1" applyProtection="1">
      <alignment horizontal="center" vertical="center" wrapText="1"/>
      <protection locked="0"/>
    </xf>
    <xf numFmtId="0" fontId="11" fillId="8" borderId="6" xfId="2" applyFont="1" applyFill="1" applyBorder="1" applyAlignment="1" applyProtection="1">
      <alignment horizontal="center" vertical="center" wrapText="1"/>
      <protection locked="0"/>
    </xf>
    <xf numFmtId="0" fontId="11" fillId="8" borderId="73" xfId="2" applyFont="1" applyFill="1" applyBorder="1" applyAlignment="1" applyProtection="1">
      <alignment horizontal="center" vertical="center" wrapText="1"/>
      <protection locked="0"/>
    </xf>
    <xf numFmtId="0" fontId="11" fillId="8" borderId="86" xfId="2" applyFont="1" applyFill="1" applyBorder="1" applyAlignment="1" applyProtection="1">
      <alignment horizontal="center" vertical="center"/>
      <protection locked="0"/>
    </xf>
    <xf numFmtId="0" fontId="11" fillId="8" borderId="41" xfId="2" applyFont="1" applyFill="1" applyBorder="1" applyAlignment="1" applyProtection="1">
      <alignment horizontal="center" vertical="center"/>
      <protection locked="0"/>
    </xf>
    <xf numFmtId="0" fontId="11" fillId="8" borderId="52" xfId="2" applyFont="1" applyFill="1" applyBorder="1" applyAlignment="1" applyProtection="1">
      <alignment horizontal="center" vertical="center"/>
      <protection locked="0"/>
    </xf>
    <xf numFmtId="0" fontId="11" fillId="8" borderId="105" xfId="2" applyFont="1" applyFill="1" applyBorder="1" applyAlignment="1" applyProtection="1">
      <alignment horizontal="center" vertical="center"/>
      <protection locked="0"/>
    </xf>
    <xf numFmtId="0" fontId="11" fillId="8" borderId="42" xfId="2" applyFont="1" applyFill="1" applyBorder="1" applyAlignment="1" applyProtection="1">
      <alignment horizontal="center" vertical="center" wrapText="1"/>
      <protection locked="0"/>
    </xf>
    <xf numFmtId="0" fontId="11" fillId="8" borderId="42" xfId="2" applyFont="1" applyFill="1" applyBorder="1" applyAlignment="1" applyProtection="1">
      <alignment horizontal="center" vertical="center"/>
      <protection locked="0"/>
    </xf>
    <xf numFmtId="0" fontId="11" fillId="8" borderId="82" xfId="2" applyFont="1" applyFill="1" applyBorder="1" applyAlignment="1" applyProtection="1">
      <alignment horizontal="center" vertical="center"/>
      <protection locked="0"/>
    </xf>
    <xf numFmtId="0" fontId="11" fillId="0" borderId="0" xfId="2" applyFont="1" applyAlignment="1" applyProtection="1">
      <alignment horizontal="center" vertical="center"/>
      <protection locked="0"/>
    </xf>
    <xf numFmtId="0" fontId="6" fillId="5" borderId="16" xfId="2" applyFont="1" applyFill="1" applyBorder="1" applyAlignment="1" applyProtection="1">
      <alignment horizontal="left" vertical="center" indent="1"/>
      <protection locked="0"/>
    </xf>
    <xf numFmtId="181" fontId="11" fillId="7" borderId="1" xfId="3" applyNumberFormat="1" applyFont="1" applyFill="1" applyBorder="1" applyAlignment="1" applyProtection="1">
      <alignment horizontal="center" vertical="center"/>
      <protection locked="0"/>
    </xf>
    <xf numFmtId="178" fontId="11" fillId="7" borderId="1" xfId="3" applyNumberFormat="1" applyFont="1" applyFill="1" applyBorder="1" applyAlignment="1" applyProtection="1">
      <alignment horizontal="center" vertical="center"/>
      <protection locked="0"/>
    </xf>
    <xf numFmtId="176" fontId="3" fillId="0" borderId="0" xfId="2" applyNumberFormat="1" applyFont="1" applyAlignment="1" applyProtection="1">
      <alignment horizontal="center" vertical="center"/>
      <protection locked="0"/>
    </xf>
    <xf numFmtId="0" fontId="11" fillId="7" borderId="30" xfId="2" applyFont="1" applyFill="1" applyBorder="1" applyAlignment="1" applyProtection="1">
      <alignment horizontal="center" vertical="center"/>
      <protection locked="0"/>
    </xf>
    <xf numFmtId="176" fontId="7" fillId="7" borderId="5" xfId="3" applyNumberFormat="1" applyFont="1" applyFill="1" applyBorder="1" applyAlignment="1" applyProtection="1">
      <alignment horizontal="center" vertical="center"/>
      <protection locked="0"/>
    </xf>
    <xf numFmtId="0" fontId="10" fillId="3" borderId="0" xfId="2" applyFont="1" applyFill="1" applyProtection="1">
      <alignment vertical="center"/>
      <protection locked="0"/>
    </xf>
    <xf numFmtId="0" fontId="30" fillId="0" borderId="0" xfId="2" applyFont="1" applyProtection="1">
      <alignment vertical="center"/>
      <protection locked="0"/>
    </xf>
    <xf numFmtId="0" fontId="8" fillId="0" borderId="0" xfId="2" applyFont="1" applyProtection="1">
      <alignment vertical="center"/>
      <protection locked="0"/>
    </xf>
    <xf numFmtId="41" fontId="8" fillId="0" borderId="0" xfId="4" applyFont="1" applyProtection="1">
      <alignment vertical="center"/>
      <protection locked="0"/>
    </xf>
    <xf numFmtId="176" fontId="8" fillId="0" borderId="0" xfId="2" applyNumberFormat="1" applyFont="1" applyProtection="1">
      <alignment vertical="center"/>
      <protection locked="0"/>
    </xf>
    <xf numFmtId="43" fontId="8" fillId="0" borderId="0" xfId="2" applyNumberFormat="1" applyFont="1" applyProtection="1">
      <alignment vertical="center"/>
      <protection locked="0"/>
    </xf>
    <xf numFmtId="41" fontId="8" fillId="0" borderId="0" xfId="2" applyNumberFormat="1" applyFont="1" applyProtection="1">
      <alignment vertical="center"/>
      <protection locked="0"/>
    </xf>
    <xf numFmtId="0" fontId="6" fillId="3" borderId="0" xfId="2" applyFont="1" applyFill="1" applyAlignment="1" applyProtection="1">
      <alignment vertical="center" wrapText="1"/>
      <protection locked="0"/>
    </xf>
    <xf numFmtId="0" fontId="14" fillId="3" borderId="0" xfId="2" applyFont="1" applyFill="1" applyAlignment="1" applyProtection="1">
      <alignment vertical="center" wrapText="1"/>
      <protection locked="0"/>
    </xf>
    <xf numFmtId="0" fontId="3" fillId="0" borderId="0" xfId="2" applyFont="1" applyAlignment="1" applyProtection="1">
      <alignment horizontal="center" vertical="center"/>
      <protection locked="0"/>
    </xf>
    <xf numFmtId="0" fontId="14" fillId="3" borderId="0" xfId="2" applyFont="1" applyFill="1" applyProtection="1">
      <alignment vertical="center"/>
      <protection locked="0"/>
    </xf>
    <xf numFmtId="0" fontId="8" fillId="3" borderId="0" xfId="2" applyFont="1" applyFill="1" applyProtection="1">
      <alignment vertical="center"/>
      <protection locked="0"/>
    </xf>
    <xf numFmtId="176" fontId="7" fillId="2" borderId="97" xfId="3" applyNumberFormat="1" applyFont="1" applyFill="1" applyBorder="1" applyProtection="1">
      <alignment vertical="center"/>
    </xf>
    <xf numFmtId="0" fontId="8" fillId="0" borderId="9"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41" fontId="6" fillId="7" borderId="15" xfId="4" applyFont="1" applyFill="1" applyBorder="1" applyAlignment="1" applyProtection="1">
      <alignment horizontal="center" vertical="center"/>
    </xf>
    <xf numFmtId="41" fontId="6" fillId="7" borderId="17" xfId="2" applyNumberFormat="1" applyFont="1" applyFill="1" applyBorder="1" applyAlignment="1">
      <alignment horizontal="center" vertical="center"/>
    </xf>
    <xf numFmtId="0" fontId="11" fillId="4" borderId="44" xfId="2" applyFont="1" applyFill="1" applyBorder="1" applyAlignment="1" applyProtection="1">
      <alignment horizontal="center" vertical="center"/>
      <protection locked="0"/>
    </xf>
    <xf numFmtId="0" fontId="11" fillId="4" borderId="41" xfId="2" applyFont="1" applyFill="1" applyBorder="1" applyAlignment="1" applyProtection="1">
      <alignment horizontal="center" vertical="center"/>
      <protection locked="0"/>
    </xf>
    <xf numFmtId="184" fontId="5" fillId="3" borderId="1" xfId="3" applyNumberFormat="1" applyFont="1" applyFill="1" applyBorder="1" applyAlignment="1" applyProtection="1">
      <alignment horizontal="center" vertical="center"/>
    </xf>
    <xf numFmtId="177" fontId="5" fillId="3" borderId="1" xfId="3" applyNumberFormat="1" applyFont="1" applyFill="1" applyBorder="1" applyAlignment="1" applyProtection="1">
      <alignment horizontal="center" vertical="center"/>
    </xf>
    <xf numFmtId="177" fontId="5" fillId="3" borderId="6" xfId="3" applyNumberFormat="1" applyFont="1" applyFill="1" applyBorder="1" applyAlignment="1" applyProtection="1">
      <alignment horizontal="center" vertical="center"/>
    </xf>
    <xf numFmtId="184" fontId="5" fillId="3" borderId="6" xfId="3" applyNumberFormat="1" applyFont="1" applyFill="1" applyBorder="1" applyAlignment="1" applyProtection="1">
      <alignment horizontal="center" vertical="center"/>
    </xf>
    <xf numFmtId="41" fontId="5" fillId="7" borderId="5" xfId="1" applyNumberFormat="1" applyFont="1" applyFill="1" applyBorder="1" applyAlignment="1" applyProtection="1">
      <alignment horizontal="center" vertical="center"/>
      <protection locked="0"/>
    </xf>
    <xf numFmtId="14" fontId="5" fillId="7" borderId="5" xfId="2" applyNumberFormat="1" applyFont="1" applyFill="1" applyBorder="1" applyAlignment="1" applyProtection="1">
      <alignment horizontal="center" vertical="center"/>
      <protection locked="0"/>
    </xf>
    <xf numFmtId="179" fontId="5" fillId="7" borderId="5" xfId="2" applyNumberFormat="1" applyFont="1" applyFill="1" applyBorder="1" applyAlignment="1" applyProtection="1">
      <alignment horizontal="center" vertical="center"/>
      <protection locked="0"/>
    </xf>
    <xf numFmtId="180" fontId="5" fillId="7" borderId="5" xfId="2" applyNumberFormat="1" applyFont="1" applyFill="1" applyBorder="1" applyAlignment="1" applyProtection="1">
      <alignment horizontal="center" vertical="center"/>
      <protection locked="0"/>
    </xf>
    <xf numFmtId="0" fontId="15" fillId="0" borderId="0" xfId="2" applyFont="1" applyAlignment="1" applyProtection="1">
      <alignment horizontal="left" vertical="center"/>
      <protection locked="0"/>
    </xf>
    <xf numFmtId="0" fontId="11" fillId="7" borderId="56" xfId="2" applyFont="1" applyFill="1" applyBorder="1" applyAlignment="1" applyProtection="1">
      <alignment horizontal="center" vertical="center"/>
      <protection locked="0"/>
    </xf>
    <xf numFmtId="0" fontId="11" fillId="7" borderId="30" xfId="2" applyFont="1" applyFill="1" applyBorder="1" applyAlignment="1" applyProtection="1">
      <alignment horizontal="center" vertical="center"/>
      <protection locked="0"/>
    </xf>
    <xf numFmtId="41" fontId="22" fillId="7" borderId="54" xfId="1" applyNumberFormat="1" applyFont="1" applyFill="1" applyBorder="1" applyAlignment="1" applyProtection="1">
      <alignment horizontal="center" vertical="center"/>
      <protection locked="0"/>
    </xf>
    <xf numFmtId="41" fontId="22" fillId="7" borderId="41" xfId="1" applyNumberFormat="1" applyFont="1" applyFill="1" applyBorder="1" applyAlignment="1" applyProtection="1">
      <alignment horizontal="center" vertical="center"/>
      <protection locked="0"/>
    </xf>
    <xf numFmtId="14" fontId="11" fillId="7" borderId="54" xfId="2" applyNumberFormat="1" applyFont="1" applyFill="1" applyBorder="1" applyAlignment="1" applyProtection="1">
      <alignment horizontal="center" vertical="center"/>
      <protection locked="0"/>
    </xf>
    <xf numFmtId="14" fontId="11" fillId="7" borderId="41" xfId="2" applyNumberFormat="1" applyFont="1" applyFill="1" applyBorder="1" applyAlignment="1" applyProtection="1">
      <alignment horizontal="center" vertical="center"/>
      <protection locked="0"/>
    </xf>
    <xf numFmtId="176" fontId="7" fillId="7" borderId="54" xfId="3" applyNumberFormat="1" applyFont="1" applyFill="1" applyBorder="1" applyAlignment="1" applyProtection="1">
      <alignment horizontal="center" vertical="center"/>
      <protection locked="0"/>
    </xf>
    <xf numFmtId="176" fontId="7" fillId="7" borderId="5" xfId="3" applyNumberFormat="1" applyFont="1" applyFill="1" applyBorder="1" applyAlignment="1" applyProtection="1">
      <alignment horizontal="center" vertical="center"/>
      <protection locked="0"/>
    </xf>
    <xf numFmtId="176" fontId="11" fillId="3" borderId="54" xfId="3" applyNumberFormat="1" applyFont="1" applyFill="1" applyBorder="1" applyAlignment="1" applyProtection="1">
      <alignment horizontal="center" vertical="center"/>
    </xf>
    <xf numFmtId="176" fontId="11" fillId="3" borderId="5" xfId="3" applyNumberFormat="1" applyFont="1" applyFill="1" applyBorder="1" applyAlignment="1" applyProtection="1">
      <alignment horizontal="center" vertical="center"/>
    </xf>
    <xf numFmtId="183" fontId="5" fillId="0" borderId="54" xfId="3" applyNumberFormat="1" applyFont="1" applyBorder="1" applyAlignment="1" applyProtection="1">
      <alignment horizontal="center" vertical="center"/>
    </xf>
    <xf numFmtId="183" fontId="5" fillId="0" borderId="5" xfId="3" applyNumberFormat="1" applyFont="1" applyBorder="1" applyAlignment="1" applyProtection="1">
      <alignment horizontal="center" vertical="center"/>
    </xf>
    <xf numFmtId="183" fontId="5" fillId="0" borderId="57" xfId="3" applyNumberFormat="1" applyFont="1" applyBorder="1" applyAlignment="1" applyProtection="1">
      <alignment horizontal="center" vertical="center"/>
    </xf>
    <xf numFmtId="183" fontId="5" fillId="0" borderId="58" xfId="3" applyNumberFormat="1" applyFont="1" applyBorder="1" applyAlignment="1" applyProtection="1">
      <alignment horizontal="center" vertical="center"/>
    </xf>
    <xf numFmtId="41" fontId="5" fillId="0" borderId="71" xfId="4" applyFont="1" applyBorder="1" applyAlignment="1" applyProtection="1">
      <alignment horizontal="right" vertical="center"/>
      <protection locked="0"/>
    </xf>
    <xf numFmtId="176" fontId="11" fillId="7" borderId="54" xfId="3" applyNumberFormat="1" applyFont="1" applyFill="1" applyBorder="1" applyAlignment="1" applyProtection="1">
      <alignment horizontal="right" vertical="center"/>
      <protection locked="0"/>
    </xf>
    <xf numFmtId="176" fontId="11" fillId="7" borderId="5" xfId="3" applyNumberFormat="1" applyFont="1" applyFill="1" applyBorder="1" applyAlignment="1" applyProtection="1">
      <alignment horizontal="right" vertical="center"/>
      <protection locked="0"/>
    </xf>
    <xf numFmtId="176" fontId="11" fillId="7" borderId="55" xfId="3" applyNumberFormat="1" applyFont="1" applyFill="1" applyBorder="1" applyAlignment="1" applyProtection="1">
      <alignment horizontal="right" vertical="center"/>
      <protection locked="0"/>
    </xf>
    <xf numFmtId="176" fontId="11" fillId="7" borderId="31" xfId="3" applyNumberFormat="1" applyFont="1" applyFill="1" applyBorder="1" applyAlignment="1" applyProtection="1">
      <alignment horizontal="right" vertical="center"/>
      <protection locked="0"/>
    </xf>
    <xf numFmtId="0" fontId="6" fillId="5" borderId="24" xfId="2" applyFont="1" applyFill="1" applyBorder="1" applyAlignment="1">
      <alignment horizontal="center" vertical="center" wrapText="1"/>
    </xf>
    <xf numFmtId="0" fontId="6" fillId="5" borderId="25" xfId="2" applyFont="1" applyFill="1" applyBorder="1" applyAlignment="1">
      <alignment horizontal="center" vertical="center" wrapText="1"/>
    </xf>
    <xf numFmtId="0" fontId="6" fillId="5" borderId="26" xfId="2" applyFont="1" applyFill="1" applyBorder="1" applyAlignment="1">
      <alignment horizontal="center" vertical="center" wrapText="1"/>
    </xf>
    <xf numFmtId="0" fontId="3" fillId="0" borderId="12" xfId="2" applyFont="1" applyBorder="1" applyAlignment="1">
      <alignment horizontal="center" vertical="center" wrapText="1"/>
    </xf>
    <xf numFmtId="0" fontId="3" fillId="0" borderId="12" xfId="2" applyFont="1" applyBorder="1" applyAlignment="1">
      <alignment horizontal="center" vertical="center"/>
    </xf>
    <xf numFmtId="0" fontId="8" fillId="5" borderId="7" xfId="2" applyFont="1" applyFill="1" applyBorder="1" applyAlignment="1">
      <alignment horizontal="center" vertical="center"/>
    </xf>
    <xf numFmtId="0" fontId="8" fillId="5" borderId="8" xfId="2" applyFont="1" applyFill="1" applyBorder="1" applyAlignment="1">
      <alignment horizontal="center" vertical="center"/>
    </xf>
    <xf numFmtId="0" fontId="3" fillId="0" borderId="6" xfId="2" applyFont="1" applyBorder="1" applyAlignment="1">
      <alignment horizontal="center" vertical="center" wrapText="1"/>
    </xf>
    <xf numFmtId="0" fontId="3" fillId="0" borderId="6" xfId="2" applyFont="1" applyBorder="1" applyAlignment="1">
      <alignment horizontal="center" vertical="center"/>
    </xf>
    <xf numFmtId="0" fontId="5" fillId="0" borderId="21" xfId="2" applyFont="1" applyBorder="1" applyAlignment="1">
      <alignment horizontal="left" vertical="center" wrapText="1"/>
    </xf>
    <xf numFmtId="0" fontId="5" fillId="0" borderId="22" xfId="2" applyFont="1" applyBorder="1" applyAlignment="1">
      <alignment horizontal="left" vertical="center"/>
    </xf>
    <xf numFmtId="0" fontId="5" fillId="0" borderId="23" xfId="2" applyFont="1" applyBorder="1" applyAlignment="1">
      <alignment horizontal="left" vertical="center"/>
    </xf>
    <xf numFmtId="0" fontId="5" fillId="0" borderId="27" xfId="2" applyFont="1" applyBorder="1" applyAlignment="1">
      <alignment horizontal="left" vertical="center" wrapText="1"/>
    </xf>
    <xf numFmtId="0" fontId="5" fillId="0" borderId="28" xfId="2" applyFont="1" applyBorder="1" applyAlignment="1">
      <alignment horizontal="left" vertical="center" wrapText="1"/>
    </xf>
    <xf numFmtId="0" fontId="5" fillId="0" borderId="29" xfId="2" applyFont="1" applyBorder="1" applyAlignment="1">
      <alignment horizontal="left" vertical="center" wrapText="1"/>
    </xf>
    <xf numFmtId="0" fontId="5" fillId="0" borderId="18" xfId="2" applyFont="1" applyBorder="1" applyAlignment="1">
      <alignment horizontal="left" vertical="center" wrapText="1"/>
    </xf>
    <xf numFmtId="0" fontId="5" fillId="0" borderId="19" xfId="2" applyFont="1" applyBorder="1" applyAlignment="1">
      <alignment horizontal="left" vertical="center" wrapText="1"/>
    </xf>
    <xf numFmtId="0" fontId="5" fillId="0" borderId="20" xfId="2" applyFont="1" applyBorder="1" applyAlignment="1">
      <alignment horizontal="left" vertical="center" wrapText="1"/>
    </xf>
    <xf numFmtId="0" fontId="3" fillId="0" borderId="5" xfId="2" applyFont="1" applyBorder="1" applyAlignment="1">
      <alignment horizontal="center" vertical="center"/>
    </xf>
    <xf numFmtId="0" fontId="11" fillId="7" borderId="40" xfId="2" applyFont="1" applyFill="1" applyBorder="1" applyAlignment="1" applyProtection="1">
      <alignment horizontal="center" vertical="center"/>
      <protection locked="0"/>
    </xf>
    <xf numFmtId="14" fontId="5" fillId="7" borderId="54" xfId="2" applyNumberFormat="1" applyFont="1" applyFill="1" applyBorder="1" applyAlignment="1" applyProtection="1">
      <alignment horizontal="center" vertical="center"/>
      <protection locked="0"/>
    </xf>
    <xf numFmtId="14" fontId="5" fillId="7" borderId="41" xfId="2" applyNumberFormat="1" applyFont="1" applyFill="1" applyBorder="1" applyAlignment="1" applyProtection="1">
      <alignment horizontal="center" vertical="center"/>
      <protection locked="0"/>
    </xf>
    <xf numFmtId="176" fontId="7" fillId="7" borderId="41" xfId="3" applyNumberFormat="1" applyFont="1" applyFill="1" applyBorder="1" applyAlignment="1" applyProtection="1">
      <alignment horizontal="center" vertical="center"/>
      <protection locked="0"/>
    </xf>
    <xf numFmtId="176" fontId="11" fillId="3" borderId="41" xfId="3" applyNumberFormat="1" applyFont="1" applyFill="1" applyBorder="1" applyAlignment="1" applyProtection="1">
      <alignment horizontal="center" vertical="center"/>
    </xf>
    <xf numFmtId="183" fontId="5" fillId="0" borderId="41" xfId="3" applyNumberFormat="1" applyFont="1" applyBorder="1" applyAlignment="1" applyProtection="1">
      <alignment horizontal="center" vertical="center"/>
    </xf>
    <xf numFmtId="183" fontId="5" fillId="0" borderId="61" xfId="3" applyNumberFormat="1" applyFont="1" applyBorder="1" applyAlignment="1" applyProtection="1">
      <alignment horizontal="center" vertical="center"/>
    </xf>
    <xf numFmtId="176" fontId="7" fillId="6" borderId="69" xfId="4" applyNumberFormat="1" applyFont="1" applyFill="1" applyBorder="1" applyAlignment="1" applyProtection="1">
      <alignment horizontal="center" vertical="center"/>
    </xf>
    <xf numFmtId="176" fontId="7" fillId="6" borderId="66" xfId="4" applyNumberFormat="1" applyFont="1" applyFill="1" applyBorder="1" applyAlignment="1" applyProtection="1">
      <alignment horizontal="center" vertical="center"/>
    </xf>
    <xf numFmtId="0" fontId="19" fillId="3" borderId="83" xfId="2" applyFont="1" applyFill="1" applyBorder="1" applyAlignment="1">
      <alignment horizontal="center" vertical="center"/>
    </xf>
    <xf numFmtId="0" fontId="19" fillId="3" borderId="84" xfId="2" applyFont="1" applyFill="1" applyBorder="1" applyAlignment="1">
      <alignment horizontal="center" vertical="center"/>
    </xf>
    <xf numFmtId="0" fontId="19" fillId="3" borderId="85" xfId="2" applyFont="1" applyFill="1" applyBorder="1" applyAlignment="1">
      <alignment horizontal="center" vertical="center"/>
    </xf>
    <xf numFmtId="0" fontId="11" fillId="4" borderId="46" xfId="2" applyFont="1" applyFill="1" applyBorder="1" applyAlignment="1" applyProtection="1">
      <alignment horizontal="center" vertical="center" wrapText="1"/>
      <protection locked="0"/>
    </xf>
    <xf numFmtId="0" fontId="11" fillId="4" borderId="27" xfId="2" applyFont="1" applyFill="1" applyBorder="1" applyAlignment="1" applyProtection="1">
      <alignment horizontal="center" vertical="center" wrapText="1"/>
      <protection locked="0"/>
    </xf>
    <xf numFmtId="0" fontId="11" fillId="8" borderId="91" xfId="2" applyFont="1" applyFill="1" applyBorder="1" applyAlignment="1" applyProtection="1">
      <alignment horizontal="center" vertical="center"/>
      <protection locked="0"/>
    </xf>
    <xf numFmtId="0" fontId="11" fillId="8" borderId="92" xfId="2" applyFont="1" applyFill="1" applyBorder="1" applyAlignment="1" applyProtection="1">
      <alignment horizontal="center" vertical="center"/>
      <protection locked="0"/>
    </xf>
    <xf numFmtId="0" fontId="11" fillId="5" borderId="53" xfId="2" applyFont="1" applyFill="1" applyBorder="1" applyAlignment="1" applyProtection="1">
      <alignment horizontal="center" vertical="center"/>
      <protection locked="0"/>
    </xf>
    <xf numFmtId="0" fontId="11" fillId="4" borderId="2" xfId="2" applyFont="1" applyFill="1" applyBorder="1" applyAlignment="1" applyProtection="1">
      <alignment horizontal="center" vertical="center"/>
      <protection locked="0"/>
    </xf>
    <xf numFmtId="0" fontId="11" fillId="4" borderId="33" xfId="2" applyFont="1" applyFill="1" applyBorder="1" applyAlignment="1" applyProtection="1">
      <alignment horizontal="center" vertical="center"/>
      <protection locked="0"/>
    </xf>
    <xf numFmtId="0" fontId="11" fillId="4" borderId="44" xfId="2" applyFont="1" applyFill="1" applyBorder="1" applyAlignment="1" applyProtection="1">
      <alignment horizontal="center" vertical="center"/>
      <protection locked="0"/>
    </xf>
    <xf numFmtId="0" fontId="11" fillId="4" borderId="41" xfId="2" applyFont="1" applyFill="1" applyBorder="1" applyAlignment="1" applyProtection="1">
      <alignment horizontal="center" vertical="center"/>
      <protection locked="0"/>
    </xf>
    <xf numFmtId="0" fontId="11" fillId="4" borderId="3" xfId="2" applyFont="1" applyFill="1" applyBorder="1" applyAlignment="1" applyProtection="1">
      <alignment horizontal="center" vertical="center" wrapText="1"/>
      <protection locked="0"/>
    </xf>
    <xf numFmtId="0" fontId="11" fillId="4" borderId="6" xfId="2" applyFont="1" applyFill="1" applyBorder="1" applyAlignment="1" applyProtection="1">
      <alignment horizontal="center" vertical="center" wrapText="1"/>
      <protection locked="0"/>
    </xf>
    <xf numFmtId="0" fontId="11" fillId="4" borderId="3" xfId="2" applyFont="1" applyFill="1" applyBorder="1" applyAlignment="1" applyProtection="1">
      <alignment horizontal="center" vertical="center"/>
      <protection locked="0"/>
    </xf>
    <xf numFmtId="41" fontId="11" fillId="7" borderId="54" xfId="1" applyNumberFormat="1" applyFont="1" applyFill="1" applyBorder="1" applyAlignment="1" applyProtection="1">
      <alignment horizontal="center" vertical="center"/>
      <protection locked="0"/>
    </xf>
    <xf numFmtId="41" fontId="11" fillId="7" borderId="41" xfId="1" applyNumberFormat="1" applyFont="1" applyFill="1" applyBorder="1" applyAlignment="1" applyProtection="1">
      <alignment horizontal="center" vertical="center"/>
      <protection locked="0"/>
    </xf>
    <xf numFmtId="176" fontId="5" fillId="3" borderId="71" xfId="3" applyNumberFormat="1" applyFont="1" applyFill="1" applyBorder="1" applyAlignment="1" applyProtection="1">
      <alignment horizontal="right" vertical="center"/>
      <protection locked="0"/>
    </xf>
    <xf numFmtId="176" fontId="5" fillId="3" borderId="54" xfId="3" applyNumberFormat="1" applyFont="1" applyFill="1" applyBorder="1" applyAlignment="1" applyProtection="1">
      <alignment horizontal="right" vertical="center"/>
      <protection locked="0"/>
    </xf>
    <xf numFmtId="176" fontId="11" fillId="7" borderId="87" xfId="3" applyNumberFormat="1" applyFont="1" applyFill="1" applyBorder="1" applyAlignment="1" applyProtection="1">
      <alignment horizontal="right" vertical="center"/>
      <protection locked="0"/>
    </xf>
    <xf numFmtId="176" fontId="11" fillId="7" borderId="10" xfId="3" applyNumberFormat="1" applyFont="1" applyFill="1" applyBorder="1" applyAlignment="1" applyProtection="1">
      <alignment horizontal="right" vertical="center"/>
      <protection locked="0"/>
    </xf>
    <xf numFmtId="0" fontId="11" fillId="7" borderId="109" xfId="2" applyFont="1" applyFill="1" applyBorder="1" applyAlignment="1" applyProtection="1">
      <alignment horizontal="center" vertical="center"/>
      <protection locked="0"/>
    </xf>
    <xf numFmtId="0" fontId="11" fillId="7" borderId="110" xfId="2" applyFont="1" applyFill="1" applyBorder="1" applyAlignment="1" applyProtection="1">
      <alignment horizontal="center" vertical="center"/>
      <protection locked="0"/>
    </xf>
    <xf numFmtId="0" fontId="11" fillId="5" borderId="106" xfId="2" applyFont="1" applyFill="1" applyBorder="1" applyAlignment="1" applyProtection="1">
      <alignment horizontal="center" vertical="center"/>
      <protection locked="0"/>
    </xf>
    <xf numFmtId="0" fontId="11" fillId="5" borderId="107" xfId="2" applyFont="1" applyFill="1" applyBorder="1" applyAlignment="1" applyProtection="1">
      <alignment horizontal="center" vertical="center"/>
      <protection locked="0"/>
    </xf>
    <xf numFmtId="0" fontId="11" fillId="5" borderId="108" xfId="2" applyFont="1" applyFill="1" applyBorder="1" applyAlignment="1" applyProtection="1">
      <alignment horizontal="center" vertical="center"/>
      <protection locked="0"/>
    </xf>
    <xf numFmtId="176" fontId="11" fillId="3" borderId="74" xfId="3" applyNumberFormat="1" applyFont="1" applyFill="1" applyBorder="1" applyAlignment="1" applyProtection="1">
      <alignment horizontal="right" vertical="center"/>
      <protection locked="0"/>
    </xf>
    <xf numFmtId="176" fontId="5" fillId="0" borderId="54" xfId="3" applyNumberFormat="1" applyFont="1" applyBorder="1" applyAlignment="1" applyProtection="1">
      <alignment horizontal="right" vertical="center"/>
      <protection locked="0"/>
    </xf>
    <xf numFmtId="176" fontId="5" fillId="0" borderId="41" xfId="3" applyNumberFormat="1" applyFont="1" applyBorder="1" applyAlignment="1" applyProtection="1">
      <alignment horizontal="right" vertical="center"/>
      <protection locked="0"/>
    </xf>
    <xf numFmtId="176" fontId="5" fillId="0" borderId="74" xfId="3" applyNumberFormat="1" applyFont="1" applyBorder="1" applyAlignment="1" applyProtection="1">
      <alignment horizontal="right" vertical="center"/>
      <protection locked="0"/>
    </xf>
    <xf numFmtId="176" fontId="5" fillId="0" borderId="78" xfId="3" applyNumberFormat="1" applyFont="1" applyBorder="1" applyAlignment="1" applyProtection="1">
      <alignment horizontal="right" vertical="center"/>
      <protection locked="0"/>
    </xf>
    <xf numFmtId="0" fontId="11" fillId="8" borderId="90" xfId="2" applyFont="1" applyFill="1" applyBorder="1" applyAlignment="1" applyProtection="1">
      <alignment horizontal="center" vertical="center"/>
      <protection locked="0"/>
    </xf>
    <xf numFmtId="0" fontId="11" fillId="8" borderId="93" xfId="2" applyFont="1" applyFill="1" applyBorder="1" applyAlignment="1" applyProtection="1">
      <alignment horizontal="center" vertical="center"/>
      <protection locked="0"/>
    </xf>
    <xf numFmtId="0" fontId="11" fillId="8" borderId="104" xfId="2" applyFont="1" applyFill="1" applyBorder="1" applyAlignment="1" applyProtection="1">
      <alignment horizontal="center" vertical="center"/>
      <protection locked="0"/>
    </xf>
    <xf numFmtId="41" fontId="5" fillId="0" borderId="56" xfId="4" applyFont="1" applyBorder="1" applyAlignment="1" applyProtection="1">
      <alignment horizontal="right" vertical="center"/>
      <protection locked="0"/>
    </xf>
    <xf numFmtId="0" fontId="11" fillId="8" borderId="94" xfId="2" applyFont="1" applyFill="1" applyBorder="1" applyAlignment="1" applyProtection="1">
      <alignment horizontal="center" vertical="center" wrapText="1"/>
      <protection locked="0"/>
    </xf>
    <xf numFmtId="0" fontId="11" fillId="8" borderId="79" xfId="2" applyFont="1" applyFill="1" applyBorder="1" applyAlignment="1" applyProtection="1">
      <alignment horizontal="center" vertical="center"/>
      <protection locked="0"/>
    </xf>
    <xf numFmtId="176" fontId="11" fillId="7" borderId="86" xfId="3" applyNumberFormat="1" applyFont="1" applyFill="1" applyBorder="1" applyAlignment="1" applyProtection="1">
      <alignment horizontal="right" vertical="center"/>
      <protection locked="0"/>
    </xf>
    <xf numFmtId="176" fontId="11" fillId="7" borderId="41" xfId="3" applyNumberFormat="1" applyFont="1" applyFill="1" applyBorder="1" applyAlignment="1" applyProtection="1">
      <alignment horizontal="right" vertical="center"/>
      <protection locked="0"/>
    </xf>
    <xf numFmtId="176" fontId="11" fillId="7" borderId="37" xfId="3" applyNumberFormat="1" applyFont="1" applyFill="1" applyBorder="1" applyAlignment="1" applyProtection="1">
      <alignment horizontal="right" vertical="center"/>
      <protection locked="0"/>
    </xf>
    <xf numFmtId="0" fontId="11" fillId="4" borderId="3" xfId="2" applyFont="1" applyFill="1" applyBorder="1" applyAlignment="1">
      <alignment horizontal="center" vertical="center"/>
    </xf>
    <xf numFmtId="0" fontId="11" fillId="4" borderId="6" xfId="2" applyFont="1" applyFill="1" applyBorder="1" applyAlignment="1">
      <alignment horizontal="center" vertical="center"/>
    </xf>
    <xf numFmtId="0" fontId="11" fillId="4" borderId="4" xfId="2" applyFont="1" applyFill="1" applyBorder="1" applyAlignment="1">
      <alignment horizontal="center" vertical="center" wrapText="1"/>
    </xf>
    <xf numFmtId="0" fontId="11" fillId="4" borderId="34" xfId="2" applyFont="1" applyFill="1" applyBorder="1" applyAlignment="1">
      <alignment horizontal="center" vertical="center" wrapText="1"/>
    </xf>
    <xf numFmtId="0" fontId="11" fillId="4" borderId="36" xfId="2" applyFont="1" applyFill="1" applyBorder="1" applyAlignment="1">
      <alignment horizontal="center" vertical="center" wrapText="1"/>
    </xf>
    <xf numFmtId="0" fontId="11" fillId="4" borderId="37" xfId="2" applyFont="1" applyFill="1" applyBorder="1" applyAlignment="1">
      <alignment horizontal="center" vertical="center" wrapText="1"/>
    </xf>
    <xf numFmtId="0" fontId="11" fillId="4" borderId="46" xfId="2" applyFont="1" applyFill="1" applyBorder="1" applyAlignment="1">
      <alignment horizontal="center" vertical="center"/>
    </xf>
    <xf numFmtId="0" fontId="11" fillId="4" borderId="47" xfId="2" applyFont="1" applyFill="1" applyBorder="1" applyAlignment="1">
      <alignment horizontal="center" vertical="center"/>
    </xf>
    <xf numFmtId="0" fontId="11" fillId="4" borderId="59" xfId="2" applyFont="1" applyFill="1" applyBorder="1" applyAlignment="1">
      <alignment horizontal="center" vertical="center" wrapText="1"/>
    </xf>
    <xf numFmtId="0" fontId="11" fillId="4" borderId="60" xfId="2" applyFont="1" applyFill="1" applyBorder="1" applyAlignment="1">
      <alignment horizontal="center" vertical="center" wrapText="1"/>
    </xf>
    <xf numFmtId="0" fontId="11" fillId="4" borderId="61" xfId="2" applyFont="1" applyFill="1" applyBorder="1" applyAlignment="1">
      <alignment horizontal="center" vertical="center" wrapText="1"/>
    </xf>
    <xf numFmtId="0" fontId="11" fillId="4" borderId="42" xfId="2" applyFont="1" applyFill="1" applyBorder="1" applyAlignment="1">
      <alignment horizontal="center" vertical="center" wrapText="1"/>
    </xf>
    <xf numFmtId="0" fontId="19" fillId="3" borderId="49" xfId="2" applyFont="1" applyFill="1" applyBorder="1" applyAlignment="1">
      <alignment horizontal="center" vertical="center"/>
    </xf>
    <xf numFmtId="0" fontId="19" fillId="3" borderId="50" xfId="2" applyFont="1" applyFill="1" applyBorder="1" applyAlignment="1">
      <alignment horizontal="center" vertical="center"/>
    </xf>
    <xf numFmtId="0" fontId="19" fillId="3" borderId="51" xfId="2" applyFont="1" applyFill="1" applyBorder="1" applyAlignment="1">
      <alignment horizontal="center" vertical="center"/>
    </xf>
    <xf numFmtId="0" fontId="11" fillId="6" borderId="13" xfId="2" applyFont="1" applyFill="1" applyBorder="1" applyAlignment="1">
      <alignment horizontal="center" vertical="center"/>
    </xf>
    <xf numFmtId="0" fontId="11" fillId="6" borderId="32" xfId="2" applyFont="1" applyFill="1" applyBorder="1" applyAlignment="1">
      <alignment horizontal="center" vertical="center"/>
    </xf>
    <xf numFmtId="0" fontId="11" fillId="4" borderId="44" xfId="2" applyFont="1" applyFill="1" applyBorder="1" applyAlignment="1">
      <alignment horizontal="center" vertical="center" wrapText="1"/>
    </xf>
    <xf numFmtId="0" fontId="11" fillId="4" borderId="41" xfId="2" applyFont="1" applyFill="1" applyBorder="1" applyAlignment="1">
      <alignment horizontal="center" vertical="center"/>
    </xf>
    <xf numFmtId="0" fontId="11" fillId="4" borderId="41" xfId="2" applyFont="1" applyFill="1" applyBorder="1" applyAlignment="1">
      <alignment horizontal="center" vertical="center" wrapText="1"/>
    </xf>
    <xf numFmtId="0" fontId="11" fillId="4" borderId="44" xfId="2" applyFont="1" applyFill="1" applyBorder="1" applyAlignment="1">
      <alignment horizontal="center" vertical="center"/>
    </xf>
    <xf numFmtId="0" fontId="11" fillId="4" borderId="48" xfId="2" applyFont="1" applyFill="1" applyBorder="1" applyAlignment="1">
      <alignment horizontal="center" vertical="center"/>
    </xf>
    <xf numFmtId="0" fontId="11" fillId="4" borderId="40" xfId="2" applyFont="1" applyFill="1" applyBorder="1" applyAlignment="1">
      <alignment horizontal="center" vertical="center"/>
    </xf>
    <xf numFmtId="179" fontId="5" fillId="7" borderId="18" xfId="2" applyNumberFormat="1" applyFont="1" applyFill="1" applyBorder="1" applyAlignment="1" applyProtection="1">
      <alignment horizontal="center" vertical="center"/>
      <protection locked="0"/>
    </xf>
    <xf numFmtId="179" fontId="5" fillId="7" borderId="62" xfId="2" applyNumberFormat="1" applyFont="1" applyFill="1" applyBorder="1" applyAlignment="1" applyProtection="1">
      <alignment horizontal="center" vertical="center"/>
      <protection locked="0"/>
    </xf>
    <xf numFmtId="179" fontId="5" fillId="6" borderId="63" xfId="2" applyNumberFormat="1" applyFont="1" applyFill="1" applyBorder="1" applyAlignment="1">
      <alignment horizontal="center" vertical="center"/>
    </xf>
    <xf numFmtId="179" fontId="5" fillId="6" borderId="35" xfId="2" applyNumberFormat="1" applyFont="1" applyFill="1" applyBorder="1" applyAlignment="1">
      <alignment horizontal="center" vertical="center"/>
    </xf>
    <xf numFmtId="0" fontId="11" fillId="8" borderId="38" xfId="2" applyFont="1" applyFill="1" applyBorder="1" applyAlignment="1">
      <alignment horizontal="center" vertical="center"/>
    </xf>
    <xf numFmtId="0" fontId="11" fillId="8" borderId="39" xfId="2" applyFont="1" applyFill="1" applyBorder="1" applyAlignment="1">
      <alignment horizontal="center" vertical="center"/>
    </xf>
    <xf numFmtId="0" fontId="11" fillId="4" borderId="2" xfId="2" applyFont="1" applyFill="1" applyBorder="1" applyAlignment="1">
      <alignment horizontal="center" vertical="center"/>
    </xf>
    <xf numFmtId="0" fontId="11" fillId="4" borderId="33" xfId="2" applyFont="1" applyFill="1" applyBorder="1" applyAlignment="1">
      <alignment horizontal="center" vertical="center"/>
    </xf>
    <xf numFmtId="176" fontId="5" fillId="3" borderId="41" xfId="3" applyNumberFormat="1" applyFont="1" applyFill="1" applyBorder="1" applyAlignment="1" applyProtection="1">
      <alignment horizontal="right" vertical="center"/>
      <protection locked="0"/>
    </xf>
    <xf numFmtId="0" fontId="11" fillId="5" borderId="53" xfId="2" applyFont="1" applyFill="1" applyBorder="1" applyAlignment="1" applyProtection="1">
      <alignment vertical="center"/>
      <protection locked="0"/>
    </xf>
    <xf numFmtId="183" fontId="5" fillId="0" borderId="55" xfId="3" applyNumberFormat="1" applyFont="1" applyBorder="1" applyAlignment="1" applyProtection="1">
      <alignment horizontal="center" vertical="center"/>
    </xf>
    <xf numFmtId="183" fontId="5" fillId="0" borderId="37" xfId="3" applyNumberFormat="1" applyFont="1" applyBorder="1" applyAlignment="1" applyProtection="1">
      <alignment horizontal="center" vertical="center"/>
    </xf>
    <xf numFmtId="0" fontId="11" fillId="3" borderId="53" xfId="2" applyFont="1" applyFill="1" applyBorder="1" applyAlignment="1" applyProtection="1">
      <alignment horizontal="center" vertical="center"/>
      <protection locked="0"/>
    </xf>
    <xf numFmtId="0" fontId="6" fillId="5" borderId="38" xfId="2" applyFont="1" applyFill="1" applyBorder="1" applyAlignment="1" applyProtection="1">
      <alignment horizontal="left" vertical="center" indent="1"/>
      <protection locked="0"/>
    </xf>
    <xf numFmtId="0" fontId="6" fillId="5" borderId="112" xfId="2" applyFont="1" applyFill="1" applyBorder="1" applyAlignment="1" applyProtection="1">
      <alignment horizontal="left" vertical="center" indent="1"/>
      <protection locked="0"/>
    </xf>
    <xf numFmtId="41" fontId="14" fillId="3" borderId="15" xfId="4" applyFont="1" applyFill="1" applyBorder="1" applyAlignment="1" applyProtection="1">
      <alignment horizontal="center" vertical="center"/>
    </xf>
    <xf numFmtId="41" fontId="14" fillId="3" borderId="111" xfId="4" applyFont="1" applyFill="1" applyBorder="1" applyAlignment="1" applyProtection="1">
      <alignment horizontal="center" vertical="center"/>
    </xf>
    <xf numFmtId="0" fontId="11" fillId="0" borderId="1" xfId="2" applyFont="1" applyBorder="1" applyAlignment="1" applyProtection="1">
      <alignment horizontal="center" vertical="center"/>
      <protection locked="0"/>
    </xf>
    <xf numFmtId="0" fontId="5" fillId="3" borderId="113" xfId="2" applyFont="1" applyFill="1" applyBorder="1" applyAlignment="1" applyProtection="1">
      <alignment vertical="center"/>
      <protection locked="0"/>
    </xf>
    <xf numFmtId="0" fontId="11" fillId="4" borderId="114" xfId="2" applyFont="1" applyFill="1" applyBorder="1" applyAlignment="1" applyProtection="1">
      <alignment horizontal="center" vertical="center"/>
      <protection locked="0"/>
    </xf>
    <xf numFmtId="0" fontId="11" fillId="4" borderId="115" xfId="2" applyFont="1" applyFill="1" applyBorder="1" applyAlignment="1" applyProtection="1">
      <alignment horizontal="center" vertical="center"/>
      <protection locked="0"/>
    </xf>
    <xf numFmtId="0" fontId="11" fillId="4" borderId="115" xfId="2" applyFont="1" applyFill="1" applyBorder="1" applyAlignment="1" applyProtection="1">
      <alignment horizontal="center" vertical="center" wrapText="1"/>
      <protection locked="0"/>
    </xf>
    <xf numFmtId="0" fontId="11" fillId="4" borderId="115" xfId="2" applyFont="1" applyFill="1" applyBorder="1" applyAlignment="1" applyProtection="1">
      <alignment horizontal="center" vertical="center"/>
      <protection locked="0"/>
    </xf>
    <xf numFmtId="0" fontId="11" fillId="8" borderId="115" xfId="2" applyFont="1" applyFill="1" applyBorder="1" applyAlignment="1" applyProtection="1">
      <alignment horizontal="center" vertical="center"/>
      <protection locked="0"/>
    </xf>
    <xf numFmtId="0" fontId="11" fillId="8" borderId="116" xfId="2" applyFont="1" applyFill="1" applyBorder="1" applyAlignment="1" applyProtection="1">
      <alignment horizontal="center" vertical="center"/>
      <protection locked="0"/>
    </xf>
    <xf numFmtId="0" fontId="11" fillId="4" borderId="117" xfId="2" applyFont="1" applyFill="1" applyBorder="1" applyAlignment="1" applyProtection="1">
      <alignment horizontal="center" vertical="center"/>
      <protection locked="0"/>
    </xf>
    <xf numFmtId="0" fontId="11" fillId="4" borderId="118" xfId="2" applyFont="1" applyFill="1" applyBorder="1" applyAlignment="1" applyProtection="1">
      <alignment horizontal="center" vertical="center"/>
      <protection locked="0"/>
    </xf>
    <xf numFmtId="0" fontId="11" fillId="4" borderId="118" xfId="2" applyFont="1" applyFill="1" applyBorder="1" applyAlignment="1" applyProtection="1">
      <alignment horizontal="center" vertical="center" wrapText="1"/>
      <protection locked="0"/>
    </xf>
    <xf numFmtId="0" fontId="11" fillId="4" borderId="118" xfId="2" applyFont="1" applyFill="1" applyBorder="1" applyAlignment="1" applyProtection="1">
      <alignment horizontal="center" vertical="center"/>
      <protection locked="0"/>
    </xf>
    <xf numFmtId="0" fontId="11" fillId="4" borderId="118" xfId="2" applyFont="1" applyFill="1" applyBorder="1" applyAlignment="1" applyProtection="1">
      <alignment horizontal="center" vertical="center" wrapText="1"/>
      <protection locked="0"/>
    </xf>
    <xf numFmtId="0" fontId="11" fillId="8" borderId="118" xfId="2" applyFont="1" applyFill="1" applyBorder="1" applyAlignment="1" applyProtection="1">
      <alignment horizontal="center" vertical="center" wrapText="1"/>
      <protection locked="0"/>
    </xf>
    <xf numFmtId="0" fontId="11" fillId="8" borderId="118" xfId="2" applyFont="1" applyFill="1" applyBorder="1" applyAlignment="1" applyProtection="1">
      <alignment horizontal="center" vertical="center"/>
      <protection locked="0"/>
    </xf>
    <xf numFmtId="0" fontId="11" fillId="8" borderId="119" xfId="2" applyFont="1" applyFill="1" applyBorder="1" applyAlignment="1" applyProtection="1">
      <alignment horizontal="center" vertical="center"/>
      <protection locked="0"/>
    </xf>
    <xf numFmtId="0" fontId="5" fillId="3" borderId="115" xfId="2" applyFont="1" applyFill="1" applyBorder="1" applyAlignment="1" applyProtection="1">
      <alignment vertical="center"/>
      <protection locked="0"/>
    </xf>
    <xf numFmtId="14" fontId="5" fillId="3" borderId="115" xfId="2" applyNumberFormat="1" applyFont="1" applyFill="1" applyBorder="1" applyAlignment="1" applyProtection="1">
      <alignment vertical="center"/>
      <protection locked="0"/>
    </xf>
    <xf numFmtId="41" fontId="5" fillId="3" borderId="115" xfId="4" applyFont="1" applyFill="1" applyBorder="1" applyAlignment="1" applyProtection="1">
      <alignment vertical="center"/>
      <protection locked="0"/>
    </xf>
    <xf numFmtId="176" fontId="5" fillId="3" borderId="115" xfId="3" applyNumberFormat="1" applyFont="1" applyFill="1" applyBorder="1" applyAlignment="1" applyProtection="1">
      <alignment vertical="center"/>
    </xf>
    <xf numFmtId="183" fontId="5" fillId="0" borderId="115" xfId="3" applyNumberFormat="1" applyFont="1" applyBorder="1" applyAlignment="1" applyProtection="1">
      <alignment vertical="center"/>
    </xf>
    <xf numFmtId="181" fontId="5" fillId="3" borderId="115" xfId="3" applyNumberFormat="1" applyFont="1" applyFill="1" applyBorder="1" applyAlignment="1" applyProtection="1">
      <alignment horizontal="center" vertical="center"/>
      <protection locked="0"/>
    </xf>
    <xf numFmtId="178" fontId="5" fillId="3" borderId="115" xfId="3" applyNumberFormat="1" applyFont="1" applyFill="1" applyBorder="1" applyAlignment="1" applyProtection="1">
      <alignment horizontal="center" vertical="center"/>
      <protection locked="0"/>
    </xf>
    <xf numFmtId="183" fontId="5" fillId="3" borderId="115" xfId="3" applyNumberFormat="1" applyFont="1" applyFill="1" applyBorder="1" applyAlignment="1" applyProtection="1">
      <alignment vertical="center"/>
    </xf>
    <xf numFmtId="176" fontId="5" fillId="3" borderId="115" xfId="3" applyNumberFormat="1" applyFont="1" applyFill="1" applyBorder="1" applyAlignment="1" applyProtection="1">
      <alignment vertical="center"/>
      <protection locked="0"/>
    </xf>
    <xf numFmtId="0" fontId="5" fillId="3" borderId="118" xfId="2" applyFont="1" applyFill="1" applyBorder="1" applyAlignment="1" applyProtection="1">
      <alignment vertical="center"/>
      <protection locked="0"/>
    </xf>
    <xf numFmtId="14" fontId="5" fillId="3" borderId="118" xfId="2" applyNumberFormat="1" applyFont="1" applyFill="1" applyBorder="1" applyAlignment="1" applyProtection="1">
      <alignment vertical="center"/>
      <protection locked="0"/>
    </xf>
    <xf numFmtId="41" fontId="5" fillId="3" borderId="118" xfId="4" applyFont="1" applyFill="1" applyBorder="1" applyAlignment="1" applyProtection="1">
      <alignment vertical="center"/>
      <protection locked="0"/>
    </xf>
    <xf numFmtId="176" fontId="5" fillId="3" borderId="118" xfId="3" applyNumberFormat="1" applyFont="1" applyFill="1" applyBorder="1" applyAlignment="1" applyProtection="1">
      <alignment vertical="center"/>
    </xf>
    <xf numFmtId="183" fontId="5" fillId="0" borderId="118" xfId="3" applyNumberFormat="1" applyFont="1" applyBorder="1" applyAlignment="1" applyProtection="1">
      <alignment vertical="center"/>
    </xf>
    <xf numFmtId="184" fontId="5" fillId="3" borderId="118" xfId="3" applyNumberFormat="1" applyFont="1" applyFill="1" applyBorder="1" applyAlignment="1" applyProtection="1">
      <alignment horizontal="center" vertical="center"/>
    </xf>
    <xf numFmtId="183" fontId="5" fillId="3" borderId="118" xfId="3" applyNumberFormat="1" applyFont="1" applyFill="1" applyBorder="1" applyAlignment="1" applyProtection="1">
      <alignment vertical="center"/>
    </xf>
    <xf numFmtId="176" fontId="5" fillId="3" borderId="118" xfId="3" applyNumberFormat="1" applyFont="1" applyFill="1" applyBorder="1" applyAlignment="1" applyProtection="1">
      <alignment vertical="center"/>
      <protection locked="0"/>
    </xf>
    <xf numFmtId="188" fontId="11" fillId="7" borderId="54" xfId="1" applyNumberFormat="1" applyFont="1" applyFill="1" applyBorder="1" applyAlignment="1" applyProtection="1">
      <alignment horizontal="center" vertical="center"/>
      <protection locked="0"/>
    </xf>
    <xf numFmtId="188" fontId="11" fillId="7" borderId="41" xfId="1" applyNumberFormat="1" applyFont="1" applyFill="1" applyBorder="1" applyAlignment="1" applyProtection="1">
      <alignment horizontal="center" vertical="center"/>
      <protection locked="0"/>
    </xf>
    <xf numFmtId="41" fontId="5" fillId="0" borderId="56" xfId="4" applyFont="1" applyBorder="1" applyAlignment="1" applyProtection="1">
      <alignment horizontal="right" vertical="center"/>
    </xf>
    <xf numFmtId="176" fontId="5" fillId="0" borderId="54" xfId="3" applyNumberFormat="1" applyFont="1" applyBorder="1" applyAlignment="1" applyProtection="1">
      <alignment horizontal="right" vertical="center"/>
    </xf>
    <xf numFmtId="176" fontId="5" fillId="0" borderId="74" xfId="3" applyNumberFormat="1" applyFont="1" applyBorder="1" applyAlignment="1" applyProtection="1">
      <alignment horizontal="right" vertical="center"/>
    </xf>
    <xf numFmtId="41" fontId="5" fillId="0" borderId="30" xfId="4" applyFont="1" applyBorder="1" applyAlignment="1" applyProtection="1">
      <alignment horizontal="right" vertical="center"/>
    </xf>
    <xf numFmtId="176" fontId="5" fillId="0" borderId="5" xfId="3" applyNumberFormat="1" applyFont="1" applyBorder="1" applyAlignment="1" applyProtection="1">
      <alignment horizontal="right" vertical="center"/>
    </xf>
    <xf numFmtId="176" fontId="5" fillId="0" borderId="75" xfId="3" applyNumberFormat="1" applyFont="1" applyBorder="1" applyAlignment="1" applyProtection="1">
      <alignment horizontal="right" vertical="center"/>
    </xf>
    <xf numFmtId="41" fontId="5" fillId="3" borderId="56" xfId="4" applyFont="1" applyFill="1" applyBorder="1" applyAlignment="1" applyProtection="1">
      <alignment horizontal="right" vertical="center"/>
    </xf>
    <xf numFmtId="176" fontId="5" fillId="3" borderId="54" xfId="3" applyNumberFormat="1" applyFont="1" applyFill="1" applyBorder="1" applyAlignment="1" applyProtection="1">
      <alignment horizontal="right" vertical="center"/>
    </xf>
    <xf numFmtId="176" fontId="5" fillId="3" borderId="74" xfId="3" applyNumberFormat="1" applyFont="1" applyFill="1" applyBorder="1" applyAlignment="1" applyProtection="1">
      <alignment horizontal="right" vertical="center"/>
    </xf>
    <xf numFmtId="41" fontId="5" fillId="3" borderId="40" xfId="4" applyFont="1" applyFill="1" applyBorder="1" applyAlignment="1" applyProtection="1">
      <alignment horizontal="right" vertical="center"/>
    </xf>
    <xf numFmtId="176" fontId="5" fillId="3" borderId="41" xfId="3" applyNumberFormat="1" applyFont="1" applyFill="1" applyBorder="1" applyAlignment="1" applyProtection="1">
      <alignment horizontal="right" vertical="center"/>
    </xf>
    <xf numFmtId="176" fontId="5" fillId="3" borderId="78" xfId="3" applyNumberFormat="1" applyFont="1" applyFill="1" applyBorder="1" applyAlignment="1" applyProtection="1">
      <alignment horizontal="right" vertical="center"/>
    </xf>
    <xf numFmtId="41" fontId="5" fillId="0" borderId="71" xfId="4" applyFont="1" applyBorder="1" applyAlignment="1" applyProtection="1">
      <alignment horizontal="right" vertical="center"/>
    </xf>
    <xf numFmtId="176" fontId="5" fillId="3" borderId="71" xfId="3" applyNumberFormat="1" applyFont="1" applyFill="1" applyBorder="1" applyAlignment="1" applyProtection="1">
      <alignment horizontal="right" vertical="center"/>
    </xf>
    <xf numFmtId="176" fontId="11" fillId="3" borderId="74" xfId="3" applyNumberFormat="1" applyFont="1" applyFill="1" applyBorder="1" applyAlignment="1" applyProtection="1">
      <alignment horizontal="right" vertical="center"/>
    </xf>
    <xf numFmtId="176" fontId="6" fillId="3" borderId="79" xfId="3" applyNumberFormat="1" applyFont="1" applyFill="1" applyBorder="1" applyAlignment="1" applyProtection="1">
      <alignment horizontal="left" vertical="center" indent="2"/>
    </xf>
    <xf numFmtId="41" fontId="5" fillId="0" borderId="72" xfId="4" applyFont="1" applyBorder="1" applyAlignment="1" applyProtection="1">
      <alignment horizontal="right" vertical="center"/>
    </xf>
    <xf numFmtId="176" fontId="5" fillId="3" borderId="72" xfId="3" applyNumberFormat="1" applyFont="1" applyFill="1" applyBorder="1" applyAlignment="1" applyProtection="1">
      <alignment horizontal="right" vertical="center"/>
    </xf>
    <xf numFmtId="176" fontId="5" fillId="3" borderId="5" xfId="3" applyNumberFormat="1" applyFont="1" applyFill="1" applyBorder="1" applyAlignment="1" applyProtection="1">
      <alignment horizontal="right" vertical="center"/>
    </xf>
    <xf numFmtId="176" fontId="11" fillId="3" borderId="75" xfId="3" applyNumberFormat="1" applyFont="1" applyFill="1" applyBorder="1" applyAlignment="1" applyProtection="1">
      <alignment horizontal="right" vertical="center"/>
    </xf>
    <xf numFmtId="176" fontId="11" fillId="3" borderId="54" xfId="3" applyNumberFormat="1" applyFont="1" applyFill="1" applyBorder="1" applyAlignment="1" applyProtection="1">
      <alignment horizontal="right" vertical="center"/>
    </xf>
    <xf numFmtId="176" fontId="11" fillId="3" borderId="5" xfId="3" applyNumberFormat="1" applyFont="1" applyFill="1" applyBorder="1" applyAlignment="1" applyProtection="1">
      <alignment horizontal="right" vertical="center"/>
    </xf>
    <xf numFmtId="176" fontId="5" fillId="0" borderId="41" xfId="3" applyNumberFormat="1" applyFont="1" applyBorder="1" applyAlignment="1" applyProtection="1">
      <alignment horizontal="right" vertical="center"/>
    </xf>
    <xf numFmtId="176" fontId="5" fillId="0" borderId="78" xfId="3" applyNumberFormat="1" applyFont="1" applyBorder="1" applyAlignment="1" applyProtection="1">
      <alignment horizontal="right" vertical="center"/>
    </xf>
    <xf numFmtId="176" fontId="6" fillId="3" borderId="80" xfId="3" applyNumberFormat="1" applyFont="1" applyFill="1" applyBorder="1" applyAlignment="1" applyProtection="1">
      <alignment horizontal="left" vertical="center" indent="2"/>
    </xf>
    <xf numFmtId="0" fontId="11" fillId="6" borderId="95" xfId="2" applyFont="1" applyFill="1" applyBorder="1" applyAlignment="1" applyProtection="1">
      <alignment horizontal="center" vertical="center"/>
    </xf>
    <xf numFmtId="0" fontId="11" fillId="6" borderId="0" xfId="2" applyFont="1" applyFill="1" applyAlignment="1" applyProtection="1">
      <alignment horizontal="center" vertical="center"/>
    </xf>
    <xf numFmtId="0" fontId="11" fillId="6" borderId="68" xfId="2" applyFont="1" applyFill="1" applyBorder="1" applyAlignment="1" applyProtection="1">
      <alignment horizontal="center" vertical="center"/>
    </xf>
    <xf numFmtId="41" fontId="7" fillId="6" borderId="69" xfId="4" applyFont="1" applyFill="1" applyBorder="1" applyAlignment="1" applyProtection="1">
      <alignment horizontal="center" vertical="center"/>
    </xf>
    <xf numFmtId="183" fontId="5" fillId="6" borderId="69" xfId="3" applyNumberFormat="1" applyFont="1" applyFill="1" applyBorder="1" applyAlignment="1" applyProtection="1">
      <alignment horizontal="center" vertical="center"/>
    </xf>
    <xf numFmtId="181" fontId="11" fillId="6" borderId="5" xfId="3" applyNumberFormat="1" applyFont="1" applyFill="1" applyBorder="1" applyAlignment="1" applyProtection="1">
      <alignment horizontal="center" vertical="center"/>
    </xf>
    <xf numFmtId="178" fontId="5" fillId="6" borderId="5" xfId="3" applyNumberFormat="1" applyFont="1" applyFill="1" applyBorder="1" applyAlignment="1" applyProtection="1">
      <alignment horizontal="center" vertical="center"/>
    </xf>
    <xf numFmtId="177" fontId="5" fillId="6" borderId="102" xfId="3" applyNumberFormat="1" applyFont="1" applyFill="1" applyBorder="1" applyAlignment="1" applyProtection="1">
      <alignment horizontal="center" vertical="center"/>
    </xf>
    <xf numFmtId="41" fontId="5" fillId="6" borderId="56" xfId="4" applyFont="1" applyFill="1" applyBorder="1" applyAlignment="1" applyProtection="1">
      <alignment horizontal="right" vertical="center"/>
    </xf>
    <xf numFmtId="176" fontId="5" fillId="6" borderId="54" xfId="3" applyNumberFormat="1" applyFont="1" applyFill="1" applyBorder="1" applyAlignment="1" applyProtection="1">
      <alignment horizontal="right" vertical="center"/>
    </xf>
    <xf numFmtId="176" fontId="5" fillId="6" borderId="74" xfId="3" applyNumberFormat="1" applyFont="1" applyFill="1" applyBorder="1" applyAlignment="1" applyProtection="1">
      <alignment horizontal="right" vertical="center"/>
    </xf>
    <xf numFmtId="176" fontId="5" fillId="6" borderId="88" xfId="3" applyNumberFormat="1" applyFont="1" applyFill="1" applyBorder="1" applyAlignment="1" applyProtection="1">
      <alignment horizontal="right" vertical="center"/>
    </xf>
    <xf numFmtId="176" fontId="11" fillId="6" borderId="69" xfId="3" applyNumberFormat="1" applyFont="1" applyFill="1" applyBorder="1" applyAlignment="1" applyProtection="1">
      <alignment horizontal="right" vertical="center"/>
    </xf>
    <xf numFmtId="176" fontId="11" fillId="6" borderId="70" xfId="3" applyNumberFormat="1" applyFont="1" applyFill="1" applyBorder="1" applyAlignment="1" applyProtection="1">
      <alignment horizontal="right" vertical="center"/>
    </xf>
    <xf numFmtId="176" fontId="5" fillId="6" borderId="68" xfId="4" applyNumberFormat="1" applyFont="1" applyFill="1" applyBorder="1" applyAlignment="1" applyProtection="1">
      <alignment horizontal="right" vertical="center"/>
    </xf>
    <xf numFmtId="176" fontId="5" fillId="6" borderId="69" xfId="3" applyNumberFormat="1" applyFont="1" applyFill="1" applyBorder="1" applyAlignment="1" applyProtection="1">
      <alignment horizontal="right" vertical="center"/>
    </xf>
    <xf numFmtId="176" fontId="5" fillId="6" borderId="76" xfId="3" applyNumberFormat="1" applyFont="1" applyFill="1" applyBorder="1" applyAlignment="1" applyProtection="1">
      <alignment horizontal="right" vertical="center"/>
    </xf>
    <xf numFmtId="176" fontId="5" fillId="6" borderId="68" xfId="3" applyNumberFormat="1" applyFont="1" applyFill="1" applyBorder="1" applyAlignment="1" applyProtection="1">
      <alignment horizontal="right" vertical="center"/>
    </xf>
    <xf numFmtId="176" fontId="11" fillId="6" borderId="76" xfId="3" applyNumberFormat="1" applyFont="1" applyFill="1" applyBorder="1" applyAlignment="1" applyProtection="1">
      <alignment horizontal="right" vertical="center"/>
    </xf>
    <xf numFmtId="176" fontId="6" fillId="6" borderId="81" xfId="3" applyNumberFormat="1" applyFont="1" applyFill="1" applyBorder="1" applyAlignment="1" applyProtection="1">
      <alignment horizontal="left" vertical="center" indent="2"/>
    </xf>
    <xf numFmtId="0" fontId="11" fillId="6" borderId="16" xfId="2" applyFont="1" applyFill="1" applyBorder="1" applyAlignment="1" applyProtection="1">
      <alignment horizontal="center" vertical="center"/>
    </xf>
    <xf numFmtId="0" fontId="11" fillId="6" borderId="64" xfId="2" applyFont="1" applyFill="1" applyBorder="1" applyAlignment="1" applyProtection="1">
      <alignment horizontal="center" vertical="center"/>
    </xf>
    <xf numFmtId="0" fontId="11" fillId="6" borderId="65" xfId="2" applyFont="1" applyFill="1" applyBorder="1" applyAlignment="1" applyProtection="1">
      <alignment horizontal="center" vertical="center"/>
    </xf>
    <xf numFmtId="41" fontId="7" fillId="6" borderId="66" xfId="4" applyFont="1" applyFill="1" applyBorder="1" applyAlignment="1" applyProtection="1">
      <alignment horizontal="center" vertical="center"/>
    </xf>
    <xf numFmtId="183" fontId="5" fillId="6" borderId="66" xfId="3" applyNumberFormat="1" applyFont="1" applyFill="1" applyBorder="1" applyAlignment="1" applyProtection="1">
      <alignment horizontal="center" vertical="center"/>
    </xf>
    <xf numFmtId="176" fontId="29" fillId="6" borderId="1" xfId="3" applyNumberFormat="1" applyFont="1" applyFill="1" applyBorder="1" applyAlignment="1" applyProtection="1">
      <alignment horizontal="center" vertical="center"/>
    </xf>
    <xf numFmtId="177" fontId="5" fillId="6" borderId="103" xfId="3" applyNumberFormat="1" applyFont="1" applyFill="1" applyBorder="1" applyAlignment="1" applyProtection="1">
      <alignment horizontal="center" vertical="center"/>
    </xf>
    <xf numFmtId="41" fontId="5" fillId="6" borderId="30" xfId="4" applyFont="1" applyFill="1" applyBorder="1" applyAlignment="1" applyProtection="1">
      <alignment horizontal="right" vertical="center"/>
    </xf>
    <xf numFmtId="176" fontId="5" fillId="6" borderId="5" xfId="3" applyNumberFormat="1" applyFont="1" applyFill="1" applyBorder="1" applyAlignment="1" applyProtection="1">
      <alignment horizontal="right" vertical="center"/>
    </xf>
    <xf numFmtId="176" fontId="5" fillId="6" borderId="75" xfId="3" applyNumberFormat="1" applyFont="1" applyFill="1" applyBorder="1" applyAlignment="1" applyProtection="1">
      <alignment horizontal="right" vertical="center"/>
    </xf>
    <xf numFmtId="176" fontId="5" fillId="6" borderId="89" xfId="3" applyNumberFormat="1" applyFont="1" applyFill="1" applyBorder="1" applyAlignment="1" applyProtection="1">
      <alignment horizontal="right" vertical="center"/>
    </xf>
    <xf numFmtId="176" fontId="11" fillId="6" borderId="66" xfId="3" applyNumberFormat="1" applyFont="1" applyFill="1" applyBorder="1" applyAlignment="1" applyProtection="1">
      <alignment horizontal="right" vertical="center"/>
    </xf>
    <xf numFmtId="176" fontId="11" fillId="6" borderId="67" xfId="3" applyNumberFormat="1" applyFont="1" applyFill="1" applyBorder="1" applyAlignment="1" applyProtection="1">
      <alignment horizontal="right" vertical="center"/>
    </xf>
    <xf numFmtId="176" fontId="5" fillId="6" borderId="65" xfId="4" applyNumberFormat="1" applyFont="1" applyFill="1" applyBorder="1" applyAlignment="1" applyProtection="1">
      <alignment horizontal="right" vertical="center"/>
    </xf>
    <xf numFmtId="176" fontId="5" fillId="6" borderId="66" xfId="3" applyNumberFormat="1" applyFont="1" applyFill="1" applyBorder="1" applyAlignment="1" applyProtection="1">
      <alignment horizontal="right" vertical="center"/>
    </xf>
    <xf numFmtId="176" fontId="5" fillId="6" borderId="77" xfId="3" applyNumberFormat="1" applyFont="1" applyFill="1" applyBorder="1" applyAlignment="1" applyProtection="1">
      <alignment horizontal="right" vertical="center"/>
    </xf>
    <xf numFmtId="176" fontId="5" fillId="6" borderId="65" xfId="3" applyNumberFormat="1" applyFont="1" applyFill="1" applyBorder="1" applyAlignment="1" applyProtection="1">
      <alignment horizontal="right" vertical="center"/>
    </xf>
    <xf numFmtId="176" fontId="11" fillId="6" borderId="77" xfId="3" applyNumberFormat="1" applyFont="1" applyFill="1" applyBorder="1" applyAlignment="1" applyProtection="1">
      <alignment horizontal="right" vertical="center"/>
    </xf>
    <xf numFmtId="176" fontId="6" fillId="6" borderId="17" xfId="3" applyNumberFormat="1" applyFont="1" applyFill="1" applyBorder="1" applyAlignment="1" applyProtection="1">
      <alignment horizontal="left" vertical="center" indent="2"/>
    </xf>
    <xf numFmtId="0" fontId="11" fillId="2" borderId="96" xfId="2" applyFont="1" applyFill="1" applyBorder="1" applyAlignment="1" applyProtection="1">
      <alignment horizontal="center" vertical="center"/>
    </xf>
    <xf numFmtId="0" fontId="11" fillId="2" borderId="97" xfId="2" applyFont="1" applyFill="1" applyBorder="1" applyAlignment="1" applyProtection="1">
      <alignment horizontal="center" vertical="center"/>
    </xf>
    <xf numFmtId="176" fontId="7" fillId="2" borderId="97" xfId="3" applyNumberFormat="1" applyFont="1" applyFill="1" applyBorder="1" applyAlignment="1" applyProtection="1">
      <alignment horizontal="center" vertical="center"/>
    </xf>
    <xf numFmtId="176" fontId="7" fillId="2" borderId="101" xfId="3" applyNumberFormat="1" applyFont="1" applyFill="1" applyBorder="1" applyAlignment="1" applyProtection="1">
      <alignment horizontal="center" vertical="center"/>
    </xf>
    <xf numFmtId="176" fontId="7" fillId="2" borderId="96" xfId="3" applyNumberFormat="1" applyFont="1" applyFill="1" applyBorder="1" applyAlignment="1" applyProtection="1">
      <alignment horizontal="right" vertical="center"/>
    </xf>
    <xf numFmtId="176" fontId="7" fillId="2" borderId="97" xfId="3" applyNumberFormat="1" applyFont="1" applyFill="1" applyBorder="1" applyAlignment="1" applyProtection="1">
      <alignment horizontal="right" vertical="center"/>
    </xf>
    <xf numFmtId="176" fontId="7" fillId="2" borderId="99" xfId="3" applyNumberFormat="1" applyFont="1" applyFill="1" applyBorder="1" applyAlignment="1" applyProtection="1">
      <alignment horizontal="right" vertical="center"/>
    </xf>
    <xf numFmtId="176" fontId="7" fillId="2" borderId="100" xfId="3" applyNumberFormat="1" applyFont="1" applyFill="1" applyBorder="1" applyAlignment="1" applyProtection="1">
      <alignment horizontal="right" vertical="center"/>
    </xf>
    <xf numFmtId="176" fontId="7" fillId="2" borderId="98" xfId="3" applyNumberFormat="1" applyFont="1" applyFill="1" applyBorder="1" applyAlignment="1" applyProtection="1">
      <alignment horizontal="right" vertical="center"/>
    </xf>
    <xf numFmtId="176" fontId="31" fillId="2" borderId="17" xfId="3" applyNumberFormat="1" applyFont="1" applyFill="1" applyBorder="1" applyAlignment="1" applyProtection="1">
      <alignment horizontal="left" vertical="center" indent="2"/>
    </xf>
    <xf numFmtId="0" fontId="3" fillId="3" borderId="0" xfId="2" applyFont="1" applyFill="1" applyBorder="1" applyProtection="1">
      <alignment vertical="center"/>
      <protection locked="0"/>
    </xf>
    <xf numFmtId="41" fontId="7" fillId="3" borderId="0" xfId="4" applyFont="1" applyFill="1" applyBorder="1" applyAlignment="1" applyProtection="1">
      <alignment vertical="center"/>
      <protection locked="0"/>
    </xf>
    <xf numFmtId="183" fontId="32" fillId="0" borderId="54" xfId="3" applyNumberFormat="1" applyFont="1" applyBorder="1" applyAlignment="1" applyProtection="1">
      <alignment horizontal="center" vertical="center"/>
    </xf>
    <xf numFmtId="181" fontId="7" fillId="7" borderId="1" xfId="3" applyNumberFormat="1" applyFont="1" applyFill="1" applyBorder="1" applyAlignment="1" applyProtection="1">
      <alignment horizontal="center" vertical="center"/>
      <protection locked="0"/>
    </xf>
    <xf numFmtId="178" fontId="7" fillId="7" borderId="1" xfId="3" applyNumberFormat="1" applyFont="1" applyFill="1" applyBorder="1" applyAlignment="1" applyProtection="1">
      <alignment horizontal="center" vertical="center"/>
      <protection locked="0"/>
    </xf>
    <xf numFmtId="176" fontId="32" fillId="3" borderId="54" xfId="3" applyNumberFormat="1" applyFont="1" applyFill="1" applyBorder="1" applyAlignment="1" applyProtection="1">
      <alignment horizontal="center" vertical="center"/>
    </xf>
    <xf numFmtId="176" fontId="32" fillId="3" borderId="41" xfId="3" applyNumberFormat="1" applyFont="1" applyFill="1" applyBorder="1" applyAlignment="1" applyProtection="1">
      <alignment horizontal="center" vertical="center"/>
    </xf>
    <xf numFmtId="183" fontId="32" fillId="0" borderId="41" xfId="3" applyNumberFormat="1" applyFont="1" applyBorder="1" applyAlignment="1" applyProtection="1">
      <alignment horizontal="center" vertical="center"/>
    </xf>
    <xf numFmtId="184" fontId="32" fillId="3" borderId="6" xfId="3" applyNumberFormat="1" applyFont="1" applyFill="1" applyBorder="1" applyAlignment="1" applyProtection="1">
      <alignment horizontal="center" vertical="center"/>
    </xf>
    <xf numFmtId="41" fontId="5" fillId="0" borderId="40" xfId="4" applyFont="1" applyBorder="1" applyAlignment="1" applyProtection="1">
      <alignment horizontal="right" vertical="center"/>
      <protection locked="0"/>
    </xf>
    <xf numFmtId="41" fontId="5" fillId="0" borderId="42" xfId="4" applyFont="1" applyBorder="1" applyAlignment="1" applyProtection="1">
      <alignment horizontal="right" vertical="center"/>
      <protection locked="0"/>
    </xf>
    <xf numFmtId="176" fontId="5" fillId="3" borderId="42" xfId="3" applyNumberFormat="1" applyFont="1" applyFill="1" applyBorder="1" applyAlignment="1" applyProtection="1">
      <alignment horizontal="right" vertical="center"/>
      <protection locked="0"/>
    </xf>
    <xf numFmtId="176" fontId="11" fillId="3" borderId="78" xfId="3" applyNumberFormat="1" applyFont="1" applyFill="1" applyBorder="1" applyAlignment="1" applyProtection="1">
      <alignment horizontal="right" vertical="center"/>
      <protection locked="0"/>
    </xf>
    <xf numFmtId="176" fontId="6" fillId="3" borderId="79" xfId="3" applyNumberFormat="1" applyFont="1" applyFill="1" applyBorder="1" applyAlignment="1" applyProtection="1">
      <alignment horizontal="center" vertical="center"/>
      <protection locked="0"/>
    </xf>
    <xf numFmtId="176" fontId="6" fillId="3" borderId="80" xfId="3" applyNumberFormat="1" applyFont="1" applyFill="1" applyBorder="1" applyAlignment="1" applyProtection="1">
      <alignment horizontal="center" vertical="center"/>
      <protection locked="0"/>
    </xf>
  </cellXfs>
  <cellStyles count="5">
    <cellStyle name="쉼표 [0]" xfId="4" builtinId="6"/>
    <cellStyle name="쉼표 [0] 2" xfId="3" xr:uid="{00000000-0005-0000-0000-000001000000}"/>
    <cellStyle name="통화 [0]" xfId="1" builtinId="7"/>
    <cellStyle name="표준" xfId="0" builtinId="0"/>
    <cellStyle name="표준 2" xfId="2" xr:uid="{00000000-0005-0000-0000-000004000000}"/>
  </cellStyles>
  <dxfs count="42">
    <dxf>
      <font>
        <color theme="0"/>
      </font>
    </dxf>
    <dxf>
      <font>
        <color theme="0"/>
      </font>
    </dxf>
    <dxf>
      <font>
        <color theme="0"/>
      </font>
    </dxf>
    <dxf>
      <font>
        <color theme="0"/>
      </font>
    </dxf>
    <dxf>
      <font>
        <color theme="0"/>
      </font>
    </dxf>
    <dxf>
      <font>
        <color rgb="FFFF0000"/>
      </font>
    </dxf>
    <dxf>
      <font>
        <color theme="0"/>
      </font>
    </dxf>
    <dxf>
      <font>
        <color theme="0"/>
      </font>
    </dxf>
    <dxf>
      <font>
        <color theme="0"/>
      </font>
    </dxf>
    <dxf>
      <font>
        <color theme="0"/>
      </font>
    </dxf>
    <dxf>
      <font>
        <color theme="0"/>
      </font>
    </dxf>
    <dxf>
      <font>
        <color rgb="FFFF0000"/>
      </font>
    </dxf>
    <dxf>
      <font>
        <color theme="0"/>
      </font>
    </dxf>
    <dxf>
      <font>
        <color theme="0"/>
      </font>
    </dxf>
    <dxf>
      <font>
        <color theme="0"/>
      </font>
    </dxf>
    <dxf>
      <font>
        <color theme="0"/>
      </font>
    </dxf>
    <dxf>
      <font>
        <color rgb="FFFF0000"/>
      </font>
    </dxf>
    <dxf>
      <font>
        <color theme="0"/>
      </font>
    </dxf>
    <dxf>
      <font>
        <color theme="0"/>
      </font>
    </dxf>
    <dxf>
      <font>
        <color theme="0"/>
      </font>
    </dxf>
    <dxf>
      <font>
        <color theme="0"/>
      </font>
    </dxf>
    <dxf>
      <font>
        <color theme="0"/>
      </font>
    </dxf>
    <dxf>
      <font>
        <color theme="0"/>
      </font>
    </dxf>
    <dxf>
      <font>
        <color rgb="FFFF0000"/>
      </font>
    </dxf>
    <dxf>
      <font>
        <color theme="0"/>
      </font>
    </dxf>
    <dxf>
      <font>
        <color rgb="FFFF0000"/>
      </font>
    </dxf>
    <dxf>
      <font>
        <color rgb="FFFF0000"/>
      </font>
    </dxf>
    <dxf>
      <font>
        <color rgb="FFFF000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dxf>
    <dxf>
      <font>
        <color theme="0"/>
      </font>
    </dxf>
    <dxf>
      <font>
        <color theme="0" tint="-0.14996795556505021"/>
      </font>
    </dxf>
  </dxfs>
  <tableStyles count="0" defaultTableStyle="TableStyleMedium9" defaultPivotStyle="PivotStyleLight16"/>
  <colors>
    <mruColors>
      <color rgb="FFFEF4EC"/>
      <color rgb="FFFFFFCC"/>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F31"/>
  <sheetViews>
    <sheetView showGridLines="0" showRowColHeaders="0" tabSelected="1" zoomScale="69" zoomScaleNormal="69" zoomScaleSheetLayoutView="80" workbookViewId="0">
      <pane xSplit="5" topLeftCell="F1" activePane="topRight" state="frozen"/>
      <selection pane="topRight" activeCell="I14" sqref="I14"/>
    </sheetView>
  </sheetViews>
  <sheetFormatPr defaultColWidth="9" defaultRowHeight="33.75" customHeight="1"/>
  <cols>
    <col min="1" max="1" width="2.36328125" style="20" customWidth="1"/>
    <col min="2" max="2" width="13.453125" style="20" customWidth="1"/>
    <col min="3" max="3" width="10.26953125" style="20" hidden="1" customWidth="1"/>
    <col min="4" max="4" width="14.1796875" style="20" customWidth="1"/>
    <col min="5" max="5" width="13.7265625" style="20" customWidth="1"/>
    <col min="6" max="6" width="11.08984375" style="20" bestFit="1" customWidth="1"/>
    <col min="7" max="8" width="8.7265625" style="20" customWidth="1"/>
    <col min="9" max="9" width="16.36328125" style="20" customWidth="1"/>
    <col min="10" max="10" width="17" style="20" customWidth="1"/>
    <col min="11" max="11" width="20.36328125" style="20" customWidth="1"/>
    <col min="12" max="12" width="9" style="20" customWidth="1"/>
    <col min="13" max="13" width="12.453125" style="20" customWidth="1"/>
    <col min="14" max="14" width="13.08984375" style="20" customWidth="1"/>
    <col min="15" max="15" width="14.7265625" style="20" customWidth="1"/>
    <col min="16" max="16" width="16.7265625" style="20" customWidth="1"/>
    <col min="17" max="20" width="9.36328125" style="20" customWidth="1"/>
    <col min="21" max="21" width="11.26953125" style="20" customWidth="1"/>
    <col min="22" max="22" width="10.1796875" style="20" customWidth="1"/>
    <col min="23" max="23" width="15" style="20" customWidth="1"/>
    <col min="24" max="24" width="18.81640625" style="20" customWidth="1"/>
    <col min="25" max="28" width="9.36328125" style="20" customWidth="1"/>
    <col min="29" max="29" width="19.81640625" style="20" customWidth="1"/>
    <col min="30" max="30" width="5.6328125" style="20" customWidth="1"/>
    <col min="31" max="31" width="14.08984375" style="20" customWidth="1"/>
    <col min="32" max="32" width="15.7265625" style="20" customWidth="1"/>
    <col min="33" max="33" width="9" style="20" customWidth="1"/>
    <col min="34" max="16384" width="9" style="20"/>
  </cols>
  <sheetData>
    <row r="1" spans="2:32" ht="20" customHeight="1" thickBot="1"/>
    <row r="2" spans="2:32" ht="68.5" customHeight="1" thickBot="1">
      <c r="B2" s="129" t="s">
        <v>63</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1"/>
      <c r="AE2" s="21"/>
      <c r="AF2" s="22"/>
    </row>
    <row r="3" spans="2:32" ht="18.5" customHeight="1">
      <c r="B3" s="23"/>
      <c r="C3" s="23"/>
      <c r="D3" s="23"/>
      <c r="E3" s="23"/>
      <c r="F3" s="23"/>
      <c r="G3" s="23"/>
      <c r="H3" s="23"/>
      <c r="I3" s="23"/>
      <c r="J3" s="23"/>
      <c r="K3" s="23"/>
      <c r="L3" s="23"/>
      <c r="M3" s="23"/>
      <c r="N3" s="23"/>
      <c r="O3" s="23"/>
      <c r="P3" s="23"/>
      <c r="Q3" s="23"/>
      <c r="R3" s="23"/>
      <c r="S3" s="23"/>
      <c r="T3" s="23"/>
      <c r="V3" s="23"/>
      <c r="W3" s="23"/>
      <c r="X3" s="23"/>
      <c r="Y3" s="23"/>
      <c r="Z3" s="23"/>
      <c r="AA3" s="23"/>
      <c r="AB3" s="23"/>
      <c r="AC3" s="23"/>
      <c r="AE3" s="21"/>
      <c r="AF3" s="22"/>
    </row>
    <row r="4" spans="2:32" ht="28" customHeight="1">
      <c r="B4" s="24" t="s">
        <v>41</v>
      </c>
      <c r="C4" s="25"/>
      <c r="D4" s="25"/>
      <c r="J4" s="26"/>
      <c r="K4" s="26"/>
      <c r="L4" s="26"/>
      <c r="M4" s="26"/>
      <c r="P4" s="136" t="s">
        <v>39</v>
      </c>
      <c r="Q4" s="136"/>
      <c r="R4" s="150" t="s">
        <v>64</v>
      </c>
      <c r="S4" s="151"/>
      <c r="U4" s="26"/>
      <c r="AE4" s="27"/>
      <c r="AF4" s="27"/>
    </row>
    <row r="5" spans="2:32" ht="18.5" customHeight="1">
      <c r="B5" s="28"/>
      <c r="C5" s="29"/>
      <c r="D5" s="29"/>
      <c r="M5" s="26"/>
      <c r="U5" s="152" t="s">
        <v>51</v>
      </c>
      <c r="V5" s="153"/>
      <c r="W5" s="153"/>
      <c r="X5" s="153"/>
      <c r="Y5" s="153"/>
      <c r="Z5" s="153"/>
      <c r="AA5" s="153"/>
      <c r="AB5" s="153"/>
      <c r="AC5" s="154"/>
    </row>
    <row r="6" spans="2:32" ht="33.75" customHeight="1">
      <c r="B6" s="137" t="s">
        <v>6</v>
      </c>
      <c r="C6" s="139" t="s">
        <v>8</v>
      </c>
      <c r="D6" s="139" t="s">
        <v>5</v>
      </c>
      <c r="E6" s="141" t="s">
        <v>23</v>
      </c>
      <c r="F6" s="30" t="s">
        <v>15</v>
      </c>
      <c r="G6" s="143" t="s">
        <v>47</v>
      </c>
      <c r="H6" s="143"/>
      <c r="I6" s="143"/>
      <c r="J6" s="143"/>
      <c r="K6" s="143"/>
      <c r="L6" s="132" t="s">
        <v>17</v>
      </c>
      <c r="M6" s="160" t="s">
        <v>18</v>
      </c>
      <c r="N6" s="134"/>
      <c r="O6" s="134"/>
      <c r="P6" s="135"/>
      <c r="Q6" s="161" t="s">
        <v>14</v>
      </c>
      <c r="R6" s="134"/>
      <c r="S6" s="134"/>
      <c r="T6" s="162"/>
      <c r="U6" s="134" t="s">
        <v>18</v>
      </c>
      <c r="V6" s="134"/>
      <c r="W6" s="134"/>
      <c r="X6" s="135"/>
      <c r="Y6" s="134" t="s">
        <v>14</v>
      </c>
      <c r="Z6" s="134"/>
      <c r="AA6" s="134"/>
      <c r="AB6" s="135"/>
      <c r="AC6" s="164" t="s">
        <v>50</v>
      </c>
      <c r="AD6" s="31"/>
      <c r="AE6" s="32" t="s">
        <v>42</v>
      </c>
      <c r="AF6" s="69">
        <v>10030</v>
      </c>
    </row>
    <row r="7" spans="2:32" ht="33.75" customHeight="1">
      <c r="B7" s="138"/>
      <c r="C7" s="140"/>
      <c r="D7" s="140"/>
      <c r="E7" s="142"/>
      <c r="F7" s="34" t="s">
        <v>4</v>
      </c>
      <c r="G7" s="34" t="s">
        <v>3</v>
      </c>
      <c r="H7" s="34" t="s">
        <v>2</v>
      </c>
      <c r="I7" s="33" t="s">
        <v>52</v>
      </c>
      <c r="J7" s="33" t="s">
        <v>59</v>
      </c>
      <c r="K7" s="33" t="s">
        <v>60</v>
      </c>
      <c r="L7" s="133"/>
      <c r="M7" s="35" t="s">
        <v>35</v>
      </c>
      <c r="N7" s="36" t="s">
        <v>46</v>
      </c>
      <c r="O7" s="37" t="s">
        <v>53</v>
      </c>
      <c r="P7" s="38" t="s">
        <v>54</v>
      </c>
      <c r="Q7" s="39" t="s">
        <v>1</v>
      </c>
      <c r="R7" s="40" t="s">
        <v>7</v>
      </c>
      <c r="S7" s="41" t="s">
        <v>36</v>
      </c>
      <c r="T7" s="42" t="s">
        <v>38</v>
      </c>
      <c r="U7" s="43" t="s">
        <v>35</v>
      </c>
      <c r="V7" s="36" t="s">
        <v>46</v>
      </c>
      <c r="W7" s="37" t="s">
        <v>53</v>
      </c>
      <c r="X7" s="38" t="s">
        <v>54</v>
      </c>
      <c r="Y7" s="44" t="s">
        <v>1</v>
      </c>
      <c r="Z7" s="40" t="s">
        <v>7</v>
      </c>
      <c r="AA7" s="41" t="s">
        <v>36</v>
      </c>
      <c r="AB7" s="45" t="s">
        <v>38</v>
      </c>
      <c r="AC7" s="165"/>
      <c r="AD7" s="46"/>
      <c r="AE7" s="47" t="s">
        <v>13</v>
      </c>
      <c r="AF7" s="70">
        <v>2096270</v>
      </c>
    </row>
    <row r="8" spans="2:32" ht="21.5" customHeight="1">
      <c r="B8" s="82" t="s">
        <v>55</v>
      </c>
      <c r="C8" s="144"/>
      <c r="D8" s="86">
        <v>45658</v>
      </c>
      <c r="E8" s="88">
        <v>6000000</v>
      </c>
      <c r="F8" s="90">
        <f>IFERROR((E8)/L8,0)</f>
        <v>23255.81395348837</v>
      </c>
      <c r="G8" s="92">
        <f>IF(E8=0,0,ROUND((8*5)*(365/12/7),0))</f>
        <v>174</v>
      </c>
      <c r="H8" s="92">
        <f>IF(E8=0,0,ROUND(8*365/12/7,0))</f>
        <v>35</v>
      </c>
      <c r="I8" s="48">
        <v>5</v>
      </c>
      <c r="J8" s="49">
        <v>8</v>
      </c>
      <c r="K8" s="49">
        <v>2</v>
      </c>
      <c r="L8" s="94">
        <f>G8+H8+I9+J9+K9</f>
        <v>258</v>
      </c>
      <c r="M8" s="244">
        <f>IF(F8=0,0,F8*(G8+H8)-(Q8+R8+S8+T8))</f>
        <v>4260465.1162790693</v>
      </c>
      <c r="N8" s="245">
        <f>F8*I9</f>
        <v>767441.86046511622</v>
      </c>
      <c r="O8" s="245">
        <f>F8*J9</f>
        <v>279069.76744186046</v>
      </c>
      <c r="P8" s="246">
        <f>F8*K9</f>
        <v>93023.255813953481</v>
      </c>
      <c r="Q8" s="148">
        <v>200000</v>
      </c>
      <c r="R8" s="97">
        <v>200000</v>
      </c>
      <c r="S8" s="97">
        <v>200000</v>
      </c>
      <c r="T8" s="99"/>
      <c r="U8" s="256">
        <f>IF(F8=0,0,MAX(최저월급여환산액-(Y8+Z8+AA8+AB8),F8*(G8+H8)-(Y8+Z8+AA8+AB8)))</f>
        <v>4260465.1162790693</v>
      </c>
      <c r="V8" s="245">
        <f>IF(U8&lt;최저월급여환산액-(Y8+Z8+AA8+AB8-최저월급여환산액*1%),최저시급*I9,F8*I9)</f>
        <v>767441.86046511622</v>
      </c>
      <c r="W8" s="245">
        <f>F8*J9</f>
        <v>279069.76744186046</v>
      </c>
      <c r="X8" s="246">
        <f>F8*K9</f>
        <v>93023.255813953481</v>
      </c>
      <c r="Y8" s="257">
        <f>Q8</f>
        <v>200000</v>
      </c>
      <c r="Z8" s="251">
        <f>R8</f>
        <v>200000</v>
      </c>
      <c r="AA8" s="251">
        <f>S8</f>
        <v>200000</v>
      </c>
      <c r="AB8" s="258">
        <f>T8</f>
        <v>0</v>
      </c>
      <c r="AC8" s="259">
        <f>SUM(U8:AB9)</f>
        <v>5999999.9999999991</v>
      </c>
      <c r="AD8" s="50"/>
    </row>
    <row r="9" spans="2:32" ht="21.5" customHeight="1">
      <c r="B9" s="83"/>
      <c r="C9" s="145"/>
      <c r="D9" s="87"/>
      <c r="E9" s="89"/>
      <c r="F9" s="91"/>
      <c r="G9" s="93"/>
      <c r="H9" s="93"/>
      <c r="I9" s="73">
        <f>ROUND(I8*(365/12/7)*IF($R$4="5인 이상",1.5,1),0)</f>
        <v>33</v>
      </c>
      <c r="J9" s="73">
        <f>ROUND(J8*IF($R$4="5인 이상",1.5,1),0)</f>
        <v>12</v>
      </c>
      <c r="K9" s="73">
        <f>ROUND(K8*IF($R$4="5인 이상",1.5,1)+K8*IF($R$4="5인 이상",0.5,1),0)</f>
        <v>4</v>
      </c>
      <c r="L9" s="95"/>
      <c r="M9" s="247"/>
      <c r="N9" s="248"/>
      <c r="O9" s="248"/>
      <c r="P9" s="249"/>
      <c r="Q9" s="149"/>
      <c r="R9" s="98"/>
      <c r="S9" s="98"/>
      <c r="T9" s="100"/>
      <c r="U9" s="260"/>
      <c r="V9" s="248"/>
      <c r="W9" s="248"/>
      <c r="X9" s="249"/>
      <c r="Y9" s="261"/>
      <c r="Z9" s="262"/>
      <c r="AA9" s="262"/>
      <c r="AB9" s="263"/>
      <c r="AC9" s="259"/>
      <c r="AD9" s="50"/>
    </row>
    <row r="10" spans="2:32" ht="21.5" customHeight="1">
      <c r="B10" s="82" t="s">
        <v>43</v>
      </c>
      <c r="C10" s="84"/>
      <c r="D10" s="86">
        <v>45658</v>
      </c>
      <c r="E10" s="88">
        <v>2200000</v>
      </c>
      <c r="F10" s="90">
        <f t="shared" ref="F10" si="0">IFERROR((E10)/L10,0)</f>
        <v>10526.315789473685</v>
      </c>
      <c r="G10" s="92">
        <f t="shared" ref="G10" si="1">IF(E10=0,0,ROUND((8*5)*(365/12/7),0))</f>
        <v>174</v>
      </c>
      <c r="H10" s="92">
        <f t="shared" ref="H10" si="2">IF(E10=0,0,ROUND(8*365/12/7,0))</f>
        <v>35</v>
      </c>
      <c r="I10" s="48"/>
      <c r="J10" s="49"/>
      <c r="K10" s="49"/>
      <c r="L10" s="94">
        <f>G10+H10+I11+J11+K11</f>
        <v>209</v>
      </c>
      <c r="M10" s="244">
        <f t="shared" ref="M10" si="3">IF(F10=0,0,F10*(G10+H10)-(Q10+R10+S10+T10))</f>
        <v>2000000</v>
      </c>
      <c r="N10" s="245">
        <f t="shared" ref="N10" si="4">F10*I11</f>
        <v>0</v>
      </c>
      <c r="O10" s="245">
        <f t="shared" ref="O10" si="5">F10*J11</f>
        <v>0</v>
      </c>
      <c r="P10" s="246">
        <f t="shared" ref="P10" si="6">F10*K11</f>
        <v>0</v>
      </c>
      <c r="Q10" s="148">
        <v>200000</v>
      </c>
      <c r="R10" s="97"/>
      <c r="S10" s="97"/>
      <c r="T10" s="99"/>
      <c r="U10" s="256">
        <f>IF(F10=0,0,MAX(최저월급여환산액-(Y10+Z10+AA10+AB10),F10*(G10+H10)-(Y10+Z10+AA10+AB10)))</f>
        <v>2000000</v>
      </c>
      <c r="V10" s="245">
        <f>IF(U10&lt;최저월급여환산액-(Y10+Z10+AA10+AB10-최저월급여환산액*1%),최저시급*I11,F10*I11)</f>
        <v>0</v>
      </c>
      <c r="W10" s="245">
        <f>F10*J11</f>
        <v>0</v>
      </c>
      <c r="X10" s="246">
        <f>F10*K11</f>
        <v>0</v>
      </c>
      <c r="Y10" s="257">
        <f t="shared" ref="Y10" si="7">Q10</f>
        <v>200000</v>
      </c>
      <c r="Z10" s="264">
        <f t="shared" ref="Z10" si="8">R10</f>
        <v>0</v>
      </c>
      <c r="AA10" s="264">
        <f t="shared" ref="AA10" si="9">S10</f>
        <v>0</v>
      </c>
      <c r="AB10" s="258">
        <f t="shared" ref="AB10" si="10">T10</f>
        <v>0</v>
      </c>
      <c r="AC10" s="259">
        <f>SUM(U10:AB11)</f>
        <v>2200000</v>
      </c>
      <c r="AD10" s="50"/>
    </row>
    <row r="11" spans="2:32" ht="21.5" customHeight="1">
      <c r="B11" s="83"/>
      <c r="C11" s="85"/>
      <c r="D11" s="87"/>
      <c r="E11" s="89"/>
      <c r="F11" s="91"/>
      <c r="G11" s="93"/>
      <c r="H11" s="93"/>
      <c r="I11" s="74">
        <f>ROUND(I10*(365/12/7)*IF($R$4="5인 이상",1.5,1),0)</f>
        <v>0</v>
      </c>
      <c r="J11" s="74">
        <f>ROUND(J10*IF($R$4="5인 이상",1.5,1),0)</f>
        <v>0</v>
      </c>
      <c r="K11" s="73">
        <f>ROUND(K10*IF($R$4="5인 이상",1.5,1)+K10*IF($R$4="5인 이상",0.5,1),0)</f>
        <v>0</v>
      </c>
      <c r="L11" s="95"/>
      <c r="M11" s="247"/>
      <c r="N11" s="248"/>
      <c r="O11" s="248"/>
      <c r="P11" s="249"/>
      <c r="Q11" s="149"/>
      <c r="R11" s="98"/>
      <c r="S11" s="98"/>
      <c r="T11" s="100"/>
      <c r="U11" s="260"/>
      <c r="V11" s="248"/>
      <c r="W11" s="248"/>
      <c r="X11" s="249"/>
      <c r="Y11" s="261"/>
      <c r="Z11" s="265"/>
      <c r="AA11" s="265"/>
      <c r="AB11" s="263"/>
      <c r="AC11" s="259"/>
      <c r="AD11" s="50"/>
    </row>
    <row r="12" spans="2:32" ht="21.5" customHeight="1">
      <c r="B12" s="82"/>
      <c r="C12" s="84"/>
      <c r="D12" s="121"/>
      <c r="E12" s="88"/>
      <c r="F12" s="90">
        <f t="shared" ref="F12:F14" si="11">IFERROR((E12)/L12,0)</f>
        <v>0</v>
      </c>
      <c r="G12" s="92">
        <f t="shared" ref="G12" si="12">IF(E12=0,0,ROUND((8*5)*(365/12/7),0))</f>
        <v>0</v>
      </c>
      <c r="H12" s="92">
        <f t="shared" ref="H12" si="13">IF(E12=0,0,ROUND(8*365/12/7,0))</f>
        <v>0</v>
      </c>
      <c r="I12" s="48"/>
      <c r="J12" s="49"/>
      <c r="K12" s="49"/>
      <c r="L12" s="202">
        <f>G12+H12+I13+J13+K13</f>
        <v>0</v>
      </c>
      <c r="M12" s="250">
        <f t="shared" ref="M12" si="14">IF(F12=0,0,F12*(G12+H12)-(Q12+R12+S12+T12))</f>
        <v>0</v>
      </c>
      <c r="N12" s="251">
        <f t="shared" ref="N12" si="15">F12*I13</f>
        <v>0</v>
      </c>
      <c r="O12" s="251">
        <f t="shared" ref="O12" si="16">F12*J13</f>
        <v>0</v>
      </c>
      <c r="P12" s="252">
        <f t="shared" ref="P12" si="17">F12*K13</f>
        <v>0</v>
      </c>
      <c r="Q12" s="148"/>
      <c r="R12" s="97"/>
      <c r="S12" s="97"/>
      <c r="T12" s="99"/>
      <c r="U12" s="256">
        <f>IF(F12=0,0,MAX(최저월급여환산액-(Y12+Z12+AA12+AB12),F12*(G12+H12)-(Y12+Z12+AA12+AB12)))</f>
        <v>0</v>
      </c>
      <c r="V12" s="245">
        <f>IF(U12&lt;최저월급여환산액-(Y12+Z12+AA12+AB12-최저월급여환산액*1%),최저시급*I13,F12*I13)</f>
        <v>0</v>
      </c>
      <c r="W12" s="245">
        <f>F12*J13</f>
        <v>0</v>
      </c>
      <c r="X12" s="246">
        <f>F12*K13</f>
        <v>0</v>
      </c>
      <c r="Y12" s="257">
        <f t="shared" ref="Y12" si="18">Q12</f>
        <v>0</v>
      </c>
      <c r="Z12" s="264">
        <f t="shared" ref="Z12" si="19">R12</f>
        <v>0</v>
      </c>
      <c r="AA12" s="264">
        <f t="shared" ref="AA12" si="20">S12</f>
        <v>0</v>
      </c>
      <c r="AB12" s="258">
        <f t="shared" ref="AB12" si="21">T12</f>
        <v>0</v>
      </c>
      <c r="AC12" s="259">
        <f>SUM(U12:AB13)</f>
        <v>0</v>
      </c>
      <c r="AD12" s="50"/>
    </row>
    <row r="13" spans="2:32" ht="21.5" customHeight="1">
      <c r="B13" s="120"/>
      <c r="C13" s="85"/>
      <c r="D13" s="122"/>
      <c r="E13" s="123"/>
      <c r="F13" s="124"/>
      <c r="G13" s="125"/>
      <c r="H13" s="125"/>
      <c r="I13" s="75">
        <f>ROUND(I12*(365/12/7)*IF($R$4="5인 이상",1.5,1),0)</f>
        <v>0</v>
      </c>
      <c r="J13" s="75">
        <f>ROUND(J12*IF($R$4="5인 이상",1.5,1),0)</f>
        <v>0</v>
      </c>
      <c r="K13" s="76">
        <f>ROUND(K12*IF($R$4="5인 이상",1.5,1)+K12*IF($R$4="5인 이상",0.5,1),0)</f>
        <v>0</v>
      </c>
      <c r="L13" s="203"/>
      <c r="M13" s="253"/>
      <c r="N13" s="254"/>
      <c r="O13" s="254"/>
      <c r="P13" s="255"/>
      <c r="Q13" s="166"/>
      <c r="R13" s="167"/>
      <c r="S13" s="167"/>
      <c r="T13" s="168"/>
      <c r="U13" s="260"/>
      <c r="V13" s="248"/>
      <c r="W13" s="266"/>
      <c r="X13" s="267"/>
      <c r="Y13" s="261"/>
      <c r="Z13" s="265"/>
      <c r="AA13" s="265"/>
      <c r="AB13" s="263"/>
      <c r="AC13" s="268"/>
      <c r="AD13" s="50"/>
    </row>
    <row r="14" spans="2:32" ht="21.5" customHeight="1">
      <c r="B14" s="82"/>
      <c r="C14" s="84"/>
      <c r="D14" s="121"/>
      <c r="E14" s="88"/>
      <c r="F14" s="90">
        <f t="shared" si="11"/>
        <v>0</v>
      </c>
      <c r="G14" s="92">
        <f t="shared" ref="G14" si="22">IF(E14=0,0,ROUND((8*5)*(365/12/7),0))</f>
        <v>0</v>
      </c>
      <c r="H14" s="92">
        <f t="shared" ref="H14" si="23">IF(E14=0,0,ROUND(8*365/12/7,0))</f>
        <v>0</v>
      </c>
      <c r="I14" s="48"/>
      <c r="J14" s="49"/>
      <c r="K14" s="49"/>
      <c r="L14" s="202">
        <f>G14+H14+I15+J15+K15</f>
        <v>0</v>
      </c>
      <c r="M14" s="250">
        <f t="shared" ref="M14" si="24">IF(F14=0,0,F14*(G14+H14)-(Q14+R14+S14+T14))</f>
        <v>0</v>
      </c>
      <c r="N14" s="251">
        <f t="shared" ref="N14" si="25">F14*I15</f>
        <v>0</v>
      </c>
      <c r="O14" s="251">
        <f t="shared" ref="O14" si="26">F14*J15</f>
        <v>0</v>
      </c>
      <c r="P14" s="252">
        <f t="shared" ref="P14" si="27">F14*K15</f>
        <v>0</v>
      </c>
      <c r="Q14" s="148"/>
      <c r="R14" s="97"/>
      <c r="S14" s="97"/>
      <c r="T14" s="99"/>
      <c r="U14" s="256">
        <f>IF(F14=0,0,MAX(최저월급여환산액-(Y14+Z14+AA14+AB14),F14*(G14+H14)-(Y14+Z14+AA14+AB14)))</f>
        <v>0</v>
      </c>
      <c r="V14" s="245">
        <f>IF(U14&lt;최저월급여환산액-(Y14+Z14+AA14+AB14-최저월급여환산액*1%),최저시급*I15,F14*I15)</f>
        <v>0</v>
      </c>
      <c r="W14" s="245">
        <f>F14*J15</f>
        <v>0</v>
      </c>
      <c r="X14" s="246">
        <f>F14*K15</f>
        <v>0</v>
      </c>
      <c r="Y14" s="257">
        <f t="shared" ref="Y14" si="28">Q14</f>
        <v>0</v>
      </c>
      <c r="Z14" s="264">
        <f t="shared" ref="Z14" si="29">R14</f>
        <v>0</v>
      </c>
      <c r="AA14" s="264">
        <f t="shared" ref="AA14" si="30">S14</f>
        <v>0</v>
      </c>
      <c r="AB14" s="258">
        <f t="shared" ref="AB14" si="31">T14</f>
        <v>0</v>
      </c>
      <c r="AC14" s="259">
        <f>SUM(U14:AB15)</f>
        <v>0</v>
      </c>
      <c r="AD14" s="50"/>
    </row>
    <row r="15" spans="2:32" ht="21.5" customHeight="1">
      <c r="B15" s="120"/>
      <c r="C15" s="85"/>
      <c r="D15" s="122"/>
      <c r="E15" s="123"/>
      <c r="F15" s="124"/>
      <c r="G15" s="125"/>
      <c r="H15" s="125"/>
      <c r="I15" s="75">
        <f>ROUND(I14*(365/12/7)*IF($R$4="5인 이상",1.5,1),0)</f>
        <v>0</v>
      </c>
      <c r="J15" s="75">
        <f>ROUND(J14*IF($R$4="5인 이상",1.5,1),0)</f>
        <v>0</v>
      </c>
      <c r="K15" s="76">
        <f>ROUND(K14*IF($R$4="5인 이상",1.5,1)+K14*IF($R$4="5인 이상",0.5,1),0)</f>
        <v>0</v>
      </c>
      <c r="L15" s="203"/>
      <c r="M15" s="253"/>
      <c r="N15" s="254"/>
      <c r="O15" s="254"/>
      <c r="P15" s="255"/>
      <c r="Q15" s="166"/>
      <c r="R15" s="167"/>
      <c r="S15" s="167"/>
      <c r="T15" s="168"/>
      <c r="U15" s="260"/>
      <c r="V15" s="248"/>
      <c r="W15" s="266"/>
      <c r="X15" s="267"/>
      <c r="Y15" s="261"/>
      <c r="Z15" s="265"/>
      <c r="AA15" s="265"/>
      <c r="AB15" s="263"/>
      <c r="AC15" s="268"/>
      <c r="AD15" s="50"/>
    </row>
    <row r="16" spans="2:32" ht="21.5" customHeight="1">
      <c r="B16" s="269" t="s">
        <v>65</v>
      </c>
      <c r="C16" s="270"/>
      <c r="D16" s="271"/>
      <c r="E16" s="127">
        <f>최저시급*209</f>
        <v>2096270</v>
      </c>
      <c r="F16" s="272">
        <f>AF6</f>
        <v>10030</v>
      </c>
      <c r="G16" s="273">
        <f>ROUND((8*5)*(365/12/7),0)</f>
        <v>174</v>
      </c>
      <c r="H16" s="273">
        <f>ROUND(8*365/12/7,0)</f>
        <v>35</v>
      </c>
      <c r="I16" s="274"/>
      <c r="J16" s="275"/>
      <c r="K16" s="275"/>
      <c r="L16" s="276">
        <f>G16+H16+I17+J17+K17</f>
        <v>209</v>
      </c>
      <c r="M16" s="277">
        <f t="shared" ref="M16" si="32">IF(F16=0,0,F16*(G16+H16)-(Q16+R16+S16+T16))</f>
        <v>1896270</v>
      </c>
      <c r="N16" s="278">
        <f t="shared" ref="N16" si="33">F16*I17</f>
        <v>0</v>
      </c>
      <c r="O16" s="278">
        <f t="shared" ref="O16" si="34">F16*J17</f>
        <v>0</v>
      </c>
      <c r="P16" s="279">
        <f t="shared" ref="P16" si="35">F16*K17</f>
        <v>0</v>
      </c>
      <c r="Q16" s="280">
        <v>200000</v>
      </c>
      <c r="R16" s="281"/>
      <c r="S16" s="281"/>
      <c r="T16" s="282"/>
      <c r="U16" s="283">
        <f>최저월급여환산액-(Y16+Z16+AA16+AB16)</f>
        <v>1896270</v>
      </c>
      <c r="V16" s="284"/>
      <c r="W16" s="284"/>
      <c r="X16" s="285"/>
      <c r="Y16" s="286">
        <v>200000</v>
      </c>
      <c r="Z16" s="281"/>
      <c r="AA16" s="281"/>
      <c r="AB16" s="287"/>
      <c r="AC16" s="288">
        <f>SUM(U16:AB17)</f>
        <v>2096270</v>
      </c>
      <c r="AD16" s="50"/>
    </row>
    <row r="17" spans="2:30" ht="19" customHeight="1">
      <c r="B17" s="289"/>
      <c r="C17" s="290"/>
      <c r="D17" s="291"/>
      <c r="E17" s="128"/>
      <c r="F17" s="292"/>
      <c r="G17" s="293"/>
      <c r="H17" s="293"/>
      <c r="I17" s="294"/>
      <c r="J17" s="294"/>
      <c r="K17" s="294"/>
      <c r="L17" s="295"/>
      <c r="M17" s="296"/>
      <c r="N17" s="297"/>
      <c r="O17" s="297"/>
      <c r="P17" s="298"/>
      <c r="Q17" s="299"/>
      <c r="R17" s="300"/>
      <c r="S17" s="300"/>
      <c r="T17" s="301"/>
      <c r="U17" s="302"/>
      <c r="V17" s="303"/>
      <c r="W17" s="303"/>
      <c r="X17" s="304"/>
      <c r="Y17" s="305"/>
      <c r="Z17" s="300"/>
      <c r="AA17" s="300"/>
      <c r="AB17" s="306"/>
      <c r="AC17" s="307"/>
      <c r="AD17" s="50"/>
    </row>
    <row r="18" spans="2:30" s="53" customFormat="1" ht="33.75" customHeight="1">
      <c r="B18" s="308" t="s">
        <v>0</v>
      </c>
      <c r="C18" s="309"/>
      <c r="D18" s="309"/>
      <c r="E18" s="65">
        <f>SUM(E8:E15)</f>
        <v>8200000</v>
      </c>
      <c r="F18" s="65"/>
      <c r="G18" s="310"/>
      <c r="H18" s="310"/>
      <c r="I18" s="310"/>
      <c r="J18" s="310"/>
      <c r="K18" s="310"/>
      <c r="L18" s="311"/>
      <c r="M18" s="312">
        <f>SUM(M8:M15)</f>
        <v>6260465.1162790693</v>
      </c>
      <c r="N18" s="313">
        <f>SUM(N8:N15)</f>
        <v>767441.86046511622</v>
      </c>
      <c r="O18" s="313">
        <f t="shared" ref="O18:S18" si="36">SUM(O8:O15)</f>
        <v>279069.76744186046</v>
      </c>
      <c r="P18" s="314">
        <f t="shared" si="36"/>
        <v>93023.255813953481</v>
      </c>
      <c r="Q18" s="315">
        <f t="shared" si="36"/>
        <v>400000</v>
      </c>
      <c r="R18" s="313">
        <f t="shared" si="36"/>
        <v>200000</v>
      </c>
      <c r="S18" s="313">
        <f t="shared" si="36"/>
        <v>200000</v>
      </c>
      <c r="T18" s="316">
        <f>SUM(T8:T15)</f>
        <v>0</v>
      </c>
      <c r="U18" s="315">
        <f>SUM(U8:U15)</f>
        <v>6260465.1162790693</v>
      </c>
      <c r="V18" s="313">
        <f>SUM(V8:V15)</f>
        <v>767441.86046511622</v>
      </c>
      <c r="W18" s="313">
        <f t="shared" ref="W18:AA18" si="37">SUM(W8:W15)</f>
        <v>279069.76744186046</v>
      </c>
      <c r="X18" s="314">
        <f t="shared" si="37"/>
        <v>93023.255813953481</v>
      </c>
      <c r="Y18" s="315">
        <f t="shared" si="37"/>
        <v>400000</v>
      </c>
      <c r="Z18" s="313">
        <f t="shared" si="37"/>
        <v>200000</v>
      </c>
      <c r="AA18" s="313">
        <f t="shared" si="37"/>
        <v>200000</v>
      </c>
      <c r="AB18" s="314">
        <f>SUM(AB8:AB15)</f>
        <v>0</v>
      </c>
      <c r="AC18" s="317">
        <f>SUM(AC8:AC15)</f>
        <v>8199999.9999999991</v>
      </c>
    </row>
    <row r="19" spans="2:30" ht="24.5" customHeight="1">
      <c r="B19" s="54" t="s">
        <v>16</v>
      </c>
      <c r="C19" s="55"/>
      <c r="D19" s="55"/>
      <c r="E19" s="55"/>
      <c r="F19" s="55"/>
      <c r="G19" s="56"/>
      <c r="H19" s="55"/>
      <c r="I19" s="55"/>
      <c r="J19" s="55"/>
      <c r="K19" s="55"/>
      <c r="L19" s="55"/>
      <c r="M19" s="55"/>
      <c r="N19" s="55"/>
      <c r="O19" s="55"/>
      <c r="P19" s="55"/>
      <c r="Q19" s="55"/>
      <c r="R19" s="55"/>
      <c r="S19" s="55"/>
      <c r="T19" s="55"/>
      <c r="U19" s="55"/>
      <c r="V19" s="55"/>
      <c r="W19" s="55"/>
      <c r="X19" s="55"/>
      <c r="Y19" s="55"/>
      <c r="Z19" s="55"/>
      <c r="AA19" s="55"/>
      <c r="AB19" s="55"/>
      <c r="AC19" s="55"/>
    </row>
    <row r="20" spans="2:30" ht="19" customHeight="1">
      <c r="B20" s="54" t="s">
        <v>45</v>
      </c>
      <c r="C20" s="55"/>
      <c r="D20" s="55"/>
      <c r="E20" s="55"/>
      <c r="F20" s="55"/>
      <c r="G20" s="55"/>
      <c r="H20" s="55"/>
      <c r="I20" s="57"/>
      <c r="J20" s="58"/>
      <c r="K20" s="55"/>
      <c r="L20" s="55"/>
      <c r="M20" s="55"/>
      <c r="N20" s="59"/>
      <c r="O20" s="58"/>
      <c r="P20" s="55"/>
      <c r="Q20" s="55"/>
      <c r="R20" s="55"/>
      <c r="S20" s="55"/>
      <c r="T20" s="55"/>
      <c r="U20" s="55"/>
      <c r="V20" s="59"/>
      <c r="W20" s="58"/>
      <c r="X20" s="55"/>
      <c r="Y20" s="55"/>
      <c r="Z20" s="55"/>
      <c r="AA20" s="55"/>
      <c r="AB20" s="55"/>
      <c r="AC20" s="55"/>
    </row>
    <row r="21" spans="2:30" ht="13" customHeight="1">
      <c r="B21" s="54"/>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row>
    <row r="22" spans="2:30" ht="33.75" customHeight="1">
      <c r="B22" s="106" t="s">
        <v>9</v>
      </c>
      <c r="C22" s="107"/>
      <c r="D22" s="107"/>
      <c r="E22" s="107"/>
      <c r="F22" s="107"/>
      <c r="G22" s="101" t="s">
        <v>49</v>
      </c>
      <c r="H22" s="102"/>
      <c r="I22" s="102"/>
      <c r="J22" s="102"/>
      <c r="K22" s="102"/>
      <c r="L22" s="103"/>
      <c r="M22" s="60"/>
      <c r="N22" s="60"/>
      <c r="O22" s="60"/>
      <c r="P22" s="60"/>
      <c r="Q22" s="60"/>
      <c r="R22" s="60"/>
      <c r="S22" s="60"/>
      <c r="T22" s="60"/>
      <c r="U22" s="60"/>
      <c r="V22" s="60"/>
      <c r="W22" s="60"/>
      <c r="X22" s="60"/>
      <c r="Y22" s="60"/>
      <c r="Z22" s="60"/>
      <c r="AA22" s="60"/>
      <c r="AB22" s="60"/>
      <c r="AC22" s="60"/>
    </row>
    <row r="23" spans="2:30" s="62" customFormat="1" ht="76.75" customHeight="1">
      <c r="B23" s="66" t="s">
        <v>10</v>
      </c>
      <c r="C23" s="108" t="s">
        <v>22</v>
      </c>
      <c r="D23" s="109"/>
      <c r="E23" s="109"/>
      <c r="F23" s="109"/>
      <c r="G23" s="113" t="s">
        <v>62</v>
      </c>
      <c r="H23" s="114"/>
      <c r="I23" s="114"/>
      <c r="J23" s="114"/>
      <c r="K23" s="114"/>
      <c r="L23" s="115"/>
      <c r="M23" s="61"/>
      <c r="N23" s="61"/>
      <c r="O23" s="61"/>
      <c r="P23" s="61"/>
      <c r="Q23" s="61"/>
      <c r="R23" s="61"/>
      <c r="S23" s="61"/>
      <c r="T23" s="61"/>
      <c r="U23" s="61"/>
      <c r="V23" s="61"/>
      <c r="W23" s="61"/>
      <c r="X23" s="61"/>
      <c r="Y23" s="61"/>
      <c r="Z23" s="61"/>
      <c r="AA23" s="61"/>
      <c r="AB23" s="61"/>
      <c r="AC23" s="61"/>
    </row>
    <row r="24" spans="2:30" s="62" customFormat="1" ht="72" customHeight="1">
      <c r="B24" s="67" t="s">
        <v>19</v>
      </c>
      <c r="C24" s="119" t="s">
        <v>57</v>
      </c>
      <c r="D24" s="119"/>
      <c r="E24" s="119"/>
      <c r="F24" s="119"/>
      <c r="G24" s="116" t="s">
        <v>58</v>
      </c>
      <c r="H24" s="117"/>
      <c r="I24" s="117"/>
      <c r="J24" s="117"/>
      <c r="K24" s="117"/>
      <c r="L24" s="118"/>
      <c r="M24" s="61"/>
      <c r="N24" s="61"/>
      <c r="O24" s="61"/>
      <c r="P24" s="61"/>
      <c r="Q24" s="61"/>
      <c r="R24" s="61"/>
      <c r="S24" s="61"/>
      <c r="T24" s="61"/>
      <c r="U24" s="61"/>
      <c r="V24" s="61"/>
      <c r="W24" s="61"/>
      <c r="X24" s="61"/>
      <c r="Y24" s="61"/>
      <c r="Z24" s="61"/>
      <c r="AA24" s="61"/>
      <c r="AB24" s="61"/>
      <c r="AC24" s="61"/>
    </row>
    <row r="25" spans="2:30" ht="60" customHeight="1">
      <c r="B25" s="68" t="s">
        <v>20</v>
      </c>
      <c r="C25" s="104" t="s">
        <v>21</v>
      </c>
      <c r="D25" s="105"/>
      <c r="E25" s="105"/>
      <c r="F25" s="105"/>
      <c r="G25" s="110" t="s">
        <v>61</v>
      </c>
      <c r="H25" s="111"/>
      <c r="I25" s="111"/>
      <c r="J25" s="111"/>
      <c r="K25" s="111"/>
      <c r="L25" s="112"/>
      <c r="M25" s="63"/>
      <c r="N25" s="63"/>
      <c r="O25" s="63"/>
      <c r="P25" s="63"/>
      <c r="Q25" s="63"/>
      <c r="R25" s="63"/>
      <c r="S25" s="63"/>
      <c r="T25" s="63"/>
      <c r="U25" s="63"/>
      <c r="V25" s="63"/>
      <c r="W25" s="63"/>
      <c r="X25" s="63"/>
      <c r="Y25" s="63"/>
      <c r="Z25" s="63"/>
      <c r="AA25" s="63"/>
      <c r="AB25" s="63"/>
      <c r="AC25" s="63"/>
    </row>
    <row r="26" spans="2:30" ht="33.75" customHeight="1">
      <c r="B26" s="55"/>
      <c r="C26" s="55"/>
      <c r="D26" s="55"/>
      <c r="E26" s="55"/>
      <c r="F26" s="55"/>
      <c r="G26" s="55"/>
      <c r="H26" s="55"/>
      <c r="I26" s="55"/>
      <c r="J26" s="55"/>
      <c r="K26" s="55"/>
      <c r="L26" s="55"/>
      <c r="M26" s="64"/>
      <c r="N26" s="64"/>
      <c r="O26" s="64"/>
      <c r="P26" s="64"/>
      <c r="Q26" s="64"/>
      <c r="R26" s="64"/>
      <c r="S26" s="64"/>
      <c r="T26" s="64"/>
      <c r="U26" s="64"/>
      <c r="V26" s="64"/>
      <c r="W26" s="64"/>
      <c r="X26" s="64"/>
      <c r="Y26" s="64"/>
      <c r="Z26" s="64"/>
      <c r="AA26" s="64"/>
      <c r="AB26" s="64"/>
      <c r="AC26" s="64"/>
    </row>
    <row r="27" spans="2:30" ht="33.75" customHeight="1">
      <c r="B27" s="55"/>
      <c r="C27" s="55"/>
      <c r="D27" s="55"/>
      <c r="E27" s="55"/>
      <c r="F27" s="55"/>
      <c r="G27" s="55"/>
      <c r="H27" s="55"/>
      <c r="I27" s="55"/>
      <c r="J27" s="55"/>
      <c r="K27" s="55"/>
      <c r="L27" s="55"/>
      <c r="M27" s="64"/>
      <c r="N27" s="64"/>
      <c r="O27" s="64"/>
      <c r="P27" s="64"/>
      <c r="Q27" s="64"/>
      <c r="R27" s="64"/>
      <c r="S27" s="64"/>
      <c r="T27" s="64"/>
      <c r="U27" s="64"/>
      <c r="V27" s="64"/>
      <c r="W27" s="64"/>
      <c r="X27" s="64"/>
      <c r="Y27" s="64"/>
      <c r="Z27" s="64"/>
      <c r="AA27" s="64"/>
      <c r="AB27" s="64"/>
      <c r="AC27" s="64"/>
    </row>
    <row r="28" spans="2:30" ht="33.75" customHeight="1">
      <c r="B28" s="55"/>
      <c r="C28" s="55"/>
      <c r="D28" s="55"/>
      <c r="E28" s="55"/>
      <c r="F28" s="55"/>
      <c r="G28" s="55"/>
      <c r="H28" s="55"/>
      <c r="I28" s="55"/>
      <c r="J28" s="55"/>
      <c r="K28" s="55"/>
      <c r="L28" s="55"/>
      <c r="M28" s="64"/>
      <c r="N28" s="64"/>
      <c r="O28" s="64"/>
      <c r="P28" s="64"/>
      <c r="Q28" s="64"/>
      <c r="R28" s="64"/>
      <c r="S28" s="64"/>
      <c r="T28" s="64"/>
      <c r="U28" s="64"/>
      <c r="V28" s="64"/>
      <c r="W28" s="64"/>
      <c r="X28" s="64"/>
      <c r="Y28" s="64"/>
      <c r="Z28" s="64"/>
      <c r="AA28" s="64"/>
      <c r="AB28" s="64"/>
      <c r="AC28" s="64"/>
    </row>
    <row r="29" spans="2:30" ht="33.75" customHeight="1">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row>
    <row r="30" spans="2:30" ht="33.75" customHeight="1">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row>
    <row r="31" spans="2:30" ht="33.75" customHeight="1">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row>
  </sheetData>
  <sheetProtection algorithmName="SHA-512" hashValue="NeZJQuaRkZy4fe1FX8P0NPF6a748i/wBcean6hNMW+yNPn3gSmm5zM9C8LqXYMKS+ymPFBYbTsWzl7/DLp4CKQ==" saltValue="SUM1jmZDHJk/bVgJO5GcNQ==" spinCount="100000" sheet="1" objects="1" scenarios="1" selectLockedCells="1"/>
  <mergeCells count="146">
    <mergeCell ref="W12:W13"/>
    <mergeCell ref="X12:X13"/>
    <mergeCell ref="Y12:Y13"/>
    <mergeCell ref="Z12:Z13"/>
    <mergeCell ref="AA12:AA13"/>
    <mergeCell ref="AB12:AB13"/>
    <mergeCell ref="AC12:AC13"/>
    <mergeCell ref="N12:N13"/>
    <mergeCell ref="O12:O13"/>
    <mergeCell ref="P12:P13"/>
    <mergeCell ref="Q12:Q13"/>
    <mergeCell ref="R12:R13"/>
    <mergeCell ref="S12:S13"/>
    <mergeCell ref="T12:T13"/>
    <mergeCell ref="U12:U13"/>
    <mergeCell ref="V12:V13"/>
    <mergeCell ref="B12:B13"/>
    <mergeCell ref="C12:C13"/>
    <mergeCell ref="D12:D13"/>
    <mergeCell ref="E12:E13"/>
    <mergeCell ref="F12:F13"/>
    <mergeCell ref="G12:G13"/>
    <mergeCell ref="H12:H13"/>
    <mergeCell ref="L12:L13"/>
    <mergeCell ref="M12:M13"/>
    <mergeCell ref="M6:P6"/>
    <mergeCell ref="Q6:T6"/>
    <mergeCell ref="M8:M9"/>
    <mergeCell ref="N8:N9"/>
    <mergeCell ref="O8:O9"/>
    <mergeCell ref="P8:P9"/>
    <mergeCell ref="AC6:AC7"/>
    <mergeCell ref="M14:M15"/>
    <mergeCell ref="N14:N15"/>
    <mergeCell ref="O14:O15"/>
    <mergeCell ref="P14:P15"/>
    <mergeCell ref="Q14:Q15"/>
    <mergeCell ref="R14:R15"/>
    <mergeCell ref="S14:S15"/>
    <mergeCell ref="T14:T15"/>
    <mergeCell ref="M10:M11"/>
    <mergeCell ref="N10:N11"/>
    <mergeCell ref="O10:O11"/>
    <mergeCell ref="P10:P11"/>
    <mergeCell ref="Q10:Q11"/>
    <mergeCell ref="Y10:Y11"/>
    <mergeCell ref="Z10:Z11"/>
    <mergeCell ref="AA10:AA11"/>
    <mergeCell ref="AB10:AB11"/>
    <mergeCell ref="Y16:Y17"/>
    <mergeCell ref="Z16:Z17"/>
    <mergeCell ref="AA16:AA17"/>
    <mergeCell ref="AB16:AB17"/>
    <mergeCell ref="AC16:AC17"/>
    <mergeCell ref="AB8:AB9"/>
    <mergeCell ref="U8:U9"/>
    <mergeCell ref="V8:V9"/>
    <mergeCell ref="W8:W9"/>
    <mergeCell ref="AC8:AC9"/>
    <mergeCell ref="U14:U15"/>
    <mergeCell ref="V14:V15"/>
    <mergeCell ref="W14:W15"/>
    <mergeCell ref="X14:X15"/>
    <mergeCell ref="Y14:Y15"/>
    <mergeCell ref="Z14:Z15"/>
    <mergeCell ref="AA14:AA15"/>
    <mergeCell ref="AB14:AB15"/>
    <mergeCell ref="AC14:AC15"/>
    <mergeCell ref="AC10:AC11"/>
    <mergeCell ref="V10:V11"/>
    <mergeCell ref="W10:W11"/>
    <mergeCell ref="X10:X11"/>
    <mergeCell ref="X8:X9"/>
    <mergeCell ref="L16:L17"/>
    <mergeCell ref="U16:U17"/>
    <mergeCell ref="V16:V17"/>
    <mergeCell ref="W16:W17"/>
    <mergeCell ref="X16:X17"/>
    <mergeCell ref="M16:M17"/>
    <mergeCell ref="N16:N17"/>
    <mergeCell ref="O16:O17"/>
    <mergeCell ref="P16:P17"/>
    <mergeCell ref="Q16:Q17"/>
    <mergeCell ref="R16:R17"/>
    <mergeCell ref="S16:S17"/>
    <mergeCell ref="T16:T17"/>
    <mergeCell ref="B2:AC2"/>
    <mergeCell ref="B8:B9"/>
    <mergeCell ref="L6:L7"/>
    <mergeCell ref="Y6:AB6"/>
    <mergeCell ref="U6:X6"/>
    <mergeCell ref="P4:Q4"/>
    <mergeCell ref="B6:B7"/>
    <mergeCell ref="C6:C7"/>
    <mergeCell ref="D6:D7"/>
    <mergeCell ref="E6:E7"/>
    <mergeCell ref="G6:K6"/>
    <mergeCell ref="C8:C9"/>
    <mergeCell ref="D8:D9"/>
    <mergeCell ref="E8:E9"/>
    <mergeCell ref="F8:F9"/>
    <mergeCell ref="Y8:Y9"/>
    <mergeCell ref="Z8:Z9"/>
    <mergeCell ref="AA8:AA9"/>
    <mergeCell ref="Q8:Q9"/>
    <mergeCell ref="R8:R9"/>
    <mergeCell ref="S8:S9"/>
    <mergeCell ref="T8:T9"/>
    <mergeCell ref="R4:S4"/>
    <mergeCell ref="U5:AC5"/>
    <mergeCell ref="G22:L22"/>
    <mergeCell ref="C25:F25"/>
    <mergeCell ref="B22:F22"/>
    <mergeCell ref="C23:F23"/>
    <mergeCell ref="G25:L25"/>
    <mergeCell ref="G23:L23"/>
    <mergeCell ref="G24:L24"/>
    <mergeCell ref="C24:F24"/>
    <mergeCell ref="G8:G9"/>
    <mergeCell ref="H8:H9"/>
    <mergeCell ref="L8:L9"/>
    <mergeCell ref="B14:B15"/>
    <mergeCell ref="C14:C15"/>
    <mergeCell ref="D14:D15"/>
    <mergeCell ref="E14:E15"/>
    <mergeCell ref="F14:F15"/>
    <mergeCell ref="G14:G15"/>
    <mergeCell ref="H14:H15"/>
    <mergeCell ref="L14:L15"/>
    <mergeCell ref="B16:D17"/>
    <mergeCell ref="E16:E17"/>
    <mergeCell ref="F16:F17"/>
    <mergeCell ref="G16:G17"/>
    <mergeCell ref="H16:H17"/>
    <mergeCell ref="B10:B11"/>
    <mergeCell ref="C10:C11"/>
    <mergeCell ref="D10:D11"/>
    <mergeCell ref="E10:E11"/>
    <mergeCell ref="F10:F11"/>
    <mergeCell ref="G10:G11"/>
    <mergeCell ref="H10:H11"/>
    <mergeCell ref="L10:L11"/>
    <mergeCell ref="U10:U11"/>
    <mergeCell ref="R10:R11"/>
    <mergeCell ref="S10:S11"/>
    <mergeCell ref="T10:T11"/>
  </mergeCells>
  <phoneticPr fontId="4" type="noConversion"/>
  <conditionalFormatting sqref="C18:AC18">
    <cfRule type="cellIs" dxfId="41" priority="14" operator="equal">
      <formula>0</formula>
    </cfRule>
  </conditionalFormatting>
  <conditionalFormatting sqref="F8:F15">
    <cfRule type="cellIs" dxfId="40" priority="12" operator="equal">
      <formula>0</formula>
    </cfRule>
  </conditionalFormatting>
  <conditionalFormatting sqref="F18:F1048576 F5:F8 F10 F14 F1 F16">
    <cfRule type="cellIs" dxfId="39" priority="28" operator="lessThan">
      <formula>$AF$6</formula>
    </cfRule>
  </conditionalFormatting>
  <conditionalFormatting sqref="G10:H15">
    <cfRule type="cellIs" dxfId="38" priority="7" operator="equal">
      <formula>0</formula>
    </cfRule>
  </conditionalFormatting>
  <conditionalFormatting sqref="I9:K9">
    <cfRule type="cellIs" dxfId="37" priority="25" operator="equal">
      <formula>0</formula>
    </cfRule>
  </conditionalFormatting>
  <conditionalFormatting sqref="I11:K11">
    <cfRule type="cellIs" dxfId="36" priority="10" operator="equal">
      <formula>0</formula>
    </cfRule>
  </conditionalFormatting>
  <conditionalFormatting sqref="I15:K15">
    <cfRule type="cellIs" dxfId="35" priority="8" operator="equal">
      <formula>0</formula>
    </cfRule>
  </conditionalFormatting>
  <conditionalFormatting sqref="I17:K17">
    <cfRule type="cellIs" dxfId="34" priority="15" operator="equal">
      <formula>0</formula>
    </cfRule>
  </conditionalFormatting>
  <conditionalFormatting sqref="L10:L15">
    <cfRule type="cellIs" dxfId="33" priority="6" operator="equal">
      <formula>0</formula>
    </cfRule>
  </conditionalFormatting>
  <conditionalFormatting sqref="M8:P17">
    <cfRule type="cellIs" dxfId="32" priority="5" operator="equal">
      <formula>0</formula>
    </cfRule>
  </conditionalFormatting>
  <conditionalFormatting sqref="U8:AC15">
    <cfRule type="cellIs" dxfId="31" priority="3" operator="equal">
      <formula>0</formula>
    </cfRule>
  </conditionalFormatting>
  <conditionalFormatting sqref="I13:K13">
    <cfRule type="cellIs" dxfId="30" priority="1" operator="equal">
      <formula>0</formula>
    </cfRule>
  </conditionalFormatting>
  <dataValidations count="2">
    <dataValidation type="list" allowBlank="1" showInputMessage="1" showErrorMessage="1" sqref="AF4" xr:uid="{00000000-0002-0000-0000-000000000000}">
      <formula1>"YES, NO"</formula1>
    </dataValidation>
    <dataValidation type="list" allowBlank="1" showInputMessage="1" showErrorMessage="1" sqref="R4" xr:uid="{00000000-0002-0000-0000-000001000000}">
      <formula1>"5인 미만, 5인 이상"</formula1>
    </dataValidation>
  </dataValidations>
  <printOptions horizontalCentered="1"/>
  <pageMargins left="0.19685039370078741" right="0.19685039370078741" top="0.74803149606299213" bottom="0.39370078740157483" header="0.31496062992125984" footer="0.31496062992125984"/>
  <pageSetup paperSize="9" scale="41"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M18"/>
  <sheetViews>
    <sheetView showGridLines="0" showRowColHeaders="0" zoomScale="86" zoomScaleNormal="86" zoomScaleSheetLayoutView="80" workbookViewId="0">
      <selection activeCell="F7" sqref="F7"/>
    </sheetView>
  </sheetViews>
  <sheetFormatPr defaultColWidth="9" defaultRowHeight="33.75" customHeight="1"/>
  <cols>
    <col min="1" max="1" width="4.26953125" style="1" customWidth="1"/>
    <col min="2" max="2" width="13.453125" style="1" customWidth="1"/>
    <col min="3" max="3" width="10.26953125" style="1" bestFit="1" customWidth="1"/>
    <col min="4" max="4" width="13.6328125" style="1" customWidth="1"/>
    <col min="5" max="5" width="10.81640625" style="1" customWidth="1"/>
    <col min="6" max="6" width="9.6328125" style="1" customWidth="1"/>
    <col min="7" max="7" width="13.7265625" style="1" customWidth="1"/>
    <col min="8" max="9" width="8.7265625" style="1" customWidth="1"/>
    <col min="10" max="10" width="10.90625" style="1" customWidth="1"/>
    <col min="11" max="11" width="15.453125" style="1" customWidth="1"/>
    <col min="12" max="16384" width="9" style="1"/>
  </cols>
  <sheetData>
    <row r="1" spans="2:13" ht="20" customHeight="1" thickBot="1"/>
    <row r="2" spans="2:13" ht="68.5" customHeight="1" thickBot="1">
      <c r="B2" s="181" t="s">
        <v>33</v>
      </c>
      <c r="C2" s="182"/>
      <c r="D2" s="182"/>
      <c r="E2" s="182"/>
      <c r="F2" s="182"/>
      <c r="G2" s="182"/>
      <c r="H2" s="182"/>
      <c r="I2" s="182"/>
      <c r="J2" s="182"/>
      <c r="K2" s="183"/>
    </row>
    <row r="3" spans="2:13" ht="52" customHeight="1">
      <c r="B3" s="81" t="s">
        <v>11</v>
      </c>
      <c r="C3" s="29"/>
      <c r="D3" s="29"/>
      <c r="E3" s="2"/>
      <c r="F3" s="2"/>
      <c r="J3" s="3"/>
      <c r="K3" s="3"/>
    </row>
    <row r="4" spans="2:13" ht="35.5" customHeight="1">
      <c r="B4" s="10" t="s">
        <v>32</v>
      </c>
      <c r="C4" s="2"/>
      <c r="D4" s="2"/>
      <c r="E4" s="2"/>
      <c r="F4" s="2"/>
    </row>
    <row r="5" spans="2:13" ht="33.75" customHeight="1">
      <c r="B5" s="198" t="s">
        <v>6</v>
      </c>
      <c r="C5" s="169" t="s">
        <v>26</v>
      </c>
      <c r="D5" s="169" t="s">
        <v>5</v>
      </c>
      <c r="E5" s="186" t="s">
        <v>27</v>
      </c>
      <c r="F5" s="186" t="s">
        <v>28</v>
      </c>
      <c r="G5" s="186" t="s">
        <v>40</v>
      </c>
      <c r="H5" s="169" t="s">
        <v>25</v>
      </c>
      <c r="I5" s="169"/>
      <c r="J5" s="171" t="s">
        <v>12</v>
      </c>
      <c r="K5" s="196" t="s">
        <v>29</v>
      </c>
    </row>
    <row r="6" spans="2:13" ht="33.75" customHeight="1">
      <c r="B6" s="199"/>
      <c r="C6" s="170"/>
      <c r="D6" s="170"/>
      <c r="E6" s="187"/>
      <c r="F6" s="188"/>
      <c r="G6" s="188"/>
      <c r="H6" s="9" t="s">
        <v>24</v>
      </c>
      <c r="I6" s="9" t="s">
        <v>2</v>
      </c>
      <c r="J6" s="172"/>
      <c r="K6" s="197"/>
    </row>
    <row r="7" spans="2:13" ht="33.75" customHeight="1">
      <c r="B7" s="51" t="s">
        <v>43</v>
      </c>
      <c r="C7" s="77" t="s">
        <v>56</v>
      </c>
      <c r="D7" s="78">
        <v>45658</v>
      </c>
      <c r="E7" s="79">
        <v>5</v>
      </c>
      <c r="F7" s="80">
        <v>5</v>
      </c>
      <c r="G7" s="52">
        <v>10500</v>
      </c>
      <c r="H7" s="6">
        <f>ROUND((E7*F7)*(365/12/7),0)</f>
        <v>109</v>
      </c>
      <c r="I7" s="6">
        <f>IF(ROUND(H7/(365/12/7)/5*365/12/7,0)&lt;=12,0,ROUND(H7/(365/12/7)/5*365/12/7,0))</f>
        <v>22</v>
      </c>
      <c r="J7" s="7">
        <f>H7+I7</f>
        <v>131</v>
      </c>
      <c r="K7" s="12">
        <f>G7*J7</f>
        <v>1375500</v>
      </c>
      <c r="L7" s="17"/>
      <c r="M7" s="19"/>
    </row>
    <row r="8" spans="2:13" ht="33.75" customHeight="1">
      <c r="B8" s="184" t="s">
        <v>66</v>
      </c>
      <c r="C8" s="185"/>
      <c r="D8" s="185"/>
      <c r="E8" s="14">
        <f>E7</f>
        <v>5</v>
      </c>
      <c r="F8" s="15">
        <f>F7</f>
        <v>5</v>
      </c>
      <c r="G8" s="11">
        <f>최저시급</f>
        <v>10030</v>
      </c>
      <c r="H8" s="8">
        <f>H7</f>
        <v>109</v>
      </c>
      <c r="I8" s="8">
        <f t="shared" ref="I8:J8" si="0">I7</f>
        <v>22</v>
      </c>
      <c r="J8" s="8">
        <f t="shared" si="0"/>
        <v>131</v>
      </c>
      <c r="K8" s="13">
        <f>J8*G8</f>
        <v>1313930</v>
      </c>
      <c r="M8" s="18"/>
    </row>
    <row r="9" spans="2:13" ht="33.75" customHeight="1">
      <c r="B9" s="16" t="s">
        <v>37</v>
      </c>
      <c r="C9" s="4"/>
      <c r="D9" s="4"/>
      <c r="E9" s="4"/>
      <c r="F9" s="4"/>
      <c r="G9" s="4"/>
      <c r="H9" s="4"/>
      <c r="I9" s="4"/>
      <c r="J9" s="4"/>
      <c r="K9" s="5"/>
    </row>
    <row r="10" spans="2:13" ht="33.75" customHeight="1">
      <c r="B10" s="10" t="s">
        <v>34</v>
      </c>
      <c r="C10" s="4"/>
      <c r="D10" s="4"/>
      <c r="E10" s="4"/>
      <c r="F10" s="4"/>
      <c r="G10" s="4"/>
      <c r="H10" s="4"/>
      <c r="I10" s="4"/>
      <c r="J10" s="4"/>
      <c r="K10" s="5"/>
    </row>
    <row r="11" spans="2:13" ht="33.75" customHeight="1">
      <c r="B11" s="190" t="s">
        <v>6</v>
      </c>
      <c r="C11" s="189" t="s">
        <v>26</v>
      </c>
      <c r="D11" s="189" t="s">
        <v>5</v>
      </c>
      <c r="E11" s="177" t="s">
        <v>30</v>
      </c>
      <c r="F11" s="178"/>
      <c r="G11" s="186" t="s">
        <v>31</v>
      </c>
      <c r="H11" s="175" t="s">
        <v>25</v>
      </c>
      <c r="I11" s="176"/>
      <c r="J11" s="173" t="s">
        <v>12</v>
      </c>
      <c r="K11" s="196" t="s">
        <v>29</v>
      </c>
    </row>
    <row r="12" spans="2:13" ht="33.75" customHeight="1">
      <c r="B12" s="191"/>
      <c r="C12" s="187"/>
      <c r="D12" s="187"/>
      <c r="E12" s="179"/>
      <c r="F12" s="180"/>
      <c r="G12" s="188"/>
      <c r="H12" s="9" t="s">
        <v>24</v>
      </c>
      <c r="I12" s="9" t="s">
        <v>2</v>
      </c>
      <c r="J12" s="174"/>
      <c r="K12" s="197"/>
    </row>
    <row r="13" spans="2:13" ht="33.75" customHeight="1">
      <c r="B13" s="51" t="s">
        <v>43</v>
      </c>
      <c r="C13" s="77" t="s">
        <v>48</v>
      </c>
      <c r="D13" s="78">
        <v>44929</v>
      </c>
      <c r="E13" s="192">
        <v>75</v>
      </c>
      <c r="F13" s="193"/>
      <c r="G13" s="52">
        <v>10000</v>
      </c>
      <c r="H13" s="6">
        <f>E13</f>
        <v>75</v>
      </c>
      <c r="I13" s="6">
        <f>IF(ROUND(H13/(365/12/7)/5*365/12/7,0)&lt;=12,0,ROUND(H13/(365/12/7)/5*365/12/7,0))</f>
        <v>15</v>
      </c>
      <c r="J13" s="7">
        <f>H13+I13</f>
        <v>90</v>
      </c>
      <c r="K13" s="12">
        <f>G13*J13</f>
        <v>900000</v>
      </c>
    </row>
    <row r="14" spans="2:13" ht="33.75" customHeight="1">
      <c r="B14" s="184" t="s">
        <v>66</v>
      </c>
      <c r="C14" s="185"/>
      <c r="D14" s="185"/>
      <c r="E14" s="194">
        <f>E13</f>
        <v>75</v>
      </c>
      <c r="F14" s="195"/>
      <c r="G14" s="11">
        <f>최저시급</f>
        <v>10030</v>
      </c>
      <c r="H14" s="8">
        <f>H13</f>
        <v>75</v>
      </c>
      <c r="I14" s="8">
        <f t="shared" ref="I14" si="1">I13</f>
        <v>15</v>
      </c>
      <c r="J14" s="8">
        <f t="shared" ref="J14" si="2">J13</f>
        <v>90</v>
      </c>
      <c r="K14" s="13">
        <f>J14*G14</f>
        <v>902700</v>
      </c>
    </row>
    <row r="15" spans="2:13" ht="33.75" customHeight="1">
      <c r="B15" s="16" t="s">
        <v>44</v>
      </c>
      <c r="C15" s="4"/>
      <c r="D15" s="4"/>
      <c r="E15" s="4"/>
      <c r="F15" s="4"/>
      <c r="G15" s="4"/>
      <c r="H15" s="4"/>
      <c r="I15" s="4"/>
      <c r="J15" s="4"/>
      <c r="K15" s="5"/>
    </row>
    <row r="16" spans="2:13" ht="33.75" customHeight="1">
      <c r="B16" s="4"/>
      <c r="C16" s="4"/>
      <c r="D16" s="4"/>
      <c r="E16" s="4"/>
      <c r="F16" s="4"/>
      <c r="G16" s="4"/>
      <c r="H16" s="4"/>
      <c r="I16" s="4"/>
      <c r="J16" s="4"/>
      <c r="K16" s="4"/>
    </row>
    <row r="17" spans="2:11" ht="33.75" customHeight="1">
      <c r="B17" s="4"/>
      <c r="C17" s="4"/>
      <c r="D17" s="4"/>
      <c r="E17" s="4"/>
      <c r="F17" s="4"/>
      <c r="G17" s="4"/>
      <c r="H17" s="4"/>
      <c r="I17" s="4"/>
      <c r="J17" s="4"/>
      <c r="K17" s="4"/>
    </row>
    <row r="18" spans="2:11" ht="33.75" customHeight="1">
      <c r="B18" s="4"/>
      <c r="C18" s="4"/>
      <c r="D18" s="4"/>
      <c r="E18" s="4"/>
      <c r="F18" s="4"/>
      <c r="G18" s="4"/>
      <c r="H18" s="4"/>
      <c r="I18" s="4"/>
      <c r="J18" s="4"/>
      <c r="K18" s="4"/>
    </row>
  </sheetData>
  <sheetProtection algorithmName="SHA-512" hashValue="+WeMoaJM+iOgeZWy4KGluwC0/d/V07wbwv2lPHLPncQFPFabIyHXoQYPGFf7vh1JDwrlNjctnT/cC4idmCkBtw==" saltValue="KtpumKW+JuLAXOowjji/Fg==" spinCount="100000" sheet="1" objects="1" scenarios="1" selectLockedCells="1"/>
  <mergeCells count="22">
    <mergeCell ref="B2:K2"/>
    <mergeCell ref="B14:D14"/>
    <mergeCell ref="B8:D8"/>
    <mergeCell ref="E5:E6"/>
    <mergeCell ref="G5:G6"/>
    <mergeCell ref="F5:F6"/>
    <mergeCell ref="D11:D12"/>
    <mergeCell ref="C11:C12"/>
    <mergeCell ref="B11:B12"/>
    <mergeCell ref="G11:G12"/>
    <mergeCell ref="E13:F13"/>
    <mergeCell ref="E14:F14"/>
    <mergeCell ref="K11:K12"/>
    <mergeCell ref="K5:K6"/>
    <mergeCell ref="B5:B6"/>
    <mergeCell ref="C5:C6"/>
    <mergeCell ref="D5:D6"/>
    <mergeCell ref="H5:I5"/>
    <mergeCell ref="J5:J6"/>
    <mergeCell ref="J11:J12"/>
    <mergeCell ref="H11:I11"/>
    <mergeCell ref="E11:F12"/>
  </mergeCells>
  <phoneticPr fontId="4" type="noConversion"/>
  <conditionalFormatting sqref="H7:J7">
    <cfRule type="cellIs" dxfId="29" priority="2" operator="equal">
      <formula>0</formula>
    </cfRule>
  </conditionalFormatting>
  <conditionalFormatting sqref="H13:J13">
    <cfRule type="cellIs" dxfId="28" priority="1" operator="equal">
      <formula>0</formula>
    </cfRule>
  </conditionalFormatting>
  <conditionalFormatting sqref="K1 K3:K5">
    <cfRule type="cellIs" dxfId="27" priority="11" operator="lessThan">
      <formula>#REF!</formula>
    </cfRule>
  </conditionalFormatting>
  <conditionalFormatting sqref="K7:K11">
    <cfRule type="cellIs" dxfId="26" priority="5" operator="lessThan">
      <formula>#REF!</formula>
    </cfRule>
  </conditionalFormatting>
  <conditionalFormatting sqref="K13:K1048576">
    <cfRule type="cellIs" dxfId="25" priority="3" operator="lessThan">
      <formula>#REF!</formula>
    </cfRule>
  </conditionalFormatting>
  <printOptions horizontalCentered="1"/>
  <pageMargins left="0.39370078740157483" right="0.39370078740157483" top="0.74803149606299213" bottom="0.39370078740157483" header="0.31496062992125984" footer="0.31496062992125984"/>
  <pageSetup paperSize="9" scale="64"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7B96-9D75-4581-9742-4FB7ED3AC6DC}">
  <sheetPr>
    <pageSetUpPr fitToPage="1"/>
  </sheetPr>
  <dimension ref="B1:AL1617"/>
  <sheetViews>
    <sheetView showGridLines="0" showRowColHeaders="0" zoomScale="69" zoomScaleNormal="69" zoomScaleSheetLayoutView="80" workbookViewId="0">
      <pane xSplit="6" topLeftCell="G1" activePane="topRight" state="frozen"/>
      <selection pane="topRight" activeCell="K16" sqref="K16"/>
    </sheetView>
  </sheetViews>
  <sheetFormatPr defaultColWidth="9" defaultRowHeight="33.75" customHeight="1"/>
  <cols>
    <col min="1" max="1" width="2.36328125" style="20" customWidth="1"/>
    <col min="2" max="2" width="11.1796875" style="20" customWidth="1"/>
    <col min="3" max="3" width="10.26953125" style="20" customWidth="1"/>
    <col min="4" max="4" width="6.36328125" style="20" hidden="1" customWidth="1"/>
    <col min="5" max="5" width="14.1796875" style="20" customWidth="1"/>
    <col min="6" max="6" width="13.7265625" style="20" customWidth="1"/>
    <col min="7" max="7" width="11.08984375" style="20" bestFit="1" customWidth="1"/>
    <col min="8" max="9" width="8.7265625" style="20" customWidth="1"/>
    <col min="10" max="10" width="16.36328125" style="20" customWidth="1"/>
    <col min="11" max="11" width="17" style="20" customWidth="1"/>
    <col min="12" max="12" width="17.7265625" style="20" customWidth="1"/>
    <col min="13" max="13" width="9" style="20" customWidth="1"/>
    <col min="14" max="14" width="12.453125" style="20" customWidth="1"/>
    <col min="15" max="15" width="10.1796875" style="20" customWidth="1"/>
    <col min="16" max="16" width="14.7265625" style="20" customWidth="1"/>
    <col min="17" max="17" width="16.7265625" style="20" customWidth="1"/>
    <col min="18" max="18" width="11.7265625" style="20" customWidth="1"/>
    <col min="19" max="21" width="9.36328125" style="20" customWidth="1"/>
    <col min="22" max="22" width="11.26953125" style="20" customWidth="1"/>
    <col min="23" max="23" width="10.1796875" style="20" customWidth="1"/>
    <col min="24" max="24" width="15" style="20" customWidth="1"/>
    <col min="25" max="25" width="18.81640625" style="20" customWidth="1"/>
    <col min="26" max="29" width="9.36328125" style="20" customWidth="1"/>
    <col min="30" max="30" width="14.81640625" style="20" customWidth="1"/>
    <col min="31" max="31" width="5.6328125" style="20" customWidth="1"/>
    <col min="32" max="32" width="14.08984375" style="20" customWidth="1"/>
    <col min="33" max="33" width="15.7265625" style="20" customWidth="1"/>
    <col min="34" max="34" width="13.453125" style="20" customWidth="1"/>
    <col min="35" max="35" width="9" style="20"/>
    <col min="36" max="36" width="14.36328125" style="20" customWidth="1"/>
    <col min="37" max="16384" width="9" style="20"/>
  </cols>
  <sheetData>
    <row r="1" spans="2:38" ht="20" customHeight="1" thickBot="1"/>
    <row r="2" spans="2:38" ht="68.5" customHeight="1" thickBot="1">
      <c r="B2" s="129" t="s">
        <v>68</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1"/>
      <c r="AF2" s="21"/>
      <c r="AG2" s="22"/>
    </row>
    <row r="3" spans="2:38" ht="18.5" customHeight="1">
      <c r="B3" s="23"/>
      <c r="C3" s="23"/>
      <c r="D3" s="23"/>
      <c r="E3" s="23"/>
      <c r="F3" s="23"/>
      <c r="G3" s="23"/>
      <c r="H3" s="23"/>
      <c r="I3" s="23"/>
      <c r="J3" s="23"/>
      <c r="K3" s="23"/>
      <c r="L3" s="23"/>
      <c r="M3" s="23"/>
      <c r="N3" s="23"/>
      <c r="O3" s="23"/>
      <c r="P3" s="23"/>
      <c r="Q3" s="23"/>
      <c r="R3" s="23"/>
      <c r="S3" s="23"/>
      <c r="T3" s="23"/>
      <c r="U3" s="23"/>
      <c r="W3" s="23"/>
      <c r="X3" s="23"/>
      <c r="Y3" s="23"/>
      <c r="Z3" s="23"/>
      <c r="AA3" s="23"/>
      <c r="AB3" s="23"/>
      <c r="AC3" s="23"/>
      <c r="AD3" s="23"/>
      <c r="AF3" s="21"/>
      <c r="AG3" s="22"/>
    </row>
    <row r="4" spans="2:38" ht="28" customHeight="1">
      <c r="B4" s="24" t="s">
        <v>41</v>
      </c>
      <c r="C4" s="25"/>
      <c r="D4" s="25"/>
      <c r="E4" s="25"/>
      <c r="K4" s="26"/>
      <c r="L4" s="26"/>
      <c r="M4" s="26"/>
      <c r="N4" s="26"/>
      <c r="Q4" s="136" t="s">
        <v>39</v>
      </c>
      <c r="R4" s="136"/>
      <c r="S4" s="150" t="s">
        <v>64</v>
      </c>
      <c r="T4" s="151"/>
      <c r="V4" s="26"/>
      <c r="AF4" s="27"/>
      <c r="AG4" s="27"/>
    </row>
    <row r="5" spans="2:38" ht="18.5" customHeight="1">
      <c r="B5" s="28"/>
      <c r="C5" s="29"/>
      <c r="D5" s="29"/>
      <c r="E5" s="29"/>
      <c r="N5" s="26"/>
      <c r="V5" s="152" t="s">
        <v>51</v>
      </c>
      <c r="W5" s="153"/>
      <c r="X5" s="153"/>
      <c r="Y5" s="153"/>
      <c r="Z5" s="153"/>
      <c r="AA5" s="153"/>
      <c r="AB5" s="153"/>
      <c r="AC5" s="153"/>
      <c r="AD5" s="154"/>
    </row>
    <row r="6" spans="2:38" ht="33.75" customHeight="1">
      <c r="B6" s="137" t="s">
        <v>6</v>
      </c>
      <c r="C6" s="139" t="s">
        <v>8</v>
      </c>
      <c r="D6" s="71"/>
      <c r="E6" s="139" t="s">
        <v>5</v>
      </c>
      <c r="F6" s="141" t="s">
        <v>23</v>
      </c>
      <c r="G6" s="30" t="s">
        <v>15</v>
      </c>
      <c r="H6" s="143" t="s">
        <v>47</v>
      </c>
      <c r="I6" s="143"/>
      <c r="J6" s="143"/>
      <c r="K6" s="143"/>
      <c r="L6" s="143"/>
      <c r="M6" s="132" t="s">
        <v>12</v>
      </c>
      <c r="N6" s="160" t="s">
        <v>18</v>
      </c>
      <c r="O6" s="134"/>
      <c r="P6" s="134"/>
      <c r="Q6" s="135"/>
      <c r="R6" s="161" t="s">
        <v>14</v>
      </c>
      <c r="S6" s="134"/>
      <c r="T6" s="134"/>
      <c r="U6" s="162"/>
      <c r="V6" s="134" t="s">
        <v>18</v>
      </c>
      <c r="W6" s="134"/>
      <c r="X6" s="134"/>
      <c r="Y6" s="135"/>
      <c r="Z6" s="134" t="s">
        <v>14</v>
      </c>
      <c r="AA6" s="134"/>
      <c r="AB6" s="134"/>
      <c r="AC6" s="135"/>
      <c r="AD6" s="164" t="s">
        <v>50</v>
      </c>
      <c r="AE6" s="31"/>
    </row>
    <row r="7" spans="2:38" ht="33.75" customHeight="1">
      <c r="B7" s="138"/>
      <c r="C7" s="140"/>
      <c r="D7" s="72"/>
      <c r="E7" s="140"/>
      <c r="F7" s="142"/>
      <c r="G7" s="34" t="s">
        <v>4</v>
      </c>
      <c r="H7" s="34" t="s">
        <v>3</v>
      </c>
      <c r="I7" s="34" t="s">
        <v>2</v>
      </c>
      <c r="J7" s="33" t="s">
        <v>52</v>
      </c>
      <c r="K7" s="33" t="s">
        <v>59</v>
      </c>
      <c r="L7" s="33" t="s">
        <v>60</v>
      </c>
      <c r="M7" s="133"/>
      <c r="N7" s="35" t="s">
        <v>35</v>
      </c>
      <c r="O7" s="36" t="s">
        <v>46</v>
      </c>
      <c r="P7" s="37" t="s">
        <v>53</v>
      </c>
      <c r="Q7" s="38" t="s">
        <v>54</v>
      </c>
      <c r="R7" s="39" t="s">
        <v>1</v>
      </c>
      <c r="S7" s="40" t="s">
        <v>7</v>
      </c>
      <c r="T7" s="41" t="s">
        <v>36</v>
      </c>
      <c r="U7" s="42" t="s">
        <v>38</v>
      </c>
      <c r="V7" s="43" t="s">
        <v>35</v>
      </c>
      <c r="W7" s="36" t="s">
        <v>46</v>
      </c>
      <c r="X7" s="37" t="s">
        <v>53</v>
      </c>
      <c r="Y7" s="38" t="s">
        <v>54</v>
      </c>
      <c r="Z7" s="44" t="s">
        <v>1</v>
      </c>
      <c r="AA7" s="40" t="s">
        <v>7</v>
      </c>
      <c r="AB7" s="41" t="s">
        <v>36</v>
      </c>
      <c r="AC7" s="45" t="s">
        <v>38</v>
      </c>
      <c r="AD7" s="165"/>
      <c r="AE7" s="46"/>
    </row>
    <row r="8" spans="2:38" ht="21.5" customHeight="1">
      <c r="B8" s="82" t="s">
        <v>55</v>
      </c>
      <c r="C8" s="144"/>
      <c r="D8" s="242">
        <f>D7+1</f>
        <v>1</v>
      </c>
      <c r="E8" s="86">
        <v>45658</v>
      </c>
      <c r="F8" s="88">
        <v>4000000</v>
      </c>
      <c r="G8" s="323">
        <f>임금대장수식!G8</f>
        <v>15503.875968992248</v>
      </c>
      <c r="H8" s="320">
        <f>임금대장수식!H8</f>
        <v>174</v>
      </c>
      <c r="I8" s="320">
        <f>임금대장수식!I8</f>
        <v>35</v>
      </c>
      <c r="J8" s="321">
        <v>5</v>
      </c>
      <c r="K8" s="322">
        <v>8</v>
      </c>
      <c r="L8" s="322">
        <v>2</v>
      </c>
      <c r="M8" s="94">
        <f>H8+I8+J9+K9+L9</f>
        <v>258</v>
      </c>
      <c r="N8" s="163">
        <f>임금대장수식!N8</f>
        <v>2640310.07751938</v>
      </c>
      <c r="O8" s="156">
        <f>임금대장수식!O8</f>
        <v>511627.90697674418</v>
      </c>
      <c r="P8" s="156">
        <f>임금대장수식!P8</f>
        <v>186046.51162790699</v>
      </c>
      <c r="Q8" s="158">
        <f>임금대장수식!Q8</f>
        <v>62015.503875968992</v>
      </c>
      <c r="R8" s="148">
        <v>200000</v>
      </c>
      <c r="S8" s="97">
        <v>200000</v>
      </c>
      <c r="T8" s="97">
        <v>200000</v>
      </c>
      <c r="U8" s="99"/>
      <c r="V8" s="96">
        <f>IF(G8=0,0,MAX(최저월급여환산액-(Z8+AA8+AB8+AC8),G8*(H8+I8)-(Z8+AA8+AB8+AC8)))</f>
        <v>2640310.07751938</v>
      </c>
      <c r="W8" s="156">
        <f>IF(V8&lt;최저월급여환산액-(Z8+AA8+AB8+AC8-최저월급여환산액*1%),최저시급*J9,G8*J9)</f>
        <v>511627.90697674418</v>
      </c>
      <c r="X8" s="156">
        <f>G8*K9</f>
        <v>186046.51162790699</v>
      </c>
      <c r="Y8" s="158">
        <f>G8*L9</f>
        <v>62015.503875968992</v>
      </c>
      <c r="Z8" s="146">
        <f>R8</f>
        <v>200000</v>
      </c>
      <c r="AA8" s="147">
        <f>S8</f>
        <v>200000</v>
      </c>
      <c r="AB8" s="147">
        <f>T8</f>
        <v>200000</v>
      </c>
      <c r="AC8" s="155">
        <f>U8</f>
        <v>0</v>
      </c>
      <c r="AD8" s="331">
        <f>SUM(V8:AC9)</f>
        <v>4000000</v>
      </c>
      <c r="AE8" s="50"/>
      <c r="AK8" s="318"/>
      <c r="AL8" s="318"/>
    </row>
    <row r="9" spans="2:38" ht="21.5" customHeight="1">
      <c r="B9" s="120"/>
      <c r="C9" s="145"/>
      <c r="D9" s="243"/>
      <c r="E9" s="87"/>
      <c r="F9" s="123"/>
      <c r="G9" s="324"/>
      <c r="H9" s="325"/>
      <c r="I9" s="325"/>
      <c r="J9" s="326">
        <f>임금대장수식!J9</f>
        <v>33</v>
      </c>
      <c r="K9" s="326">
        <f>임금대장수식!K9</f>
        <v>12</v>
      </c>
      <c r="L9" s="326">
        <f>임금대장수식!L9</f>
        <v>4</v>
      </c>
      <c r="M9" s="126"/>
      <c r="N9" s="327"/>
      <c r="O9" s="157"/>
      <c r="P9" s="157"/>
      <c r="Q9" s="159"/>
      <c r="R9" s="166"/>
      <c r="S9" s="167"/>
      <c r="T9" s="167"/>
      <c r="U9" s="168"/>
      <c r="V9" s="328"/>
      <c r="W9" s="157"/>
      <c r="X9" s="157"/>
      <c r="Y9" s="159"/>
      <c r="Z9" s="329"/>
      <c r="AA9" s="200"/>
      <c r="AB9" s="200"/>
      <c r="AC9" s="330"/>
      <c r="AD9" s="332"/>
      <c r="AE9" s="50"/>
      <c r="AK9" s="318"/>
      <c r="AL9" s="318"/>
    </row>
    <row r="10" spans="2:38" ht="21.5" customHeight="1">
      <c r="B10" s="82"/>
      <c r="C10" s="144"/>
      <c r="D10" s="242">
        <f>D8+1</f>
        <v>2</v>
      </c>
      <c r="E10" s="86"/>
      <c r="F10" s="88"/>
      <c r="G10" s="323">
        <f>임금대장수식!G10</f>
        <v>0</v>
      </c>
      <c r="H10" s="320">
        <f>임금대장수식!H10</f>
        <v>0</v>
      </c>
      <c r="I10" s="320">
        <f>임금대장수식!I10</f>
        <v>0</v>
      </c>
      <c r="J10" s="321"/>
      <c r="K10" s="322"/>
      <c r="L10" s="322"/>
      <c r="M10" s="94">
        <f>H10+I10+J11+K11+L11</f>
        <v>0</v>
      </c>
      <c r="N10" s="163">
        <f>임금대장수식!N10</f>
        <v>0</v>
      </c>
      <c r="O10" s="156">
        <f>임금대장수식!O10</f>
        <v>0</v>
      </c>
      <c r="P10" s="156">
        <f>임금대장수식!P10</f>
        <v>0</v>
      </c>
      <c r="Q10" s="158">
        <f>임금대장수식!Q10</f>
        <v>0</v>
      </c>
      <c r="R10" s="148"/>
      <c r="S10" s="97"/>
      <c r="T10" s="97"/>
      <c r="U10" s="99"/>
      <c r="V10" s="96">
        <f>IF(G10=0,0,MAX(최저월급여환산액-(Z10+AA10+AB10+AC10),G10*(H10+I10)-(Z10+AA10+AB10+AC10)))</f>
        <v>0</v>
      </c>
      <c r="W10" s="156">
        <f>IF(V10&lt;최저월급여환산액-(Z10+AA10+AB10+AC10-최저월급여환산액*1%),최저시급*J11,G10*J11)</f>
        <v>0</v>
      </c>
      <c r="X10" s="156">
        <f>G10*K11</f>
        <v>0</v>
      </c>
      <c r="Y10" s="158">
        <f>G10*L11</f>
        <v>0</v>
      </c>
      <c r="Z10" s="146">
        <f>R10</f>
        <v>0</v>
      </c>
      <c r="AA10" s="147">
        <f>S10</f>
        <v>0</v>
      </c>
      <c r="AB10" s="147">
        <f>T10</f>
        <v>0</v>
      </c>
      <c r="AC10" s="155">
        <f>U10</f>
        <v>0</v>
      </c>
      <c r="AD10" s="331">
        <f>SUM(V10:AC11)</f>
        <v>0</v>
      </c>
      <c r="AE10" s="50"/>
      <c r="AK10" s="319"/>
      <c r="AL10" s="318"/>
    </row>
    <row r="11" spans="2:38" ht="21.5" customHeight="1">
      <c r="B11" s="120"/>
      <c r="C11" s="145"/>
      <c r="D11" s="243"/>
      <c r="E11" s="87"/>
      <c r="F11" s="123"/>
      <c r="G11" s="324"/>
      <c r="H11" s="325"/>
      <c r="I11" s="325"/>
      <c r="J11" s="326">
        <f>임금대장수식!J11</f>
        <v>0</v>
      </c>
      <c r="K11" s="326">
        <f>임금대장수식!K11</f>
        <v>0</v>
      </c>
      <c r="L11" s="326">
        <f>임금대장수식!L11</f>
        <v>0</v>
      </c>
      <c r="M11" s="126"/>
      <c r="N11" s="327"/>
      <c r="O11" s="157"/>
      <c r="P11" s="157"/>
      <c r="Q11" s="159"/>
      <c r="R11" s="166"/>
      <c r="S11" s="167"/>
      <c r="T11" s="167"/>
      <c r="U11" s="168"/>
      <c r="V11" s="328"/>
      <c r="W11" s="157"/>
      <c r="X11" s="157"/>
      <c r="Y11" s="159"/>
      <c r="Z11" s="329"/>
      <c r="AA11" s="200"/>
      <c r="AB11" s="200"/>
      <c r="AC11" s="330"/>
      <c r="AD11" s="332"/>
      <c r="AE11" s="50"/>
      <c r="AK11" s="318"/>
      <c r="AL11" s="318"/>
    </row>
    <row r="12" spans="2:38" ht="21.5" customHeight="1">
      <c r="B12" s="82"/>
      <c r="C12" s="144"/>
      <c r="D12" s="242">
        <f>D10+1</f>
        <v>3</v>
      </c>
      <c r="E12" s="86"/>
      <c r="F12" s="88"/>
      <c r="G12" s="323">
        <f>임금대장수식!G12</f>
        <v>0</v>
      </c>
      <c r="H12" s="320">
        <f>임금대장수식!H12</f>
        <v>0</v>
      </c>
      <c r="I12" s="320">
        <f>임금대장수식!I12</f>
        <v>0</v>
      </c>
      <c r="J12" s="321"/>
      <c r="K12" s="322"/>
      <c r="L12" s="322"/>
      <c r="M12" s="94">
        <f>H12+I12+J13+K13+L13</f>
        <v>0</v>
      </c>
      <c r="N12" s="163">
        <f>임금대장수식!N12</f>
        <v>0</v>
      </c>
      <c r="O12" s="156">
        <f>임금대장수식!O12</f>
        <v>0</v>
      </c>
      <c r="P12" s="156">
        <f>임금대장수식!P12</f>
        <v>0</v>
      </c>
      <c r="Q12" s="158">
        <f>임금대장수식!Q12</f>
        <v>0</v>
      </c>
      <c r="R12" s="148"/>
      <c r="S12" s="97"/>
      <c r="T12" s="97"/>
      <c r="U12" s="99"/>
      <c r="V12" s="96">
        <f>IF(G12=0,0,MAX(최저월급여환산액-(Z12+AA12+AB12+AC12),G12*(H12+I12)-(Z12+AA12+AB12+AC12)))</f>
        <v>0</v>
      </c>
      <c r="W12" s="156">
        <f>IF(V12&lt;최저월급여환산액-(Z12+AA12+AB12+AC12-최저월급여환산액*1%),최저시급*J13,G12*J13)</f>
        <v>0</v>
      </c>
      <c r="X12" s="156">
        <f>G12*K13</f>
        <v>0</v>
      </c>
      <c r="Y12" s="158">
        <f>G12*L13</f>
        <v>0</v>
      </c>
      <c r="Z12" s="146">
        <f>R12</f>
        <v>0</v>
      </c>
      <c r="AA12" s="147">
        <f>S12</f>
        <v>0</v>
      </c>
      <c r="AB12" s="147">
        <f>T12</f>
        <v>0</v>
      </c>
      <c r="AC12" s="155">
        <f>U12</f>
        <v>0</v>
      </c>
      <c r="AD12" s="331">
        <f>SUM(V12:AC13)</f>
        <v>0</v>
      </c>
    </row>
    <row r="13" spans="2:38" ht="21.5" customHeight="1">
      <c r="B13" s="120"/>
      <c r="C13" s="145"/>
      <c r="D13" s="243"/>
      <c r="E13" s="87"/>
      <c r="F13" s="123"/>
      <c r="G13" s="324"/>
      <c r="H13" s="325"/>
      <c r="I13" s="325"/>
      <c r="J13" s="326">
        <f>임금대장수식!J13</f>
        <v>0</v>
      </c>
      <c r="K13" s="326">
        <f>임금대장수식!K13</f>
        <v>0</v>
      </c>
      <c r="L13" s="326">
        <f>임금대장수식!L13</f>
        <v>0</v>
      </c>
      <c r="M13" s="126"/>
      <c r="N13" s="327"/>
      <c r="O13" s="157"/>
      <c r="P13" s="157"/>
      <c r="Q13" s="159"/>
      <c r="R13" s="166"/>
      <c r="S13" s="167"/>
      <c r="T13" s="167"/>
      <c r="U13" s="168"/>
      <c r="V13" s="328"/>
      <c r="W13" s="157"/>
      <c r="X13" s="157"/>
      <c r="Y13" s="159"/>
      <c r="Z13" s="329"/>
      <c r="AA13" s="200"/>
      <c r="AB13" s="200"/>
      <c r="AC13" s="330"/>
      <c r="AD13" s="332"/>
    </row>
    <row r="14" spans="2:38" ht="21.5" customHeight="1">
      <c r="B14" s="82"/>
      <c r="C14" s="144"/>
      <c r="D14" s="242">
        <f>D12+1</f>
        <v>4</v>
      </c>
      <c r="E14" s="86"/>
      <c r="F14" s="88"/>
      <c r="G14" s="323">
        <f>임금대장수식!G14</f>
        <v>0</v>
      </c>
      <c r="H14" s="320">
        <f>임금대장수식!H14</f>
        <v>0</v>
      </c>
      <c r="I14" s="320">
        <f>임금대장수식!I14</f>
        <v>0</v>
      </c>
      <c r="J14" s="321"/>
      <c r="K14" s="322"/>
      <c r="L14" s="322"/>
      <c r="M14" s="94">
        <f>H14+I14+J15+K15+L15</f>
        <v>0</v>
      </c>
      <c r="N14" s="163">
        <f>임금대장수식!N14</f>
        <v>0</v>
      </c>
      <c r="O14" s="156">
        <f>임금대장수식!O14</f>
        <v>0</v>
      </c>
      <c r="P14" s="156">
        <f>임금대장수식!P14</f>
        <v>0</v>
      </c>
      <c r="Q14" s="158">
        <f>임금대장수식!Q14</f>
        <v>0</v>
      </c>
      <c r="R14" s="148"/>
      <c r="S14" s="97"/>
      <c r="T14" s="97"/>
      <c r="U14" s="99"/>
      <c r="V14" s="96">
        <f>IF(G14=0,0,MAX(최저월급여환산액-(Z14+AA14+AB14+AC14),G14*(H14+I14)-(Z14+AA14+AB14+AC14)))</f>
        <v>0</v>
      </c>
      <c r="W14" s="156">
        <f>IF(V14&lt;최저월급여환산액-(Z14+AA14+AB14+AC14-최저월급여환산액*1%),최저시급*J15,G14*J15)</f>
        <v>0</v>
      </c>
      <c r="X14" s="156">
        <f>G14*K15</f>
        <v>0</v>
      </c>
      <c r="Y14" s="158">
        <f>G14*L15</f>
        <v>0</v>
      </c>
      <c r="Z14" s="146">
        <f>R14</f>
        <v>0</v>
      </c>
      <c r="AA14" s="147">
        <f>S14</f>
        <v>0</v>
      </c>
      <c r="AB14" s="147">
        <f>T14</f>
        <v>0</v>
      </c>
      <c r="AC14" s="155">
        <f>U14</f>
        <v>0</v>
      </c>
      <c r="AD14" s="331">
        <f>SUM(V14:AC15)</f>
        <v>0</v>
      </c>
    </row>
    <row r="15" spans="2:38" ht="21.5" customHeight="1">
      <c r="B15" s="120"/>
      <c r="C15" s="145"/>
      <c r="D15" s="243"/>
      <c r="E15" s="87"/>
      <c r="F15" s="123"/>
      <c r="G15" s="324"/>
      <c r="H15" s="325"/>
      <c r="I15" s="325"/>
      <c r="J15" s="326">
        <f>임금대장수식!J15</f>
        <v>0</v>
      </c>
      <c r="K15" s="326">
        <f>임금대장수식!K15</f>
        <v>0</v>
      </c>
      <c r="L15" s="326">
        <f>임금대장수식!L15</f>
        <v>0</v>
      </c>
      <c r="M15" s="126"/>
      <c r="N15" s="327"/>
      <c r="O15" s="157"/>
      <c r="P15" s="157"/>
      <c r="Q15" s="159"/>
      <c r="R15" s="166"/>
      <c r="S15" s="167"/>
      <c r="T15" s="167"/>
      <c r="U15" s="168"/>
      <c r="V15" s="328"/>
      <c r="W15" s="157"/>
      <c r="X15" s="157"/>
      <c r="Y15" s="159"/>
      <c r="Z15" s="329"/>
      <c r="AA15" s="200"/>
      <c r="AB15" s="200"/>
      <c r="AC15" s="330"/>
      <c r="AD15" s="332"/>
    </row>
    <row r="16" spans="2:38" ht="21.5" customHeight="1"/>
    <row r="17" ht="21.5" customHeight="1"/>
    <row r="18" ht="21.5" customHeight="1"/>
    <row r="19" ht="21.5" customHeight="1"/>
    <row r="20" ht="21.5" customHeight="1"/>
    <row r="21" ht="21.5" customHeight="1"/>
    <row r="22" ht="21.5" customHeight="1"/>
    <row r="23" ht="21.5" customHeight="1"/>
    <row r="24" ht="21.5" customHeight="1"/>
    <row r="25" ht="21.5" customHeight="1"/>
    <row r="26" ht="21.5" customHeight="1"/>
    <row r="27" ht="21.5" customHeight="1"/>
    <row r="28" ht="21.5" customHeight="1"/>
    <row r="29" ht="21.5" customHeight="1"/>
    <row r="30" ht="21.5" customHeight="1"/>
    <row r="31" ht="21.5" customHeight="1"/>
    <row r="32" ht="21.5" customHeight="1"/>
    <row r="33" ht="21.5" customHeight="1"/>
    <row r="34" ht="21.5" customHeight="1"/>
    <row r="35" ht="21.5" customHeight="1"/>
    <row r="36" ht="21.5" customHeight="1"/>
    <row r="37" ht="21.5" customHeight="1"/>
    <row r="38" ht="21.5" customHeight="1"/>
    <row r="39" ht="21.5" customHeight="1"/>
    <row r="40" ht="21.5" customHeight="1"/>
    <row r="41" ht="21.5" customHeight="1"/>
    <row r="42" ht="21.5" customHeight="1"/>
    <row r="43" ht="21.5" customHeight="1"/>
    <row r="44" ht="21.5" customHeight="1"/>
    <row r="45" ht="21.5" customHeight="1"/>
    <row r="46" ht="21.5" customHeight="1"/>
    <row r="47" ht="21.5" customHeight="1"/>
    <row r="48" ht="21.5" customHeight="1"/>
    <row r="49" ht="21.5" customHeight="1"/>
    <row r="50" ht="21.5" customHeight="1"/>
    <row r="51" ht="21.5" customHeight="1"/>
    <row r="52" ht="21.5" customHeight="1"/>
    <row r="53" ht="21.5" customHeight="1"/>
    <row r="54" ht="21.5" customHeight="1"/>
    <row r="55" ht="21.5" customHeight="1"/>
    <row r="56" ht="21.5" customHeight="1"/>
    <row r="57" ht="21.5" customHeight="1"/>
    <row r="58" ht="21.5" customHeight="1"/>
    <row r="59" ht="21.5" customHeight="1"/>
    <row r="60" ht="21.5" customHeight="1"/>
    <row r="61" ht="21.5" customHeight="1"/>
    <row r="62" ht="21.5" customHeight="1"/>
    <row r="63" ht="21.5" customHeight="1"/>
    <row r="64" ht="21.5" customHeight="1"/>
    <row r="65" ht="21.5" customHeight="1"/>
    <row r="66" ht="21.5" customHeight="1"/>
    <row r="67" ht="21.5" customHeight="1"/>
    <row r="68" ht="21.5" customHeight="1"/>
    <row r="69" ht="21.5" customHeight="1"/>
    <row r="70" ht="21.5" customHeight="1"/>
    <row r="71" ht="21.5" customHeight="1"/>
    <row r="72" ht="21.5" customHeight="1"/>
    <row r="73" ht="21.5" customHeight="1"/>
    <row r="74" ht="21.5" customHeight="1"/>
    <row r="75" ht="21.5" customHeight="1"/>
    <row r="76" ht="21.5" customHeight="1"/>
    <row r="77" ht="21.5" customHeight="1"/>
    <row r="78" ht="21.5" customHeight="1"/>
    <row r="79" ht="21.5" customHeight="1"/>
    <row r="80" ht="21.5" customHeight="1"/>
    <row r="81" ht="21.5" customHeight="1"/>
    <row r="82" ht="21.5" customHeight="1"/>
    <row r="83" ht="21.5" customHeight="1"/>
    <row r="84" ht="21.5" customHeight="1"/>
    <row r="85" ht="21.5" customHeight="1"/>
    <row r="86" ht="21.5" customHeight="1"/>
    <row r="87" ht="21.5" customHeight="1"/>
    <row r="88" ht="21.5" customHeight="1"/>
    <row r="89" ht="21.5" customHeight="1"/>
    <row r="90" ht="21.5" customHeight="1"/>
    <row r="91" ht="21.5" customHeight="1"/>
    <row r="92" ht="21.5" customHeight="1"/>
    <row r="93" ht="21.5" customHeight="1"/>
    <row r="94" ht="21.5" customHeight="1"/>
    <row r="95" ht="21.5" customHeight="1"/>
    <row r="96" ht="21.5" customHeight="1"/>
    <row r="97" ht="21.5" customHeight="1"/>
    <row r="98" ht="21.5" customHeight="1"/>
    <row r="99" ht="21.5" customHeight="1"/>
    <row r="100" ht="21.5" customHeight="1"/>
    <row r="101" ht="21.5" customHeight="1"/>
    <row r="102" ht="21.5" customHeight="1"/>
    <row r="103" ht="21.5" customHeight="1"/>
    <row r="104" ht="21.5" customHeight="1"/>
    <row r="105" ht="21.5" customHeight="1"/>
    <row r="106" ht="21.5" customHeight="1"/>
    <row r="107" ht="21.5" customHeight="1"/>
    <row r="108" ht="21.5" customHeight="1"/>
    <row r="109" ht="21.5" customHeight="1"/>
    <row r="110" ht="21.5" customHeight="1"/>
    <row r="111" ht="21.5" customHeight="1"/>
    <row r="112" ht="21.5" customHeight="1"/>
    <row r="113" ht="21.5" customHeight="1"/>
    <row r="114" ht="21.5" customHeight="1"/>
    <row r="115" ht="21.5" customHeight="1"/>
    <row r="116" ht="21.5" customHeight="1"/>
    <row r="117" ht="21.5" customHeight="1"/>
    <row r="118" ht="21.5" customHeight="1"/>
    <row r="119" ht="21.5" customHeight="1"/>
    <row r="120" ht="21.5" customHeight="1"/>
    <row r="121" ht="21.5" customHeight="1"/>
    <row r="122" ht="21.5" customHeight="1"/>
    <row r="123" ht="21.5" customHeight="1"/>
    <row r="124" ht="21.5" customHeight="1"/>
    <row r="125" ht="21.5" customHeight="1"/>
    <row r="126" ht="21.5" customHeight="1"/>
    <row r="127" ht="21.5" customHeight="1"/>
    <row r="128" ht="21.5" customHeight="1"/>
    <row r="129" ht="21.5" customHeight="1"/>
    <row r="130" ht="21.5" customHeight="1"/>
    <row r="131" ht="21.5" customHeight="1"/>
    <row r="132" ht="21.5" customHeight="1"/>
    <row r="133" ht="21.5" customHeight="1"/>
    <row r="134" ht="21.5" customHeight="1"/>
    <row r="135" ht="21.5" customHeight="1"/>
    <row r="136" ht="21.5" customHeight="1"/>
    <row r="137" ht="21.5" customHeight="1"/>
    <row r="138" ht="21.5" customHeight="1"/>
    <row r="139" ht="21.5" customHeight="1"/>
    <row r="140" ht="21.5" customHeight="1"/>
    <row r="141" ht="21.5" customHeight="1"/>
    <row r="142" ht="21.5" customHeight="1"/>
    <row r="143" ht="21.5" customHeight="1"/>
    <row r="144" ht="21.5" customHeight="1"/>
    <row r="145" ht="21.5" customHeight="1"/>
    <row r="146" ht="21.5" customHeight="1"/>
    <row r="147" ht="21.5" customHeight="1"/>
    <row r="148" ht="21.5" customHeight="1"/>
    <row r="149" ht="21.5" customHeight="1"/>
    <row r="150" ht="21.5" customHeight="1"/>
    <row r="151" ht="21.5" customHeight="1"/>
    <row r="152" ht="21.5" customHeight="1"/>
    <row r="153" ht="21.5" customHeight="1"/>
    <row r="154" ht="21.5" customHeight="1"/>
    <row r="155" ht="21.5" customHeight="1"/>
    <row r="156" ht="21.5" customHeight="1"/>
    <row r="157" ht="21.5" customHeight="1"/>
    <row r="158" ht="21.5" customHeight="1"/>
    <row r="159" ht="21.5" customHeight="1"/>
    <row r="160" ht="21.5" customHeight="1"/>
    <row r="161" ht="21.5" customHeight="1"/>
    <row r="162" ht="21.5" customHeight="1"/>
    <row r="163" ht="21.5" customHeight="1"/>
    <row r="164" ht="21.5" customHeight="1"/>
    <row r="165" ht="21.5" customHeight="1"/>
    <row r="166" ht="21.5" customHeight="1"/>
    <row r="167" ht="21.5" customHeight="1"/>
    <row r="168" ht="21.5" customHeight="1"/>
    <row r="169" ht="21.5" customHeight="1"/>
    <row r="170" ht="21.5" customHeight="1"/>
    <row r="171" ht="21.5" customHeight="1"/>
    <row r="172" ht="21.5" customHeight="1"/>
    <row r="173" ht="21.5" customHeight="1"/>
    <row r="174" ht="21.5" customHeight="1"/>
    <row r="175" ht="21.5" customHeight="1"/>
    <row r="176" ht="21.5" customHeight="1"/>
    <row r="177" ht="21.5" customHeight="1"/>
    <row r="178" ht="21.5" customHeight="1"/>
    <row r="179" ht="21.5" customHeight="1"/>
    <row r="180" ht="21.5" customHeight="1"/>
    <row r="181" ht="21.5" customHeight="1"/>
    <row r="182" ht="21.5" customHeight="1"/>
    <row r="183" ht="21.5" customHeight="1"/>
    <row r="184" ht="21.5" customHeight="1"/>
    <row r="185" ht="21.5" customHeight="1"/>
    <row r="186" ht="21.5" customHeight="1"/>
    <row r="187" ht="21.5" customHeight="1"/>
    <row r="188" ht="21.5" customHeight="1"/>
    <row r="189" ht="21.5" customHeight="1"/>
    <row r="190" ht="21.5" customHeight="1"/>
    <row r="191" ht="21.5" customHeight="1"/>
    <row r="192" ht="21.5" customHeight="1"/>
    <row r="193" ht="21.5" customHeight="1"/>
    <row r="194" ht="21.5" customHeight="1"/>
    <row r="195" ht="21.5" customHeight="1"/>
    <row r="196" ht="21.5" customHeight="1"/>
    <row r="197" ht="21.5" customHeight="1"/>
    <row r="198" ht="21.5" customHeight="1"/>
    <row r="199" ht="21.5" customHeight="1"/>
    <row r="200" ht="21.5" customHeight="1"/>
    <row r="201" ht="21.5" customHeight="1"/>
    <row r="202" ht="21.5" customHeight="1"/>
    <row r="203" ht="21.5" customHeight="1"/>
    <row r="204" ht="21.5" customHeight="1"/>
    <row r="205" ht="21.5" customHeight="1"/>
    <row r="206" ht="21.5" customHeight="1"/>
    <row r="207" ht="21.5" customHeight="1"/>
    <row r="208" ht="21.5" customHeight="1"/>
    <row r="209" ht="21.5" customHeight="1"/>
    <row r="210" ht="21.5" customHeight="1"/>
    <row r="211" ht="21.5" customHeight="1"/>
    <row r="212" ht="21.5" customHeight="1"/>
    <row r="213" ht="21.5" customHeight="1"/>
    <row r="214" ht="21.5" customHeight="1"/>
    <row r="215" ht="21.5" customHeight="1"/>
    <row r="216" ht="21.5" customHeight="1"/>
    <row r="217" ht="21.5" customHeight="1"/>
    <row r="218" ht="21.5" customHeight="1"/>
    <row r="219" ht="21.5" customHeight="1"/>
    <row r="220" ht="21.5" customHeight="1"/>
    <row r="221" ht="21.5" customHeight="1"/>
    <row r="222" ht="21.5" customHeight="1"/>
    <row r="223" ht="21.5" customHeight="1"/>
    <row r="224" ht="21.5" customHeight="1"/>
    <row r="225" ht="21.5" customHeight="1"/>
    <row r="226" ht="21.5" customHeight="1"/>
    <row r="227" ht="21.5" customHeight="1"/>
    <row r="228" ht="21.5" customHeight="1"/>
    <row r="229" ht="21.5" customHeight="1"/>
    <row r="230" ht="21.5" customHeight="1"/>
    <row r="231" ht="21.5" customHeight="1"/>
    <row r="232" ht="21.5" customHeight="1"/>
    <row r="233" ht="21.5" customHeight="1"/>
    <row r="234" ht="21.5" customHeight="1"/>
    <row r="235" ht="21.5" customHeight="1"/>
    <row r="236" ht="21.5" customHeight="1"/>
    <row r="237" ht="21.5" customHeight="1"/>
    <row r="238" ht="21.5" customHeight="1"/>
    <row r="239" ht="21.5" customHeight="1"/>
    <row r="240" ht="21.5" customHeight="1"/>
    <row r="241" ht="21.5" customHeight="1"/>
    <row r="242" ht="21.5" customHeight="1"/>
    <row r="243" ht="21.5" customHeight="1"/>
    <row r="244" ht="21.5" customHeight="1"/>
    <row r="245" ht="21.5" customHeight="1"/>
    <row r="246" ht="21.5" customHeight="1"/>
    <row r="247" ht="21.5" customHeight="1"/>
    <row r="248" ht="21.5" customHeight="1"/>
    <row r="249" ht="21.5" customHeight="1"/>
    <row r="250" ht="21.5" customHeight="1"/>
    <row r="251" ht="21.5" customHeight="1"/>
    <row r="252" ht="21.5" customHeight="1"/>
    <row r="253" ht="21.5" customHeight="1"/>
    <row r="254" ht="21.5" customHeight="1"/>
    <row r="255" ht="21.5" customHeight="1"/>
    <row r="256" ht="21.5" customHeight="1"/>
    <row r="257" ht="21.5" customHeight="1"/>
    <row r="258" ht="21.5" customHeight="1"/>
    <row r="259" ht="21.5" customHeight="1"/>
    <row r="260" ht="21.5" customHeight="1"/>
    <row r="261" ht="21.5" customHeight="1"/>
    <row r="262" ht="21.5" customHeight="1"/>
    <row r="263" ht="21.5" customHeight="1"/>
    <row r="264" ht="21.5" customHeight="1"/>
    <row r="265" ht="21.5" customHeight="1"/>
    <row r="266" ht="21.5" customHeight="1"/>
    <row r="267" ht="21.5" customHeight="1"/>
    <row r="268" ht="21.5" customHeight="1"/>
    <row r="269" ht="21.5" customHeight="1"/>
    <row r="270" ht="21.5" customHeight="1"/>
    <row r="271" ht="21.5" customHeight="1"/>
    <row r="272" ht="21.5" customHeight="1"/>
    <row r="273" ht="21.5" customHeight="1"/>
    <row r="274" ht="21.5" customHeight="1"/>
    <row r="275" ht="21.5" customHeight="1"/>
    <row r="276" ht="21.5" customHeight="1"/>
    <row r="277" ht="21.5" customHeight="1"/>
    <row r="278" ht="21.5" customHeight="1"/>
    <row r="279" ht="21.5" customHeight="1"/>
    <row r="280" ht="21.5" customHeight="1"/>
    <row r="281" ht="21.5" customHeight="1"/>
    <row r="282" ht="21.5" customHeight="1"/>
    <row r="283" ht="21.5" customHeight="1"/>
    <row r="284" ht="21.5" customHeight="1"/>
    <row r="285" ht="21.5" customHeight="1"/>
    <row r="286" ht="21.5" customHeight="1"/>
    <row r="287" ht="21.5" customHeight="1"/>
    <row r="288" ht="21.5" customHeight="1"/>
    <row r="289" ht="21.5" customHeight="1"/>
    <row r="290" ht="21.5" customHeight="1"/>
    <row r="291" ht="21.5" customHeight="1"/>
    <row r="292" ht="21.5" customHeight="1"/>
    <row r="293" ht="21.5" customHeight="1"/>
    <row r="294" ht="21.5" customHeight="1"/>
    <row r="295" ht="21.5" customHeight="1"/>
    <row r="296" ht="21.5" customHeight="1"/>
    <row r="297" ht="21.5" customHeight="1"/>
    <row r="298" ht="21.5" customHeight="1"/>
    <row r="299" ht="21.5" customHeight="1"/>
    <row r="300" ht="21.5" customHeight="1"/>
    <row r="301" ht="21.5" customHeight="1"/>
    <row r="302" ht="21.5" customHeight="1"/>
    <row r="303" ht="21.5" customHeight="1"/>
    <row r="304" ht="21.5" customHeight="1"/>
    <row r="305" ht="21.5" customHeight="1"/>
    <row r="306" ht="21.5" customHeight="1"/>
    <row r="307" ht="21.5" customHeight="1"/>
    <row r="308" ht="21.5" customHeight="1"/>
    <row r="309" ht="21.5" customHeight="1"/>
    <row r="310" ht="21.5" customHeight="1"/>
    <row r="311" ht="21.5" customHeight="1"/>
    <row r="312" ht="21.5" customHeight="1"/>
    <row r="313" ht="21.5" customHeight="1"/>
    <row r="314" ht="21.5" customHeight="1"/>
    <row r="315" ht="21.5" customHeight="1"/>
    <row r="316" ht="21.5" customHeight="1"/>
    <row r="317" ht="21.5" customHeight="1"/>
    <row r="318" ht="21.5" customHeight="1"/>
    <row r="319" ht="21.5" customHeight="1"/>
    <row r="320" ht="21.5" customHeight="1"/>
    <row r="321" ht="21.5" customHeight="1"/>
    <row r="322" ht="21.5" customHeight="1"/>
    <row r="323" ht="21.5" customHeight="1"/>
    <row r="324" ht="21.5" customHeight="1"/>
    <row r="325" ht="21.5" customHeight="1"/>
    <row r="326" ht="21.5" customHeight="1"/>
    <row r="327" ht="21.5" customHeight="1"/>
    <row r="328" ht="21.5" customHeight="1"/>
    <row r="329" ht="21.5" customHeight="1"/>
    <row r="330" ht="21.5" customHeight="1"/>
    <row r="331" ht="21.5" customHeight="1"/>
    <row r="332" ht="21.5" customHeight="1"/>
    <row r="333" ht="21.5" customHeight="1"/>
    <row r="334" ht="21.5" customHeight="1"/>
    <row r="335" ht="21.5" customHeight="1"/>
    <row r="336" ht="21.5" customHeight="1"/>
    <row r="337" ht="21.5" customHeight="1"/>
    <row r="338" ht="21.5" customHeight="1"/>
    <row r="339" ht="21.5" customHeight="1"/>
    <row r="340" ht="21.5" customHeight="1"/>
    <row r="341" ht="21.5" customHeight="1"/>
    <row r="342" ht="21.5" customHeight="1"/>
    <row r="343" ht="21.5" customHeight="1"/>
    <row r="344" ht="21.5" customHeight="1"/>
    <row r="345" ht="21.5" customHeight="1"/>
    <row r="346" ht="21.5" customHeight="1"/>
    <row r="347" ht="21.5" customHeight="1"/>
    <row r="348" ht="21.5" customHeight="1"/>
    <row r="349" ht="21.5" customHeight="1"/>
    <row r="350" ht="21.5" customHeight="1"/>
    <row r="351" ht="21.5" customHeight="1"/>
    <row r="352" ht="21.5" customHeight="1"/>
    <row r="353" ht="21.5" customHeight="1"/>
    <row r="354" ht="21.5" customHeight="1"/>
    <row r="355" ht="21.5" customHeight="1"/>
    <row r="356" ht="21.5" customHeight="1"/>
    <row r="357" ht="21.5" customHeight="1"/>
    <row r="358" ht="21.5" customHeight="1"/>
    <row r="359" ht="21.5" customHeight="1"/>
    <row r="360" ht="21.5" customHeight="1"/>
    <row r="361" ht="21.5" customHeight="1"/>
    <row r="362" ht="21.5" customHeight="1"/>
    <row r="363" ht="21.5" customHeight="1"/>
    <row r="364" ht="21.5" customHeight="1"/>
    <row r="365" ht="21.5" customHeight="1"/>
    <row r="366" ht="21.5" customHeight="1"/>
    <row r="367" ht="21.5" customHeight="1"/>
    <row r="368" ht="21.5" customHeight="1"/>
    <row r="369" ht="21.5" customHeight="1"/>
    <row r="370" ht="21.5" customHeight="1"/>
    <row r="371" ht="21.5" customHeight="1"/>
    <row r="372" ht="21.5" customHeight="1"/>
    <row r="373" ht="21.5" customHeight="1"/>
    <row r="374" ht="21.5" customHeight="1"/>
    <row r="375" ht="21.5" customHeight="1"/>
    <row r="376" ht="21.5" customHeight="1"/>
    <row r="377" ht="21.5" customHeight="1"/>
    <row r="378" ht="21.5" customHeight="1"/>
    <row r="379" ht="21.5" customHeight="1"/>
    <row r="380" ht="21.5" customHeight="1"/>
    <row r="381" ht="21.5" customHeight="1"/>
    <row r="382" ht="21.5" customHeight="1"/>
    <row r="383" ht="21.5" customHeight="1"/>
    <row r="384" ht="21.5" customHeight="1"/>
    <row r="385" ht="21.5" customHeight="1"/>
    <row r="386" ht="21.5" customHeight="1"/>
    <row r="387" ht="21.5" customHeight="1"/>
    <row r="388" ht="21.5" customHeight="1"/>
    <row r="389" ht="21.5" customHeight="1"/>
    <row r="390" ht="21.5" customHeight="1"/>
    <row r="391" ht="21.5" customHeight="1"/>
    <row r="392" ht="21.5" customHeight="1"/>
    <row r="393" ht="21.5" customHeight="1"/>
    <row r="394" ht="21.5" customHeight="1"/>
    <row r="395" ht="21.5" customHeight="1"/>
    <row r="396" ht="21.5" customHeight="1"/>
    <row r="397" ht="21.5" customHeight="1"/>
    <row r="398" ht="21.5" customHeight="1"/>
    <row r="399" ht="21.5" customHeight="1"/>
    <row r="400" ht="21.5" customHeight="1"/>
    <row r="401" ht="21.5" customHeight="1"/>
    <row r="402" ht="21.5" customHeight="1"/>
    <row r="403" ht="21.5" customHeight="1"/>
    <row r="404" ht="21.5" customHeight="1"/>
    <row r="405" ht="21.5" customHeight="1"/>
    <row r="406" ht="21.5" customHeight="1"/>
    <row r="407" ht="21.5" customHeight="1"/>
    <row r="408" ht="21.5" customHeight="1"/>
    <row r="409" ht="21.5" customHeight="1"/>
    <row r="410" ht="21.5" customHeight="1"/>
    <row r="411" ht="21.5" customHeight="1"/>
    <row r="412" ht="21.5" customHeight="1"/>
    <row r="413" ht="21.5" customHeight="1"/>
    <row r="414" ht="21.5" customHeight="1"/>
    <row r="415" ht="21.5" customHeight="1"/>
    <row r="416" ht="21.5" customHeight="1"/>
    <row r="417" ht="21.5" customHeight="1"/>
    <row r="418" ht="21.5" customHeight="1"/>
    <row r="419" ht="21.5" customHeight="1"/>
    <row r="420" ht="21.5" customHeight="1"/>
    <row r="421" ht="21.5" customHeight="1"/>
    <row r="422" ht="21.5" customHeight="1"/>
    <row r="423" ht="21.5" customHeight="1"/>
    <row r="424" ht="21.5" customHeight="1"/>
    <row r="425" ht="21.5" customHeight="1"/>
    <row r="426" ht="21.5" customHeight="1"/>
    <row r="427" ht="21.5" customHeight="1"/>
    <row r="428" ht="21.5" customHeight="1"/>
    <row r="429" ht="21.5" customHeight="1"/>
    <row r="430" ht="21.5" customHeight="1"/>
    <row r="431" ht="21.5" customHeight="1"/>
    <row r="432" ht="21.5" customHeight="1"/>
    <row r="433" ht="21.5" customHeight="1"/>
    <row r="434" ht="21.5" customHeight="1"/>
    <row r="435" ht="21.5" customHeight="1"/>
    <row r="436" ht="21.5" customHeight="1"/>
    <row r="437" ht="21.5" customHeight="1"/>
    <row r="438" ht="21.5" customHeight="1"/>
    <row r="439" ht="21.5" customHeight="1"/>
    <row r="440" ht="21.5" customHeight="1"/>
    <row r="441" ht="21.5" customHeight="1"/>
    <row r="442" ht="21.5" customHeight="1"/>
    <row r="443" ht="21.5" customHeight="1"/>
    <row r="444" ht="21.5" customHeight="1"/>
    <row r="445" ht="21.5" customHeight="1"/>
    <row r="446" ht="21.5" customHeight="1"/>
    <row r="447" ht="21.5" customHeight="1"/>
    <row r="448" ht="21.5" customHeight="1"/>
    <row r="449" ht="21.5" customHeight="1"/>
    <row r="450" ht="21.5" customHeight="1"/>
    <row r="451" ht="21.5" customHeight="1"/>
    <row r="452" ht="21.5" customHeight="1"/>
    <row r="453" ht="21.5" customHeight="1"/>
    <row r="454" ht="21.5" customHeight="1"/>
    <row r="455" ht="21.5" customHeight="1"/>
    <row r="456" ht="21.5" customHeight="1"/>
    <row r="457" ht="21.5" customHeight="1"/>
    <row r="458" ht="21.5" customHeight="1"/>
    <row r="459" ht="21.5" customHeight="1"/>
    <row r="460" ht="21.5" customHeight="1"/>
    <row r="461" ht="21.5" customHeight="1"/>
    <row r="462" ht="21.5" customHeight="1"/>
    <row r="463" ht="21.5" customHeight="1"/>
    <row r="464" ht="21.5" customHeight="1"/>
    <row r="465" ht="21.5" customHeight="1"/>
    <row r="466" ht="21.5" customHeight="1"/>
    <row r="467" ht="21.5" customHeight="1"/>
    <row r="468" ht="21.5" customHeight="1"/>
    <row r="469" ht="21.5" customHeight="1"/>
    <row r="470" ht="21.5" customHeight="1"/>
    <row r="471" ht="21.5" customHeight="1"/>
    <row r="472" ht="21.5" customHeight="1"/>
    <row r="473" ht="21.5" customHeight="1"/>
    <row r="474" ht="21.5" customHeight="1"/>
    <row r="475" ht="21.5" customHeight="1"/>
    <row r="476" ht="21.5" customHeight="1"/>
    <row r="477" ht="21.5" customHeight="1"/>
    <row r="478" ht="21.5" customHeight="1"/>
    <row r="479" ht="21.5" customHeight="1"/>
    <row r="480" ht="21.5" customHeight="1"/>
    <row r="481" ht="21.5" customHeight="1"/>
    <row r="482" ht="21.5" customHeight="1"/>
    <row r="483" ht="21.5" customHeight="1"/>
    <row r="484" ht="21.5" customHeight="1"/>
    <row r="485" ht="21.5" customHeight="1"/>
    <row r="486" ht="21.5" customHeight="1"/>
    <row r="487" ht="21.5" customHeight="1"/>
    <row r="488" ht="21.5" customHeight="1"/>
    <row r="489" ht="21.5" customHeight="1"/>
    <row r="490" ht="21.5" customHeight="1"/>
    <row r="491" ht="21.5" customHeight="1"/>
    <row r="492" ht="21.5" customHeight="1"/>
    <row r="493" ht="21.5" customHeight="1"/>
    <row r="494" ht="21.5" customHeight="1"/>
    <row r="495" ht="21.5" customHeight="1"/>
    <row r="496" ht="21.5" customHeight="1"/>
    <row r="497" ht="21.5" customHeight="1"/>
    <row r="498" ht="21.5" customHeight="1"/>
    <row r="499" ht="21.5" customHeight="1"/>
    <row r="500" ht="21.5" customHeight="1"/>
    <row r="501" ht="21.5" customHeight="1"/>
    <row r="502" ht="21.5" customHeight="1"/>
    <row r="503" ht="21.5" customHeight="1"/>
    <row r="504" ht="21.5" customHeight="1"/>
    <row r="505" ht="21.5" customHeight="1"/>
    <row r="506" ht="21.5" customHeight="1"/>
    <row r="507" ht="21.5" customHeight="1"/>
    <row r="508" ht="21.5" customHeight="1"/>
    <row r="509" ht="21.5" customHeight="1"/>
    <row r="510" ht="21.5" customHeight="1"/>
    <row r="511" ht="21.5" customHeight="1"/>
    <row r="512" ht="21.5" customHeight="1"/>
    <row r="513" ht="21.5" customHeight="1"/>
    <row r="514" ht="21.5" customHeight="1"/>
    <row r="515" ht="21.5" customHeight="1"/>
    <row r="516" ht="21.5" customHeight="1"/>
    <row r="517" ht="21.5" customHeight="1"/>
    <row r="518" ht="21.5" customHeight="1"/>
    <row r="519" ht="21.5" customHeight="1"/>
    <row r="520" ht="21.5" customHeight="1"/>
    <row r="521" ht="21.5" customHeight="1"/>
    <row r="522" ht="21.5" customHeight="1"/>
    <row r="523" ht="21.5" customHeight="1"/>
    <row r="524" ht="21.5" customHeight="1"/>
    <row r="525" ht="21.5" customHeight="1"/>
    <row r="526" ht="21.5" customHeight="1"/>
    <row r="527" ht="21.5" customHeight="1"/>
    <row r="528" ht="21.5" customHeight="1"/>
    <row r="529" ht="21.5" customHeight="1"/>
    <row r="530" ht="21.5" customHeight="1"/>
    <row r="531" ht="21.5" customHeight="1"/>
    <row r="532" ht="21.5" customHeight="1"/>
    <row r="533" ht="21.5" customHeight="1"/>
    <row r="534" ht="21.5" customHeight="1"/>
    <row r="535" ht="21.5" customHeight="1"/>
    <row r="536" ht="21.5" customHeight="1"/>
    <row r="537" ht="21.5" customHeight="1"/>
    <row r="538" ht="21.5" customHeight="1"/>
    <row r="539" ht="21.5" customHeight="1"/>
    <row r="540" ht="21.5" customHeight="1"/>
    <row r="541" ht="21.5" customHeight="1"/>
    <row r="542" ht="21.5" customHeight="1"/>
    <row r="543" ht="21.5" customHeight="1"/>
    <row r="544" ht="21.5" customHeight="1"/>
    <row r="545" ht="21.5" customHeight="1"/>
    <row r="546" ht="21.5" customHeight="1"/>
    <row r="547" ht="21.5" customHeight="1"/>
    <row r="548" ht="21.5" customHeight="1"/>
    <row r="549" ht="21.5" customHeight="1"/>
    <row r="550" ht="21.5" customHeight="1"/>
    <row r="551" ht="21.5" customHeight="1"/>
    <row r="552" ht="21.5" customHeight="1"/>
    <row r="553" ht="21.5" customHeight="1"/>
    <row r="554" ht="21.5" customHeight="1"/>
    <row r="555" ht="21.5" customHeight="1"/>
    <row r="556" ht="21.5" customHeight="1"/>
    <row r="557" ht="21.5" customHeight="1"/>
    <row r="558" ht="21.5" customHeight="1"/>
    <row r="559" ht="21.5" customHeight="1"/>
    <row r="560" ht="21.5" customHeight="1"/>
    <row r="561" ht="21.5" customHeight="1"/>
    <row r="562" ht="21.5" customHeight="1"/>
    <row r="563" ht="21.5" customHeight="1"/>
    <row r="564" ht="21.5" customHeight="1"/>
    <row r="565" ht="21.5" customHeight="1"/>
    <row r="566" ht="21.5" customHeight="1"/>
    <row r="567" ht="21.5" customHeight="1"/>
    <row r="568" ht="21.5" customHeight="1"/>
    <row r="569" ht="21.5" customHeight="1"/>
    <row r="570" ht="21.5" customHeight="1"/>
    <row r="571" ht="21.5" customHeight="1"/>
    <row r="572" ht="21.5" customHeight="1"/>
    <row r="573" ht="21.5" customHeight="1"/>
    <row r="574" ht="21.5" customHeight="1"/>
    <row r="575" ht="21.5" customHeight="1"/>
    <row r="576" ht="21.5" customHeight="1"/>
    <row r="577" ht="21.5" customHeight="1"/>
    <row r="578" ht="21.5" customHeight="1"/>
    <row r="579" ht="21.5" customHeight="1"/>
    <row r="580" ht="21.5" customHeight="1"/>
    <row r="581" ht="21.5" customHeight="1"/>
    <row r="582" ht="21.5" customHeight="1"/>
    <row r="583" ht="21.5" customHeight="1"/>
    <row r="584" ht="21.5" customHeight="1"/>
    <row r="585" ht="21.5" customHeight="1"/>
    <row r="586" ht="21.5" customHeight="1"/>
    <row r="587" ht="21.5" customHeight="1"/>
    <row r="588" ht="21.5" customHeight="1"/>
    <row r="589" ht="21.5" customHeight="1"/>
    <row r="590" ht="21.5" customHeight="1"/>
    <row r="591" ht="21.5" customHeight="1"/>
    <row r="592" ht="21.5" customHeight="1"/>
    <row r="593" ht="21.5" customHeight="1"/>
    <row r="594" ht="21.5" customHeight="1"/>
    <row r="595" ht="21.5" customHeight="1"/>
    <row r="596" ht="21.5" customHeight="1"/>
    <row r="597" ht="21.5" customHeight="1"/>
    <row r="598" ht="21.5" customHeight="1"/>
    <row r="599" ht="21.5" customHeight="1"/>
    <row r="600" ht="21.5" customHeight="1"/>
    <row r="601" ht="21.5" customHeight="1"/>
    <row r="602" ht="21.5" customHeight="1"/>
    <row r="603" ht="21.5" customHeight="1"/>
    <row r="604" ht="21.5" customHeight="1"/>
    <row r="605" ht="21.5" customHeight="1"/>
    <row r="606" ht="21.5" customHeight="1"/>
    <row r="607" ht="21.5" customHeight="1"/>
    <row r="608" ht="21.5" customHeight="1"/>
    <row r="609" ht="21.5" customHeight="1"/>
    <row r="610" ht="21.5" customHeight="1"/>
    <row r="611" ht="21.5" customHeight="1"/>
    <row r="612" ht="21.5" customHeight="1"/>
    <row r="613" ht="21.5" customHeight="1"/>
    <row r="614" ht="21.5" customHeight="1"/>
    <row r="615" ht="21.5" customHeight="1"/>
    <row r="616" ht="21.5" customHeight="1"/>
    <row r="617" ht="21.5" customHeight="1"/>
    <row r="618" ht="21.5" customHeight="1"/>
    <row r="619" ht="21.5" customHeight="1"/>
    <row r="620" ht="21.5" customHeight="1"/>
    <row r="621" ht="21.5" customHeight="1"/>
    <row r="622" ht="21.5" customHeight="1"/>
    <row r="623" ht="21.5" customHeight="1"/>
    <row r="624" ht="21.5" customHeight="1"/>
    <row r="625" ht="21.5" customHeight="1"/>
    <row r="626" ht="21.5" customHeight="1"/>
    <row r="627" ht="21.5" customHeight="1"/>
    <row r="628" ht="21.5" customHeight="1"/>
    <row r="629" ht="21.5" customHeight="1"/>
    <row r="630" ht="21.5" customHeight="1"/>
    <row r="631" ht="21.5" customHeight="1"/>
    <row r="632" ht="21.5" customHeight="1"/>
    <row r="633" ht="21.5" customHeight="1"/>
    <row r="634" ht="21.5" customHeight="1"/>
    <row r="635" ht="21.5" customHeight="1"/>
    <row r="636" ht="21.5" customHeight="1"/>
    <row r="637" ht="21.5" customHeight="1"/>
    <row r="638" ht="21.5" customHeight="1"/>
    <row r="639" ht="21.5" customHeight="1"/>
    <row r="640" ht="21.5" customHeight="1"/>
    <row r="641" ht="21.5" customHeight="1"/>
    <row r="642" ht="21.5" customHeight="1"/>
    <row r="643" ht="21.5" customHeight="1"/>
    <row r="644" ht="21.5" customHeight="1"/>
    <row r="645" ht="21.5" customHeight="1"/>
    <row r="646" ht="21.5" customHeight="1"/>
    <row r="647" ht="21.5" customHeight="1"/>
    <row r="648" ht="21.5" customHeight="1"/>
    <row r="649" ht="21.5" customHeight="1"/>
    <row r="650" ht="21.5" customHeight="1"/>
    <row r="651" ht="21.5" customHeight="1"/>
    <row r="652" ht="21.5" customHeight="1"/>
    <row r="653" ht="21.5" customHeight="1"/>
    <row r="654" ht="21.5" customHeight="1"/>
    <row r="655" ht="21.5" customHeight="1"/>
    <row r="656" ht="21.5" customHeight="1"/>
    <row r="657" ht="21.5" customHeight="1"/>
    <row r="658" ht="21.5" customHeight="1"/>
    <row r="659" ht="21.5" customHeight="1"/>
    <row r="660" ht="21.5" customHeight="1"/>
    <row r="661" ht="21.5" customHeight="1"/>
    <row r="662" ht="21.5" customHeight="1"/>
    <row r="663" ht="21.5" customHeight="1"/>
    <row r="664" ht="21.5" customHeight="1"/>
    <row r="665" ht="21.5" customHeight="1"/>
    <row r="666" ht="21.5" customHeight="1"/>
    <row r="667" ht="21.5" customHeight="1"/>
    <row r="668" ht="21.5" customHeight="1"/>
    <row r="669" ht="21.5" customHeight="1"/>
    <row r="670" ht="21.5" customHeight="1"/>
    <row r="671" ht="21.5" customHeight="1"/>
    <row r="672" ht="21.5" customHeight="1"/>
    <row r="673" ht="21.5" customHeight="1"/>
    <row r="674" ht="21.5" customHeight="1"/>
    <row r="675" ht="21.5" customHeight="1"/>
    <row r="676" ht="21.5" customHeight="1"/>
    <row r="677" ht="21.5" customHeight="1"/>
    <row r="678" ht="21.5" customHeight="1"/>
    <row r="679" ht="21.5" customHeight="1"/>
    <row r="680" ht="21.5" customHeight="1"/>
    <row r="681" ht="21.5" customHeight="1"/>
    <row r="682" ht="21.5" customHeight="1"/>
    <row r="683" ht="21.5" customHeight="1"/>
    <row r="684" ht="21.5" customHeight="1"/>
    <row r="685" ht="21.5" customHeight="1"/>
    <row r="686" ht="21.5" customHeight="1"/>
    <row r="687" ht="21.5" customHeight="1"/>
    <row r="688" ht="21.5" customHeight="1"/>
    <row r="689" ht="21.5" customHeight="1"/>
    <row r="690" ht="21.5" customHeight="1"/>
    <row r="691" ht="21.5" customHeight="1"/>
    <row r="692" ht="21.5" customHeight="1"/>
    <row r="693" ht="21.5" customHeight="1"/>
    <row r="694" ht="21.5" customHeight="1"/>
    <row r="695" ht="21.5" customHeight="1"/>
    <row r="696" ht="21.5" customHeight="1"/>
    <row r="697" ht="21.5" customHeight="1"/>
    <row r="698" ht="21.5" customHeight="1"/>
    <row r="699" ht="21.5" customHeight="1"/>
    <row r="700" ht="21.5" customHeight="1"/>
    <row r="701" ht="21.5" customHeight="1"/>
    <row r="702" ht="21.5" customHeight="1"/>
    <row r="703" ht="21.5" customHeight="1"/>
    <row r="704" ht="21.5" customHeight="1"/>
    <row r="705" ht="21.5" customHeight="1"/>
    <row r="706" ht="21.5" customHeight="1"/>
    <row r="707" ht="21.5" customHeight="1"/>
    <row r="708" ht="21.5" customHeight="1"/>
    <row r="709" ht="21.5" customHeight="1"/>
    <row r="710" ht="21.5" customHeight="1"/>
    <row r="711" ht="21.5" customHeight="1"/>
    <row r="712" ht="21.5" customHeight="1"/>
    <row r="713" ht="21.5" customHeight="1"/>
    <row r="714" ht="21.5" customHeight="1"/>
    <row r="715" ht="21.5" customHeight="1"/>
    <row r="716" ht="21.5" customHeight="1"/>
    <row r="717" ht="21.5" customHeight="1"/>
    <row r="718" ht="21.5" customHeight="1"/>
    <row r="719" ht="21.5" customHeight="1"/>
    <row r="720" ht="21.5" customHeight="1"/>
    <row r="721" ht="21.5" customHeight="1"/>
    <row r="722" ht="21.5" customHeight="1"/>
    <row r="723" ht="21.5" customHeight="1"/>
    <row r="724" ht="21.5" customHeight="1"/>
    <row r="725" ht="21.5" customHeight="1"/>
    <row r="726" ht="21.5" customHeight="1"/>
    <row r="727" ht="21.5" customHeight="1"/>
    <row r="728" ht="21.5" customHeight="1"/>
    <row r="729" ht="21.5" customHeight="1"/>
    <row r="730" ht="21.5" customHeight="1"/>
    <row r="731" ht="21.5" customHeight="1"/>
    <row r="732" ht="21.5" customHeight="1"/>
    <row r="733" ht="21.5" customHeight="1"/>
    <row r="734" ht="21.5" customHeight="1"/>
    <row r="735" ht="21.5" customHeight="1"/>
    <row r="736" ht="21.5" customHeight="1"/>
    <row r="737" ht="21.5" customHeight="1"/>
    <row r="738" ht="21.5" customHeight="1"/>
    <row r="739" ht="21.5" customHeight="1"/>
    <row r="740" ht="21.5" customHeight="1"/>
    <row r="741" ht="21.5" customHeight="1"/>
    <row r="742" ht="21.5" customHeight="1"/>
    <row r="743" ht="21.5" customHeight="1"/>
    <row r="744" ht="21.5" customHeight="1"/>
    <row r="745" ht="21.5" customHeight="1"/>
    <row r="746" ht="21.5" customHeight="1"/>
    <row r="747" ht="21.5" customHeight="1"/>
    <row r="748" ht="21.5" customHeight="1"/>
    <row r="749" ht="21.5" customHeight="1"/>
    <row r="750" ht="21.5" customHeight="1"/>
    <row r="751" ht="21.5" customHeight="1"/>
    <row r="752" ht="21.5" customHeight="1"/>
    <row r="753" ht="21.5" customHeight="1"/>
    <row r="754" ht="21.5" customHeight="1"/>
    <row r="755" ht="21.5" customHeight="1"/>
    <row r="756" ht="21.5" customHeight="1"/>
    <row r="757" ht="21.5" customHeight="1"/>
    <row r="758" ht="21.5" customHeight="1"/>
    <row r="759" ht="21.5" customHeight="1"/>
    <row r="760" ht="21.5" customHeight="1"/>
    <row r="761" ht="21.5" customHeight="1"/>
    <row r="762" ht="21.5" customHeight="1"/>
    <row r="763" ht="21.5" customHeight="1"/>
    <row r="764" ht="21.5" customHeight="1"/>
    <row r="765" ht="21.5" customHeight="1"/>
    <row r="766" ht="21.5" customHeight="1"/>
    <row r="767" ht="21.5" customHeight="1"/>
    <row r="768" ht="21.5" customHeight="1"/>
    <row r="769" ht="21.5" customHeight="1"/>
    <row r="770" ht="21.5" customHeight="1"/>
    <row r="771" ht="21.5" customHeight="1"/>
    <row r="772" ht="21.5" customHeight="1"/>
    <row r="773" ht="21.5" customHeight="1"/>
    <row r="774" ht="21.5" customHeight="1"/>
    <row r="775" ht="21.5" customHeight="1"/>
    <row r="776" ht="21.5" customHeight="1"/>
    <row r="777" ht="21.5" customHeight="1"/>
    <row r="778" ht="21.5" customHeight="1"/>
    <row r="779" ht="21.5" customHeight="1"/>
    <row r="780" ht="21.5" customHeight="1"/>
    <row r="781" ht="21.5" customHeight="1"/>
    <row r="782" ht="21.5" customHeight="1"/>
    <row r="783" ht="21.5" customHeight="1"/>
    <row r="784" ht="21.5" customHeight="1"/>
    <row r="785" ht="21.5" customHeight="1"/>
    <row r="786" ht="21.5" customHeight="1"/>
    <row r="787" ht="21.5" customHeight="1"/>
    <row r="788" ht="21.5" customHeight="1"/>
    <row r="789" ht="21.5" customHeight="1"/>
    <row r="790" ht="21.5" customHeight="1"/>
    <row r="791" ht="21.5" customHeight="1"/>
    <row r="792" ht="21.5" customHeight="1"/>
    <row r="793" ht="21.5" customHeight="1"/>
    <row r="794" ht="21.5" customHeight="1"/>
    <row r="795" ht="21.5" customHeight="1"/>
    <row r="796" ht="21.5" customHeight="1"/>
    <row r="797" ht="21.5" customHeight="1"/>
    <row r="798" ht="21.5" customHeight="1"/>
    <row r="799" ht="21.5" customHeight="1"/>
    <row r="800" ht="21.5" customHeight="1"/>
    <row r="801" ht="21.5" customHeight="1"/>
    <row r="802" ht="21.5" customHeight="1"/>
    <row r="803" ht="21.5" customHeight="1"/>
    <row r="804" ht="21.5" customHeight="1"/>
    <row r="805" ht="21.5" customHeight="1"/>
    <row r="806" ht="21.5" customHeight="1"/>
    <row r="807" ht="21.5" customHeight="1"/>
    <row r="808" ht="21.5" customHeight="1"/>
    <row r="809" ht="21.5" customHeight="1"/>
    <row r="810" ht="21.5" customHeight="1"/>
    <row r="811" ht="21.5" customHeight="1"/>
    <row r="812" ht="21.5" customHeight="1"/>
    <row r="813" ht="21.5" customHeight="1"/>
    <row r="814" ht="21.5" customHeight="1"/>
    <row r="815" ht="21.5" customHeight="1"/>
    <row r="816" ht="21.5" customHeight="1"/>
    <row r="817" ht="21.5" customHeight="1"/>
    <row r="818" ht="21.5" customHeight="1"/>
    <row r="819" ht="21.5" customHeight="1"/>
    <row r="820" ht="21.5" customHeight="1"/>
    <row r="821" ht="21.5" customHeight="1"/>
    <row r="822" ht="21.5" customHeight="1"/>
    <row r="823" ht="21.5" customHeight="1"/>
    <row r="824" ht="21.5" customHeight="1"/>
    <row r="825" ht="21.5" customHeight="1"/>
    <row r="826" ht="21.5" customHeight="1"/>
    <row r="827" ht="21.5" customHeight="1"/>
    <row r="828" ht="21.5" customHeight="1"/>
    <row r="829" ht="21.5" customHeight="1"/>
    <row r="830" ht="21.5" customHeight="1"/>
    <row r="831" ht="21.5" customHeight="1"/>
    <row r="832" ht="21.5" customHeight="1"/>
    <row r="833" ht="21.5" customHeight="1"/>
    <row r="834" ht="21.5" customHeight="1"/>
    <row r="835" ht="21.5" customHeight="1"/>
    <row r="836" ht="21.5" customHeight="1"/>
    <row r="837" ht="21.5" customHeight="1"/>
    <row r="838" ht="21.5" customHeight="1"/>
    <row r="839" ht="21.5" customHeight="1"/>
    <row r="840" ht="21.5" customHeight="1"/>
    <row r="841" ht="21.5" customHeight="1"/>
    <row r="842" ht="21.5" customHeight="1"/>
    <row r="843" ht="21.5" customHeight="1"/>
    <row r="844" ht="21.5" customHeight="1"/>
    <row r="845" ht="21.5" customHeight="1"/>
    <row r="846" ht="21.5" customHeight="1"/>
    <row r="847" ht="21.5" customHeight="1"/>
    <row r="848" ht="21.5" customHeight="1"/>
    <row r="849" ht="21.5" customHeight="1"/>
    <row r="850" ht="21.5" customHeight="1"/>
    <row r="851" ht="21.5" customHeight="1"/>
    <row r="852" ht="21.5" customHeight="1"/>
    <row r="853" ht="21.5" customHeight="1"/>
    <row r="854" ht="21.5" customHeight="1"/>
    <row r="855" ht="21.5" customHeight="1"/>
    <row r="856" ht="21.5" customHeight="1"/>
    <row r="857" ht="21.5" customHeight="1"/>
    <row r="858" ht="21.5" customHeight="1"/>
    <row r="859" ht="21.5" customHeight="1"/>
    <row r="860" ht="21.5" customHeight="1"/>
    <row r="861" ht="21.5" customHeight="1"/>
    <row r="862" ht="21.5" customHeight="1"/>
    <row r="863" ht="21.5" customHeight="1"/>
    <row r="864" ht="21.5" customHeight="1"/>
    <row r="865" ht="21.5" customHeight="1"/>
    <row r="866" ht="21.5" customHeight="1"/>
    <row r="867" ht="21.5" customHeight="1"/>
    <row r="868" ht="21.5" customHeight="1"/>
    <row r="869" ht="21.5" customHeight="1"/>
    <row r="870" ht="21.5" customHeight="1"/>
    <row r="871" ht="21.5" customHeight="1"/>
    <row r="872" ht="21.5" customHeight="1"/>
    <row r="873" ht="21.5" customHeight="1"/>
    <row r="874" ht="21.5" customHeight="1"/>
    <row r="875" ht="21.5" customHeight="1"/>
    <row r="876" ht="21.5" customHeight="1"/>
    <row r="877" ht="21.5" customHeight="1"/>
    <row r="878" ht="21.5" customHeight="1"/>
    <row r="879" ht="21.5" customHeight="1"/>
    <row r="880" ht="21.5" customHeight="1"/>
    <row r="881" ht="21.5" customHeight="1"/>
    <row r="882" ht="21.5" customHeight="1"/>
    <row r="883" ht="21.5" customHeight="1"/>
    <row r="884" ht="21.5" customHeight="1"/>
    <row r="885" ht="21.5" customHeight="1"/>
    <row r="886" ht="21.5" customHeight="1"/>
    <row r="887" ht="21.5" customHeight="1"/>
    <row r="888" ht="21.5" customHeight="1"/>
    <row r="889" ht="21.5" customHeight="1"/>
    <row r="890" ht="21.5" customHeight="1"/>
    <row r="891" ht="21.5" customHeight="1"/>
    <row r="892" ht="21.5" customHeight="1"/>
    <row r="893" ht="21.5" customHeight="1"/>
    <row r="894" ht="21.5" customHeight="1"/>
    <row r="895" ht="21.5" customHeight="1"/>
    <row r="896" ht="21.5" customHeight="1"/>
    <row r="897" ht="21.5" customHeight="1"/>
    <row r="898" ht="21.5" customHeight="1"/>
    <row r="899" ht="21.5" customHeight="1"/>
    <row r="900" ht="21.5" customHeight="1"/>
    <row r="901" ht="21.5" customHeight="1"/>
    <row r="902" ht="21.5" customHeight="1"/>
    <row r="903" ht="21.5" customHeight="1"/>
    <row r="904" ht="21.5" customHeight="1"/>
    <row r="905" ht="21.5" customHeight="1"/>
    <row r="906" ht="21.5" customHeight="1"/>
    <row r="907" ht="21.5" customHeight="1"/>
    <row r="908" ht="21.5" customHeight="1"/>
    <row r="909" ht="21.5" customHeight="1"/>
    <row r="910" ht="21.5" customHeight="1"/>
    <row r="911" ht="21.5" customHeight="1"/>
    <row r="912" ht="21.5" customHeight="1"/>
    <row r="913" ht="21.5" customHeight="1"/>
    <row r="914" ht="21.5" customHeight="1"/>
    <row r="915" ht="21.5" customHeight="1"/>
    <row r="916" ht="21.5" customHeight="1"/>
    <row r="917" ht="21.5" customHeight="1"/>
    <row r="918" ht="21.5" customHeight="1"/>
    <row r="919" ht="21.5" customHeight="1"/>
    <row r="920" ht="21.5" customHeight="1"/>
    <row r="921" ht="21.5" customHeight="1"/>
    <row r="922" ht="21.5" customHeight="1"/>
    <row r="923" ht="21.5" customHeight="1"/>
    <row r="924" ht="21.5" customHeight="1"/>
    <row r="925" ht="21.5" customHeight="1"/>
    <row r="926" ht="21.5" customHeight="1"/>
    <row r="927" ht="21.5" customHeight="1"/>
    <row r="928" ht="21.5" customHeight="1"/>
    <row r="929" ht="21.5" customHeight="1"/>
    <row r="930" ht="21.5" customHeight="1"/>
    <row r="931" ht="21.5" customHeight="1"/>
    <row r="932" ht="21.5" customHeight="1"/>
    <row r="933" ht="21.5" customHeight="1"/>
    <row r="934" ht="21.5" customHeight="1"/>
    <row r="935" ht="21.5" customHeight="1"/>
    <row r="936" ht="21.5" customHeight="1"/>
    <row r="937" ht="21.5" customHeight="1"/>
    <row r="938" ht="21.5" customHeight="1"/>
    <row r="939" ht="21.5" customHeight="1"/>
    <row r="940" ht="21.5" customHeight="1"/>
    <row r="941" ht="21.5" customHeight="1"/>
    <row r="942" ht="21.5" customHeight="1"/>
    <row r="943" ht="21.5" customHeight="1"/>
    <row r="944" ht="21.5" customHeight="1"/>
    <row r="945" ht="21.5" customHeight="1"/>
    <row r="946" ht="21.5" customHeight="1"/>
    <row r="947" ht="21.5" customHeight="1"/>
    <row r="948" ht="21.5" customHeight="1"/>
    <row r="949" ht="21.5" customHeight="1"/>
    <row r="950" ht="21.5" customHeight="1"/>
    <row r="951" ht="21.5" customHeight="1"/>
    <row r="952" ht="21.5" customHeight="1"/>
    <row r="953" ht="21.5" customHeight="1"/>
    <row r="954" ht="21.5" customHeight="1"/>
    <row r="955" ht="21.5" customHeight="1"/>
    <row r="956" ht="21.5" customHeight="1"/>
    <row r="957" ht="21.5" customHeight="1"/>
    <row r="958" ht="21.5" customHeight="1"/>
    <row r="959" ht="21.5" customHeight="1"/>
    <row r="960" ht="21.5" customHeight="1"/>
    <row r="961" ht="21.5" customHeight="1"/>
    <row r="962" ht="21.5" customHeight="1"/>
    <row r="963" ht="21.5" customHeight="1"/>
    <row r="964" ht="21.5" customHeight="1"/>
    <row r="965" ht="21.5" customHeight="1"/>
    <row r="966" ht="21.5" customHeight="1"/>
    <row r="967" ht="21.5" customHeight="1"/>
    <row r="968" ht="21.5" customHeight="1"/>
    <row r="969" ht="21.5" customHeight="1"/>
    <row r="970" ht="21.5" customHeight="1"/>
    <row r="971" ht="21.5" customHeight="1"/>
    <row r="972" ht="21.5" customHeight="1"/>
    <row r="973" ht="21.5" customHeight="1"/>
    <row r="974" ht="21.5" customHeight="1"/>
    <row r="975" ht="21.5" customHeight="1"/>
    <row r="976" ht="21.5" customHeight="1"/>
    <row r="977" ht="21.5" customHeight="1"/>
    <row r="978" ht="21.5" customHeight="1"/>
    <row r="979" ht="21.5" customHeight="1"/>
    <row r="980" ht="21.5" customHeight="1"/>
    <row r="981" ht="21.5" customHeight="1"/>
    <row r="982" ht="21.5" customHeight="1"/>
    <row r="983" ht="21.5" customHeight="1"/>
    <row r="984" ht="21.5" customHeight="1"/>
    <row r="985" ht="21.5" customHeight="1"/>
    <row r="986" ht="21.5" customHeight="1"/>
    <row r="987" ht="21.5" customHeight="1"/>
    <row r="988" ht="21.5" customHeight="1"/>
    <row r="989" ht="21.5" customHeight="1"/>
    <row r="990" ht="21.5" customHeight="1"/>
    <row r="991" ht="21.5" customHeight="1"/>
    <row r="992" ht="21.5" customHeight="1"/>
    <row r="993" ht="21.5" customHeight="1"/>
    <row r="994" ht="21.5" customHeight="1"/>
    <row r="995" ht="21.5" customHeight="1"/>
    <row r="996" ht="21.5" customHeight="1"/>
    <row r="997" ht="21.5" customHeight="1"/>
    <row r="998" ht="21.5" customHeight="1"/>
    <row r="999" ht="21.5" customHeight="1"/>
    <row r="1000" ht="21.5" customHeight="1"/>
    <row r="1001" ht="21.5" customHeight="1"/>
    <row r="1002" ht="21.5" customHeight="1"/>
    <row r="1003" ht="21.5" customHeight="1"/>
    <row r="1004" ht="21.5" customHeight="1"/>
    <row r="1005" ht="21.5" customHeight="1"/>
    <row r="1006" ht="21.5" customHeight="1"/>
    <row r="1007" ht="21.5" customHeight="1"/>
    <row r="1008" ht="21.5" customHeight="1"/>
    <row r="1009" ht="21.5" customHeight="1"/>
    <row r="1010" ht="21.5" customHeight="1"/>
    <row r="1011" ht="21.5" customHeight="1"/>
    <row r="1012" ht="21.5" customHeight="1"/>
    <row r="1013" ht="21.5" customHeight="1"/>
    <row r="1014" ht="21.5" customHeight="1"/>
    <row r="1015" ht="21.5" customHeight="1"/>
    <row r="1016" ht="21.5" customHeight="1"/>
    <row r="1017" ht="21.5" customHeight="1"/>
    <row r="1018" ht="21.5" customHeight="1"/>
    <row r="1019" ht="21.5" customHeight="1"/>
    <row r="1020" ht="21.5" customHeight="1"/>
    <row r="1021" ht="21.5" customHeight="1"/>
    <row r="1022" ht="21.5" customHeight="1"/>
    <row r="1023" ht="21.5" customHeight="1"/>
    <row r="1024" ht="21.5" customHeight="1"/>
    <row r="1025" ht="21.5" customHeight="1"/>
    <row r="1026" ht="21.5" customHeight="1"/>
    <row r="1027" ht="21.5" customHeight="1"/>
    <row r="1028" ht="21.5" customHeight="1"/>
    <row r="1029" ht="21.5" customHeight="1"/>
    <row r="1030" ht="21.5" customHeight="1"/>
    <row r="1031" ht="21.5" customHeight="1"/>
    <row r="1032" ht="21.5" customHeight="1"/>
    <row r="1033" ht="21.5" customHeight="1"/>
    <row r="1034" ht="21.5" customHeight="1"/>
    <row r="1035" ht="21.5" customHeight="1"/>
    <row r="1036" ht="21.5" customHeight="1"/>
    <row r="1037" ht="21.5" customHeight="1"/>
    <row r="1038" ht="21.5" customHeight="1"/>
    <row r="1039" ht="21.5" customHeight="1"/>
    <row r="1040" ht="21.5" customHeight="1"/>
    <row r="1041" ht="21.5" customHeight="1"/>
    <row r="1042" ht="21.5" customHeight="1"/>
    <row r="1043" ht="21.5" customHeight="1"/>
    <row r="1044" ht="21.5" customHeight="1"/>
    <row r="1045" ht="21.5" customHeight="1"/>
    <row r="1046" ht="21.5" customHeight="1"/>
    <row r="1047" ht="21.5" customHeight="1"/>
    <row r="1048" ht="21.5" customHeight="1"/>
    <row r="1049" ht="21.5" customHeight="1"/>
    <row r="1050" ht="21.5" customHeight="1"/>
    <row r="1051" ht="21.5" customHeight="1"/>
    <row r="1052" ht="21.5" customHeight="1"/>
    <row r="1053" ht="21.5" customHeight="1"/>
    <row r="1054" ht="21.5" customHeight="1"/>
    <row r="1055" ht="21.5" customHeight="1"/>
    <row r="1056" ht="21.5" customHeight="1"/>
    <row r="1057" ht="21.5" customHeight="1"/>
    <row r="1058" ht="21.5" customHeight="1"/>
    <row r="1059" ht="21.5" customHeight="1"/>
    <row r="1060" ht="21.5" customHeight="1"/>
    <row r="1061" ht="21.5" customHeight="1"/>
    <row r="1062" ht="21.5" customHeight="1"/>
    <row r="1063" ht="21.5" customHeight="1"/>
    <row r="1064" ht="21.5" customHeight="1"/>
    <row r="1065" ht="21.5" customHeight="1"/>
    <row r="1066" ht="21.5" customHeight="1"/>
    <row r="1067" ht="21.5" customHeight="1"/>
    <row r="1068" ht="21.5" customHeight="1"/>
    <row r="1069" ht="21.5" customHeight="1"/>
    <row r="1070" ht="21.5" customHeight="1"/>
    <row r="1071" ht="21.5" customHeight="1"/>
    <row r="1072" ht="21.5" customHeight="1"/>
    <row r="1073" ht="21.5" customHeight="1"/>
    <row r="1074" ht="21.5" customHeight="1"/>
    <row r="1075" ht="21.5" customHeight="1"/>
    <row r="1076" ht="21.5" customHeight="1"/>
    <row r="1077" ht="21.5" customHeight="1"/>
    <row r="1078" ht="21.5" customHeight="1"/>
    <row r="1079" ht="21.5" customHeight="1"/>
    <row r="1080" ht="21.5" customHeight="1"/>
    <row r="1081" ht="21.5" customHeight="1"/>
    <row r="1082" ht="21.5" customHeight="1"/>
    <row r="1083" ht="21.5" customHeight="1"/>
    <row r="1084" ht="21.5" customHeight="1"/>
    <row r="1085" ht="21.5" customHeight="1"/>
    <row r="1086" ht="21.5" customHeight="1"/>
    <row r="1087" ht="21.5" customHeight="1"/>
    <row r="1088" ht="21.5" customHeight="1"/>
    <row r="1089" ht="21.5" customHeight="1"/>
    <row r="1090" ht="21.5" customHeight="1"/>
    <row r="1091" ht="21.5" customHeight="1"/>
    <row r="1092" ht="21.5" customHeight="1"/>
    <row r="1093" ht="21.5" customHeight="1"/>
    <row r="1094" ht="21.5" customHeight="1"/>
    <row r="1095" ht="21.5" customHeight="1"/>
    <row r="1096" ht="21.5" customHeight="1"/>
    <row r="1097" ht="21.5" customHeight="1"/>
    <row r="1098" ht="21.5" customHeight="1"/>
    <row r="1099" ht="21.5" customHeight="1"/>
    <row r="1100" ht="21.5" customHeight="1"/>
    <row r="1101" ht="21.5" customHeight="1"/>
    <row r="1102" ht="21.5" customHeight="1"/>
    <row r="1103" ht="21.5" customHeight="1"/>
    <row r="1104" ht="21.5" customHeight="1"/>
    <row r="1105" ht="21.5" customHeight="1"/>
    <row r="1106" ht="21.5" customHeight="1"/>
    <row r="1107" ht="21.5" customHeight="1"/>
    <row r="1108" ht="21.5" customHeight="1"/>
    <row r="1109" ht="21.5" customHeight="1"/>
    <row r="1110" ht="21.5" customHeight="1"/>
    <row r="1111" ht="21.5" customHeight="1"/>
    <row r="1112" ht="21.5" customHeight="1"/>
    <row r="1113" ht="21.5" customHeight="1"/>
    <row r="1114" ht="21.5" customHeight="1"/>
    <row r="1115" ht="21.5" customHeight="1"/>
    <row r="1116" ht="21.5" customHeight="1"/>
    <row r="1117" ht="21.5" customHeight="1"/>
    <row r="1118" ht="21.5" customHeight="1"/>
    <row r="1119" ht="21.5" customHeight="1"/>
    <row r="1120" ht="21.5" customHeight="1"/>
    <row r="1121" ht="21.5" customHeight="1"/>
    <row r="1122" ht="21.5" customHeight="1"/>
    <row r="1123" ht="21.5" customHeight="1"/>
    <row r="1124" ht="21.5" customHeight="1"/>
    <row r="1125" ht="21.5" customHeight="1"/>
    <row r="1126" ht="21.5" customHeight="1"/>
    <row r="1127" ht="21.5" customHeight="1"/>
    <row r="1128" ht="21.5" customHeight="1"/>
    <row r="1129" ht="21.5" customHeight="1"/>
    <row r="1130" ht="21.5" customHeight="1"/>
    <row r="1131" ht="21.5" customHeight="1"/>
    <row r="1132" ht="21.5" customHeight="1"/>
    <row r="1133" ht="21.5" customHeight="1"/>
    <row r="1134" ht="21.5" customHeight="1"/>
    <row r="1135" ht="21.5" customHeight="1"/>
    <row r="1136" ht="21.5" customHeight="1"/>
    <row r="1137" ht="21.5" customHeight="1"/>
    <row r="1138" ht="21.5" customHeight="1"/>
    <row r="1139" ht="21.5" customHeight="1"/>
    <row r="1140" ht="21.5" customHeight="1"/>
    <row r="1141" ht="21.5" customHeight="1"/>
    <row r="1142" ht="21.5" customHeight="1"/>
    <row r="1143" ht="21.5" customHeight="1"/>
    <row r="1144" ht="21.5" customHeight="1"/>
    <row r="1145" ht="21.5" customHeight="1"/>
    <row r="1146" ht="21.5" customHeight="1"/>
    <row r="1147" ht="21.5" customHeight="1"/>
    <row r="1148" ht="21.5" customHeight="1"/>
    <row r="1149" ht="21.5" customHeight="1"/>
    <row r="1150" ht="21.5" customHeight="1"/>
    <row r="1151" ht="21.5" customHeight="1"/>
    <row r="1152" ht="21.5" customHeight="1"/>
    <row r="1153" ht="21.5" customHeight="1"/>
    <row r="1154" ht="21.5" customHeight="1"/>
    <row r="1155" ht="21.5" customHeight="1"/>
    <row r="1156" ht="21.5" customHeight="1"/>
    <row r="1157" ht="21.5" customHeight="1"/>
    <row r="1158" ht="21.5" customHeight="1"/>
    <row r="1159" ht="21.5" customHeight="1"/>
    <row r="1160" ht="21.5" customHeight="1"/>
    <row r="1161" ht="21.5" customHeight="1"/>
    <row r="1162" ht="21.5" customHeight="1"/>
    <row r="1163" ht="21.5" customHeight="1"/>
    <row r="1164" ht="21.5" customHeight="1"/>
    <row r="1165" ht="21.5" customHeight="1"/>
    <row r="1166" ht="21.5" customHeight="1"/>
    <row r="1167" ht="21.5" customHeight="1"/>
    <row r="1168" ht="21.5" customHeight="1"/>
    <row r="1169" ht="21.5" customHeight="1"/>
    <row r="1170" ht="21.5" customHeight="1"/>
    <row r="1171" ht="21.5" customHeight="1"/>
    <row r="1172" ht="21.5" customHeight="1"/>
    <row r="1173" ht="21.5" customHeight="1"/>
    <row r="1174" ht="21.5" customHeight="1"/>
    <row r="1175" ht="21.5" customHeight="1"/>
    <row r="1176" ht="21.5" customHeight="1"/>
    <row r="1177" ht="21.5" customHeight="1"/>
    <row r="1178" ht="21.5" customHeight="1"/>
    <row r="1179" ht="21.5" customHeight="1"/>
    <row r="1180" ht="21.5" customHeight="1"/>
    <row r="1181" ht="21.5" customHeight="1"/>
    <row r="1182" ht="21.5" customHeight="1"/>
    <row r="1183" ht="21.5" customHeight="1"/>
    <row r="1184" ht="21.5" customHeight="1"/>
    <row r="1185" ht="21.5" customHeight="1"/>
    <row r="1186" ht="21.5" customHeight="1"/>
    <row r="1187" ht="21.5" customHeight="1"/>
    <row r="1188" ht="21.5" customHeight="1"/>
    <row r="1189" ht="21.5" customHeight="1"/>
    <row r="1190" ht="21.5" customHeight="1"/>
    <row r="1191" ht="21.5" customHeight="1"/>
    <row r="1192" ht="21.5" customHeight="1"/>
    <row r="1193" ht="21.5" customHeight="1"/>
    <row r="1194" ht="21.5" customHeight="1"/>
    <row r="1195" ht="21.5" customHeight="1"/>
    <row r="1196" ht="21.5" customHeight="1"/>
    <row r="1197" ht="21.5" customHeight="1"/>
    <row r="1198" ht="21.5" customHeight="1"/>
    <row r="1199" ht="21.5" customHeight="1"/>
    <row r="1200" ht="21.5" customHeight="1"/>
    <row r="1201" ht="21.5" customHeight="1"/>
    <row r="1202" ht="21.5" customHeight="1"/>
    <row r="1203" ht="21.5" customHeight="1"/>
    <row r="1204" ht="21.5" customHeight="1"/>
    <row r="1205" ht="21.5" customHeight="1"/>
    <row r="1206" ht="21.5" customHeight="1"/>
    <row r="1207" ht="21.5" customHeight="1"/>
    <row r="1208" ht="21.5" customHeight="1"/>
    <row r="1209" ht="21.5" customHeight="1"/>
    <row r="1210" ht="21.5" customHeight="1"/>
    <row r="1211" ht="21.5" customHeight="1"/>
    <row r="1212" ht="21.5" customHeight="1"/>
    <row r="1213" ht="21.5" customHeight="1"/>
    <row r="1214" ht="21.5" customHeight="1"/>
    <row r="1215" ht="21.5" customHeight="1"/>
    <row r="1216" ht="21.5" customHeight="1"/>
    <row r="1217" ht="21.5" customHeight="1"/>
    <row r="1218" ht="21.5" customHeight="1"/>
    <row r="1219" ht="21.5" customHeight="1"/>
    <row r="1220" ht="21.5" customHeight="1"/>
    <row r="1221" ht="21.5" customHeight="1"/>
    <row r="1222" ht="21.5" customHeight="1"/>
    <row r="1223" ht="21.5" customHeight="1"/>
    <row r="1224" ht="21.5" customHeight="1"/>
    <row r="1225" ht="21.5" customHeight="1"/>
    <row r="1226" ht="21.5" customHeight="1"/>
    <row r="1227" ht="21.5" customHeight="1"/>
    <row r="1228" ht="21.5" customHeight="1"/>
    <row r="1229" ht="21.5" customHeight="1"/>
    <row r="1230" ht="21.5" customHeight="1"/>
    <row r="1231" ht="21.5" customHeight="1"/>
    <row r="1232" ht="21.5" customHeight="1"/>
    <row r="1233" ht="21.5" customHeight="1"/>
    <row r="1234" ht="21.5" customHeight="1"/>
    <row r="1235" ht="21.5" customHeight="1"/>
    <row r="1236" ht="21.5" customHeight="1"/>
    <row r="1237" ht="21.5" customHeight="1"/>
    <row r="1238" ht="21.5" customHeight="1"/>
    <row r="1239" ht="21.5" customHeight="1"/>
    <row r="1240" ht="21.5" customHeight="1"/>
    <row r="1241" ht="21.5" customHeight="1"/>
    <row r="1242" ht="21.5" customHeight="1"/>
    <row r="1243" ht="21.5" customHeight="1"/>
    <row r="1244" ht="21.5" customHeight="1"/>
    <row r="1245" ht="21.5" customHeight="1"/>
    <row r="1246" ht="21.5" customHeight="1"/>
    <row r="1247" ht="21.5" customHeight="1"/>
    <row r="1248" ht="21.5" customHeight="1"/>
    <row r="1249" ht="21.5" customHeight="1"/>
    <row r="1250" ht="21.5" customHeight="1"/>
    <row r="1251" ht="21.5" customHeight="1"/>
    <row r="1252" ht="21.5" customHeight="1"/>
    <row r="1253" ht="21.5" customHeight="1"/>
    <row r="1254" ht="21.5" customHeight="1"/>
    <row r="1255" ht="21.5" customHeight="1"/>
    <row r="1256" ht="21.5" customHeight="1"/>
    <row r="1257" ht="21.5" customHeight="1"/>
    <row r="1258" ht="21.5" customHeight="1"/>
    <row r="1259" ht="21.5" customHeight="1"/>
    <row r="1260" ht="21.5" customHeight="1"/>
    <row r="1261" ht="21.5" customHeight="1"/>
    <row r="1262" ht="21.5" customHeight="1"/>
    <row r="1263" ht="21.5" customHeight="1"/>
    <row r="1264" ht="21.5" customHeight="1"/>
    <row r="1265" ht="21.5" customHeight="1"/>
    <row r="1266" ht="21.5" customHeight="1"/>
    <row r="1267" ht="21.5" customHeight="1"/>
    <row r="1268" ht="21.5" customHeight="1"/>
    <row r="1269" ht="21.5" customHeight="1"/>
    <row r="1270" ht="21.5" customHeight="1"/>
    <row r="1271" ht="21.5" customHeight="1"/>
    <row r="1272" ht="21.5" customHeight="1"/>
    <row r="1273" ht="21.5" customHeight="1"/>
    <row r="1274" ht="21.5" customHeight="1"/>
    <row r="1275" ht="21.5" customHeight="1"/>
    <row r="1276" ht="21.5" customHeight="1"/>
    <row r="1277" ht="21.5" customHeight="1"/>
    <row r="1278" ht="21.5" customHeight="1"/>
    <row r="1279" ht="21.5" customHeight="1"/>
    <row r="1280" ht="21.5" customHeight="1"/>
    <row r="1281" ht="21.5" customHeight="1"/>
    <row r="1282" ht="21.5" customHeight="1"/>
    <row r="1283" ht="21.5" customHeight="1"/>
    <row r="1284" ht="21.5" customHeight="1"/>
    <row r="1285" ht="21.5" customHeight="1"/>
    <row r="1286" ht="21.5" customHeight="1"/>
    <row r="1287" ht="21.5" customHeight="1"/>
    <row r="1288" ht="21.5" customHeight="1"/>
    <row r="1289" ht="21.5" customHeight="1"/>
    <row r="1290" ht="21.5" customHeight="1"/>
    <row r="1291" ht="21.5" customHeight="1"/>
    <row r="1292" ht="21.5" customHeight="1"/>
    <row r="1293" ht="21.5" customHeight="1"/>
    <row r="1294" ht="21.5" customHeight="1"/>
    <row r="1295" ht="21.5" customHeight="1"/>
    <row r="1296" ht="21.5" customHeight="1"/>
    <row r="1297" ht="21.5" customHeight="1"/>
    <row r="1298" ht="21.5" customHeight="1"/>
    <row r="1299" ht="21.5" customHeight="1"/>
    <row r="1300" ht="21.5" customHeight="1"/>
    <row r="1301" ht="21.5" customHeight="1"/>
    <row r="1302" ht="21.5" customHeight="1"/>
    <row r="1303" ht="21.5" customHeight="1"/>
    <row r="1304" ht="21.5" customHeight="1"/>
    <row r="1305" ht="21.5" customHeight="1"/>
    <row r="1306" ht="21.5" customHeight="1"/>
    <row r="1307" ht="21.5" customHeight="1"/>
    <row r="1308" ht="21.5" customHeight="1"/>
    <row r="1309" ht="21.5" customHeight="1"/>
    <row r="1310" ht="21.5" customHeight="1"/>
    <row r="1311" ht="21.5" customHeight="1"/>
    <row r="1312" ht="21.5" customHeight="1"/>
    <row r="1313" ht="21.5" customHeight="1"/>
    <row r="1314" ht="21.5" customHeight="1"/>
    <row r="1315" ht="21.5" customHeight="1"/>
    <row r="1316" ht="21.5" customHeight="1"/>
    <row r="1317" ht="21.5" customHeight="1"/>
    <row r="1318" ht="21.5" customHeight="1"/>
    <row r="1319" ht="21.5" customHeight="1"/>
    <row r="1320" ht="21.5" customHeight="1"/>
    <row r="1321" ht="21.5" customHeight="1"/>
    <row r="1322" ht="21.5" customHeight="1"/>
    <row r="1323" ht="21.5" customHeight="1"/>
    <row r="1324" ht="21.5" customHeight="1"/>
    <row r="1325" ht="21.5" customHeight="1"/>
    <row r="1326" ht="21.5" customHeight="1"/>
    <row r="1327" ht="21.5" customHeight="1"/>
    <row r="1328" ht="21.5" customHeight="1"/>
    <row r="1329" ht="21.5" customHeight="1"/>
    <row r="1330" ht="21.5" customHeight="1"/>
    <row r="1331" ht="21.5" customHeight="1"/>
    <row r="1332" ht="21.5" customHeight="1"/>
    <row r="1333" ht="21.5" customHeight="1"/>
    <row r="1334" ht="21.5" customHeight="1"/>
    <row r="1335" ht="21.5" customHeight="1"/>
    <row r="1336" ht="21.5" customHeight="1"/>
    <row r="1337" ht="21.5" customHeight="1"/>
    <row r="1338" ht="21.5" customHeight="1"/>
    <row r="1339" ht="21.5" customHeight="1"/>
    <row r="1340" ht="21.5" customHeight="1"/>
    <row r="1341" ht="21.5" customHeight="1"/>
    <row r="1342" ht="21.5" customHeight="1"/>
    <row r="1343" ht="21.5" customHeight="1"/>
    <row r="1344" ht="21.5" customHeight="1"/>
    <row r="1345" ht="21.5" customHeight="1"/>
    <row r="1346" ht="21.5" customHeight="1"/>
    <row r="1347" ht="21.5" customHeight="1"/>
    <row r="1348" ht="21.5" customHeight="1"/>
    <row r="1349" ht="21.5" customHeight="1"/>
    <row r="1350" ht="21.5" customHeight="1"/>
    <row r="1351" ht="21.5" customHeight="1"/>
    <row r="1352" ht="21.5" customHeight="1"/>
    <row r="1353" ht="21.5" customHeight="1"/>
    <row r="1354" ht="21.5" customHeight="1"/>
    <row r="1355" ht="21.5" customHeight="1"/>
    <row r="1356" ht="21.5" customHeight="1"/>
    <row r="1357" ht="21.5" customHeight="1"/>
    <row r="1358" ht="21.5" customHeight="1"/>
    <row r="1359" ht="21.5" customHeight="1"/>
    <row r="1360" ht="21.5" customHeight="1"/>
    <row r="1361" ht="21.5" customHeight="1"/>
    <row r="1362" ht="21.5" customHeight="1"/>
    <row r="1363" ht="21.5" customHeight="1"/>
    <row r="1364" ht="21.5" customHeight="1"/>
    <row r="1365" ht="21.5" customHeight="1"/>
    <row r="1366" ht="21.5" customHeight="1"/>
    <row r="1367" ht="21.5" customHeight="1"/>
    <row r="1368" ht="21.5" customHeight="1"/>
    <row r="1369" ht="21.5" customHeight="1"/>
    <row r="1370" ht="21.5" customHeight="1"/>
    <row r="1371" ht="21.5" customHeight="1"/>
    <row r="1372" ht="21.5" customHeight="1"/>
    <row r="1373" ht="21.5" customHeight="1"/>
    <row r="1374" ht="21.5" customHeight="1"/>
    <row r="1375" ht="21.5" customHeight="1"/>
    <row r="1376" ht="21.5" customHeight="1"/>
    <row r="1377" ht="21.5" customHeight="1"/>
    <row r="1378" ht="21.5" customHeight="1"/>
    <row r="1379" ht="21.5" customHeight="1"/>
    <row r="1380" ht="21.5" customHeight="1"/>
    <row r="1381" ht="21.5" customHeight="1"/>
    <row r="1382" ht="21.5" customHeight="1"/>
    <row r="1383" ht="21.5" customHeight="1"/>
    <row r="1384" ht="21.5" customHeight="1"/>
    <row r="1385" ht="21.5" customHeight="1"/>
    <row r="1386" ht="21.5" customHeight="1"/>
    <row r="1387" ht="21.5" customHeight="1"/>
    <row r="1388" ht="21.5" customHeight="1"/>
    <row r="1389" ht="21.5" customHeight="1"/>
    <row r="1390" ht="21.5" customHeight="1"/>
    <row r="1391" ht="21.5" customHeight="1"/>
    <row r="1392" ht="21.5" customHeight="1"/>
    <row r="1393" ht="21.5" customHeight="1"/>
    <row r="1394" ht="21.5" customHeight="1"/>
    <row r="1395" ht="21.5" customHeight="1"/>
    <row r="1396" ht="21.5" customHeight="1"/>
    <row r="1397" ht="21.5" customHeight="1"/>
    <row r="1398" ht="21.5" customHeight="1"/>
    <row r="1399" ht="21.5" customHeight="1"/>
    <row r="1400" ht="21.5" customHeight="1"/>
    <row r="1401" ht="21.5" customHeight="1"/>
    <row r="1402" ht="21.5" customHeight="1"/>
    <row r="1403" ht="21.5" customHeight="1"/>
    <row r="1404" ht="21.5" customHeight="1"/>
    <row r="1405" ht="21.5" customHeight="1"/>
    <row r="1406" ht="21.5" customHeight="1"/>
    <row r="1407" ht="21.5" customHeight="1"/>
    <row r="1408" ht="21.5" customHeight="1"/>
    <row r="1409" ht="21.5" customHeight="1"/>
    <row r="1410" ht="21.5" customHeight="1"/>
    <row r="1411" ht="21.5" customHeight="1"/>
    <row r="1412" ht="21.5" customHeight="1"/>
    <row r="1413" ht="21.5" customHeight="1"/>
    <row r="1414" ht="21.5" customHeight="1"/>
    <row r="1415" ht="21.5" customHeight="1"/>
    <row r="1416" ht="21.5" customHeight="1"/>
    <row r="1417" ht="21.5" customHeight="1"/>
    <row r="1418" ht="21.5" customHeight="1"/>
    <row r="1419" ht="21.5" customHeight="1"/>
    <row r="1420" ht="21.5" customHeight="1"/>
    <row r="1421" ht="21.5" customHeight="1"/>
    <row r="1422" ht="21.5" customHeight="1"/>
    <row r="1423" ht="21.5" customHeight="1"/>
    <row r="1424" ht="21.5" customHeight="1"/>
    <row r="1425" ht="21.5" customHeight="1"/>
    <row r="1426" ht="21.5" customHeight="1"/>
    <row r="1427" ht="21.5" customHeight="1"/>
    <row r="1428" ht="21.5" customHeight="1"/>
    <row r="1429" ht="21.5" customHeight="1"/>
    <row r="1430" ht="21.5" customHeight="1"/>
    <row r="1431" ht="21.5" customHeight="1"/>
    <row r="1432" ht="21.5" customHeight="1"/>
    <row r="1433" ht="21.5" customHeight="1"/>
    <row r="1434" ht="21.5" customHeight="1"/>
    <row r="1435" ht="21.5" customHeight="1"/>
    <row r="1436" ht="21.5" customHeight="1"/>
    <row r="1437" ht="21.5" customHeight="1"/>
    <row r="1438" ht="21.5" customHeight="1"/>
    <row r="1439" ht="21.5" customHeight="1"/>
    <row r="1440" ht="21.5" customHeight="1"/>
    <row r="1441" ht="21.5" customHeight="1"/>
    <row r="1442" ht="21.5" customHeight="1"/>
    <row r="1443" ht="21.5" customHeight="1"/>
    <row r="1444" ht="21.5" customHeight="1"/>
    <row r="1445" ht="21.5" customHeight="1"/>
    <row r="1446" ht="21.5" customHeight="1"/>
    <row r="1447" ht="21.5" customHeight="1"/>
    <row r="1448" ht="21.5" customHeight="1"/>
    <row r="1449" ht="21.5" customHeight="1"/>
    <row r="1450" ht="21.5" customHeight="1"/>
    <row r="1451" ht="21.5" customHeight="1"/>
    <row r="1452" ht="21.5" customHeight="1"/>
    <row r="1453" ht="21.5" customHeight="1"/>
    <row r="1454" ht="21.5" customHeight="1"/>
    <row r="1455" ht="21.5" customHeight="1"/>
    <row r="1456" ht="21.5" customHeight="1"/>
    <row r="1457" ht="21.5" customHeight="1"/>
    <row r="1458" ht="21.5" customHeight="1"/>
    <row r="1459" ht="21.5" customHeight="1"/>
    <row r="1460" ht="21.5" customHeight="1"/>
    <row r="1461" ht="21.5" customHeight="1"/>
    <row r="1462" ht="21.5" customHeight="1"/>
    <row r="1463" ht="21.5" customHeight="1"/>
    <row r="1464" ht="21.5" customHeight="1"/>
    <row r="1465" ht="21.5" customHeight="1"/>
    <row r="1466" ht="21.5" customHeight="1"/>
    <row r="1467" ht="21.5" customHeight="1"/>
    <row r="1468" ht="21.5" customHeight="1"/>
    <row r="1469" ht="21.5" customHeight="1"/>
    <row r="1470" ht="21.5" customHeight="1"/>
    <row r="1471" ht="21.5" customHeight="1"/>
    <row r="1472" ht="21.5" customHeight="1"/>
    <row r="1473" ht="21.5" customHeight="1"/>
    <row r="1474" ht="21.5" customHeight="1"/>
    <row r="1475" ht="21.5" customHeight="1"/>
    <row r="1476" ht="21.5" customHeight="1"/>
    <row r="1477" ht="21.5" customHeight="1"/>
    <row r="1478" ht="21.5" customHeight="1"/>
    <row r="1479" ht="21.5" customHeight="1"/>
    <row r="1480" ht="21.5" customHeight="1"/>
    <row r="1481" ht="21.5" customHeight="1"/>
    <row r="1482" ht="21.5" customHeight="1"/>
    <row r="1483" ht="21.5" customHeight="1"/>
    <row r="1484" ht="21.5" customHeight="1"/>
    <row r="1485" ht="21.5" customHeight="1"/>
    <row r="1486" ht="21.5" customHeight="1"/>
    <row r="1487" ht="21.5" customHeight="1"/>
    <row r="1488" ht="21.5" customHeight="1"/>
    <row r="1489" ht="21.5" customHeight="1"/>
    <row r="1490" ht="21.5" customHeight="1"/>
    <row r="1491" ht="21.5" customHeight="1"/>
    <row r="1492" ht="21.5" customHeight="1"/>
    <row r="1493" ht="21.5" customHeight="1"/>
    <row r="1494" ht="21.5" customHeight="1"/>
    <row r="1495" ht="21.5" customHeight="1"/>
    <row r="1496" ht="21.5" customHeight="1"/>
    <row r="1497" ht="21.5" customHeight="1"/>
    <row r="1498" ht="21.5" customHeight="1"/>
    <row r="1499" ht="21.5" customHeight="1"/>
    <row r="1500" ht="21.5" customHeight="1"/>
    <row r="1501" ht="21.5" customHeight="1"/>
    <row r="1502" ht="21.5" customHeight="1"/>
    <row r="1503" ht="21.5" customHeight="1"/>
    <row r="1504" ht="21.5" customHeight="1"/>
    <row r="1505" ht="21.5" customHeight="1"/>
    <row r="1506" ht="21.5" customHeight="1"/>
    <row r="1507" ht="21.5" customHeight="1"/>
    <row r="1508" ht="21.5" customHeight="1"/>
    <row r="1509" ht="21.5" customHeight="1"/>
    <row r="1510" ht="21.5" customHeight="1"/>
    <row r="1511" ht="21.5" customHeight="1"/>
    <row r="1512" ht="21.5" customHeight="1"/>
    <row r="1513" ht="21.5" customHeight="1"/>
    <row r="1514" ht="21.5" customHeight="1"/>
    <row r="1515" ht="21.5" customHeight="1"/>
    <row r="1516" ht="21.5" customHeight="1"/>
    <row r="1517" ht="21.5" customHeight="1"/>
    <row r="1518" ht="21.5" customHeight="1"/>
    <row r="1519" ht="21.5" customHeight="1"/>
    <row r="1520" ht="21.5" customHeight="1"/>
    <row r="1521" ht="21.5" customHeight="1"/>
    <row r="1522" ht="21.5" customHeight="1"/>
    <row r="1523" ht="21.5" customHeight="1"/>
    <row r="1524" ht="21.5" customHeight="1"/>
    <row r="1525" ht="21.5" customHeight="1"/>
    <row r="1526" ht="21.5" customHeight="1"/>
    <row r="1527" ht="21.5" customHeight="1"/>
    <row r="1528" ht="21.5" customHeight="1"/>
    <row r="1529" ht="21.5" customHeight="1"/>
    <row r="1530" ht="21.5" customHeight="1"/>
    <row r="1531" ht="21.5" customHeight="1"/>
    <row r="1532" ht="21.5" customHeight="1"/>
    <row r="1533" ht="21.5" customHeight="1"/>
    <row r="1534" ht="21.5" customHeight="1"/>
    <row r="1535" ht="21.5" customHeight="1"/>
    <row r="1536" ht="21.5" customHeight="1"/>
    <row r="1537" ht="21.5" customHeight="1"/>
    <row r="1538" ht="21.5" customHeight="1"/>
    <row r="1539" ht="21.5" customHeight="1"/>
    <row r="1540" ht="21.5" customHeight="1"/>
    <row r="1541" ht="21.5" customHeight="1"/>
    <row r="1542" ht="21.5" customHeight="1"/>
    <row r="1543" ht="21.5" customHeight="1"/>
    <row r="1544" ht="21.5" customHeight="1"/>
    <row r="1545" ht="21.5" customHeight="1"/>
    <row r="1546" ht="21.5" customHeight="1"/>
    <row r="1547" ht="21.5" customHeight="1"/>
    <row r="1548" ht="21.5" customHeight="1"/>
    <row r="1549" ht="21.5" customHeight="1"/>
    <row r="1550" ht="21.5" customHeight="1"/>
    <row r="1551" ht="21.5" customHeight="1"/>
    <row r="1552" ht="21.5" customHeight="1"/>
    <row r="1553" ht="21.5" customHeight="1"/>
    <row r="1554" ht="21.5" customHeight="1"/>
    <row r="1555" ht="21.5" customHeight="1"/>
    <row r="1556" ht="21.5" customHeight="1"/>
    <row r="1557" ht="21.5" customHeight="1"/>
    <row r="1558" ht="21.5" customHeight="1"/>
    <row r="1559" ht="21.5" customHeight="1"/>
    <row r="1560" ht="21.5" customHeight="1"/>
    <row r="1561" ht="21.5" customHeight="1"/>
    <row r="1562" ht="21.5" customHeight="1"/>
    <row r="1563" ht="21.5" customHeight="1"/>
    <row r="1564" ht="21.5" customHeight="1"/>
    <row r="1565" ht="21.5" customHeight="1"/>
    <row r="1566" ht="21.5" customHeight="1"/>
    <row r="1567" ht="21.5" customHeight="1"/>
    <row r="1568" ht="21.5" customHeight="1"/>
    <row r="1569" ht="21.5" customHeight="1"/>
    <row r="1570" ht="21.5" customHeight="1"/>
    <row r="1571" ht="21.5" customHeight="1"/>
    <row r="1572" ht="21.5" customHeight="1"/>
    <row r="1573" ht="21.5" customHeight="1"/>
    <row r="1574" ht="21.5" customHeight="1"/>
    <row r="1575" ht="21.5" customHeight="1"/>
    <row r="1576" ht="21.5" customHeight="1"/>
    <row r="1577" ht="21.5" customHeight="1"/>
    <row r="1578" ht="21.5" customHeight="1"/>
    <row r="1579" ht="21.5" customHeight="1"/>
    <row r="1580" ht="21.5" customHeight="1"/>
    <row r="1581" ht="21.5" customHeight="1"/>
    <row r="1582" ht="21.5" customHeight="1"/>
    <row r="1583" ht="21.5" customHeight="1"/>
    <row r="1584" ht="21.5" customHeight="1"/>
    <row r="1585" ht="21.5" customHeight="1"/>
    <row r="1586" ht="21.5" customHeight="1"/>
    <row r="1587" ht="21.5" customHeight="1"/>
    <row r="1588" ht="21.5" customHeight="1"/>
    <row r="1589" ht="21.5" customHeight="1"/>
    <row r="1590" ht="21.5" customHeight="1"/>
    <row r="1591" ht="21.5" customHeight="1"/>
    <row r="1592" ht="21.5" customHeight="1"/>
    <row r="1593" ht="21.5" customHeight="1"/>
    <row r="1594" ht="21.5" customHeight="1"/>
    <row r="1595" ht="21.5" customHeight="1"/>
    <row r="1596" ht="21.5" customHeight="1"/>
    <row r="1597" ht="21.5" customHeight="1"/>
    <row r="1598" ht="21.5" customHeight="1"/>
    <row r="1599" ht="21.5" customHeight="1"/>
    <row r="1600" ht="21.5" customHeight="1"/>
    <row r="1601" ht="21.5" customHeight="1"/>
    <row r="1602" ht="21.5" customHeight="1"/>
    <row r="1603" ht="21.5" customHeight="1"/>
    <row r="1604" ht="21.5" customHeight="1"/>
    <row r="1605" ht="21.5" customHeight="1"/>
    <row r="1606" ht="21.5" customHeight="1"/>
    <row r="1607" ht="21.5" customHeight="1"/>
    <row r="1608" ht="21.5" customHeight="1"/>
    <row r="1609" ht="21.5" customHeight="1"/>
    <row r="1610" ht="21.5" customHeight="1"/>
    <row r="1611" ht="21.5" customHeight="1"/>
    <row r="1612" ht="21.5" customHeight="1"/>
    <row r="1613" ht="21.5" customHeight="1"/>
    <row r="1614" ht="21.5" customHeight="1"/>
    <row r="1615" ht="21.5" customHeight="1"/>
    <row r="1616" ht="21.5" customHeight="1"/>
    <row r="1617" ht="21.5" customHeight="1"/>
  </sheetData>
  <sheetProtection selectLockedCells="1"/>
  <mergeCells count="119">
    <mergeCell ref="B12:B13"/>
    <mergeCell ref="C12:C13"/>
    <mergeCell ref="E12:E13"/>
    <mergeCell ref="F12:F13"/>
    <mergeCell ref="G12:G13"/>
    <mergeCell ref="Z14:Z15"/>
    <mergeCell ref="AA14:AA15"/>
    <mergeCell ref="AB14:AB15"/>
    <mergeCell ref="AC14:AC15"/>
    <mergeCell ref="AD14:AD15"/>
    <mergeCell ref="D8:D9"/>
    <mergeCell ref="D10:D11"/>
    <mergeCell ref="D12:D13"/>
    <mergeCell ref="D14:D15"/>
    <mergeCell ref="T14:T15"/>
    <mergeCell ref="U14:U15"/>
    <mergeCell ref="V14:V15"/>
    <mergeCell ref="W14:W15"/>
    <mergeCell ref="X14:X15"/>
    <mergeCell ref="Y14:Y15"/>
    <mergeCell ref="N14:N15"/>
    <mergeCell ref="O14:O15"/>
    <mergeCell ref="P14:P15"/>
    <mergeCell ref="Q14:Q15"/>
    <mergeCell ref="R14:R15"/>
    <mergeCell ref="S14:S15"/>
    <mergeCell ref="B14:B15"/>
    <mergeCell ref="C14:C15"/>
    <mergeCell ref="E14:E15"/>
    <mergeCell ref="F14:F15"/>
    <mergeCell ref="G14:G15"/>
    <mergeCell ref="H14:H15"/>
    <mergeCell ref="I14:I15"/>
    <mergeCell ref="M14:M15"/>
    <mergeCell ref="AC12:AC13"/>
    <mergeCell ref="AD12:AD13"/>
    <mergeCell ref="W12:W13"/>
    <mergeCell ref="X12:X13"/>
    <mergeCell ref="Y12:Y13"/>
    <mergeCell ref="Z12:Z13"/>
    <mergeCell ref="AA12:AA13"/>
    <mergeCell ref="AB12:AB13"/>
    <mergeCell ref="Q12:Q13"/>
    <mergeCell ref="R12:R13"/>
    <mergeCell ref="S12:S13"/>
    <mergeCell ref="T12:T13"/>
    <mergeCell ref="U12:U13"/>
    <mergeCell ref="V12:V13"/>
    <mergeCell ref="H12:H13"/>
    <mergeCell ref="I12:I13"/>
    <mergeCell ref="M12:M13"/>
    <mergeCell ref="N12:N13"/>
    <mergeCell ref="O12:O13"/>
    <mergeCell ref="P12:P13"/>
    <mergeCell ref="Z10:Z11"/>
    <mergeCell ref="AA10:AA11"/>
    <mergeCell ref="AB10:AB11"/>
    <mergeCell ref="AC10:AC11"/>
    <mergeCell ref="AD10:AD11"/>
    <mergeCell ref="T10:T11"/>
    <mergeCell ref="U10:U11"/>
    <mergeCell ref="V10:V11"/>
    <mergeCell ref="W10:W11"/>
    <mergeCell ref="X10:X11"/>
    <mergeCell ref="Y10:Y11"/>
    <mergeCell ref="N10:N11"/>
    <mergeCell ref="O10:O11"/>
    <mergeCell ref="P10:P11"/>
    <mergeCell ref="Q10:Q11"/>
    <mergeCell ref="R10:R11"/>
    <mergeCell ref="S10:S11"/>
    <mergeCell ref="AC8:AC9"/>
    <mergeCell ref="AD8:AD9"/>
    <mergeCell ref="B10:B11"/>
    <mergeCell ref="C10:C11"/>
    <mergeCell ref="E10:E11"/>
    <mergeCell ref="F10:F11"/>
    <mergeCell ref="G10:G11"/>
    <mergeCell ref="H10:H11"/>
    <mergeCell ref="I10:I11"/>
    <mergeCell ref="M10:M11"/>
    <mergeCell ref="W8:W9"/>
    <mergeCell ref="X8:X9"/>
    <mergeCell ref="Y8:Y9"/>
    <mergeCell ref="Z8:Z9"/>
    <mergeCell ref="AA8:AA9"/>
    <mergeCell ref="AB8:AB9"/>
    <mergeCell ref="Q8:Q9"/>
    <mergeCell ref="R8:R9"/>
    <mergeCell ref="S8:S9"/>
    <mergeCell ref="T8:T9"/>
    <mergeCell ref="U8:U9"/>
    <mergeCell ref="V8:V9"/>
    <mergeCell ref="H8:H9"/>
    <mergeCell ref="I8:I9"/>
    <mergeCell ref="M8:M9"/>
    <mergeCell ref="N8:N9"/>
    <mergeCell ref="O8:O9"/>
    <mergeCell ref="P8:P9"/>
    <mergeCell ref="N6:Q6"/>
    <mergeCell ref="R6:U6"/>
    <mergeCell ref="V6:Y6"/>
    <mergeCell ref="Z6:AC6"/>
    <mergeCell ref="AD6:AD7"/>
    <mergeCell ref="B8:B9"/>
    <mergeCell ref="C8:C9"/>
    <mergeCell ref="E8:E9"/>
    <mergeCell ref="F8:F9"/>
    <mergeCell ref="G8:G9"/>
    <mergeCell ref="B2:AD2"/>
    <mergeCell ref="Q4:R4"/>
    <mergeCell ref="S4:T4"/>
    <mergeCell ref="V5:AD5"/>
    <mergeCell ref="B6:B7"/>
    <mergeCell ref="C6:C7"/>
    <mergeCell ref="E6:E7"/>
    <mergeCell ref="F6:F7"/>
    <mergeCell ref="H6:L6"/>
    <mergeCell ref="M6:M7"/>
  </mergeCells>
  <phoneticPr fontId="4" type="noConversion"/>
  <conditionalFormatting sqref="N8:Q15 G8:G15">
    <cfRule type="cellIs" dxfId="12" priority="22" operator="equal">
      <formula>0</formula>
    </cfRule>
  </conditionalFormatting>
  <conditionalFormatting sqref="G5:G8 G1 G16:G1048576 G10 G12 G14">
    <cfRule type="cellIs" dxfId="11" priority="26" operator="lessThan">
      <formula>$AG$6</formula>
    </cfRule>
  </conditionalFormatting>
  <conditionalFormatting sqref="J9:L9">
    <cfRule type="cellIs" dxfId="10" priority="25" operator="equal">
      <formula>0</formula>
    </cfRule>
  </conditionalFormatting>
  <conditionalFormatting sqref="V8:AD15">
    <cfRule type="cellIs" dxfId="9" priority="16" operator="equal">
      <formula>0</formula>
    </cfRule>
  </conditionalFormatting>
  <conditionalFormatting sqref="J11:L11 J13:L13 J15:L15">
    <cfRule type="cellIs" dxfId="8" priority="3" operator="equal">
      <formula>0</formula>
    </cfRule>
  </conditionalFormatting>
  <conditionalFormatting sqref="J10:M15">
    <cfRule type="cellIs" dxfId="7" priority="2" operator="equal">
      <formula>0</formula>
    </cfRule>
  </conditionalFormatting>
  <conditionalFormatting sqref="G10:I15">
    <cfRule type="cellIs" dxfId="0" priority="1" operator="equal">
      <formula>0</formula>
    </cfRule>
  </conditionalFormatting>
  <dataValidations count="2">
    <dataValidation type="list" allowBlank="1" showInputMessage="1" showErrorMessage="1" sqref="S4" xr:uid="{407E04D4-B0D2-4DD8-9C54-37C196B26555}">
      <formula1>"5인 미만, 5인 이상"</formula1>
    </dataValidation>
    <dataValidation type="list" allowBlank="1" showInputMessage="1" showErrorMessage="1" sqref="AG4" xr:uid="{66AA6124-15CE-416E-9BFD-C28AED3D374F}">
      <formula1>"YES, NO"</formula1>
    </dataValidation>
  </dataValidations>
  <printOptions horizontalCentered="1"/>
  <pageMargins left="0.19685039370078741" right="0.19685039370078741" top="0.74803149606299213" bottom="0.39370078740157483" header="0.31496062992125984" footer="0.31496062992125984"/>
  <pageSetup paperSize="9" scale="41"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29A-E7BD-4888-9F62-8E9E5894D8B1}">
  <sheetPr>
    <pageSetUpPr fitToPage="1"/>
  </sheetPr>
  <dimension ref="B1:AG693"/>
  <sheetViews>
    <sheetView showGridLines="0" zoomScale="69" zoomScaleNormal="69" zoomScaleSheetLayoutView="80" workbookViewId="0">
      <pane xSplit="6" topLeftCell="G1" activePane="topRight" state="frozen"/>
      <selection pane="topRight" activeCell="G8" sqref="G8"/>
    </sheetView>
  </sheetViews>
  <sheetFormatPr defaultColWidth="9" defaultRowHeight="33.75" customHeight="1"/>
  <cols>
    <col min="1" max="1" width="2.36328125" style="20" customWidth="1"/>
    <col min="2" max="2" width="13.453125" style="20" customWidth="1"/>
    <col min="3" max="3" width="10.26953125" style="20" hidden="1" customWidth="1"/>
    <col min="4" max="4" width="10.26953125" style="20" customWidth="1"/>
    <col min="5" max="5" width="14.1796875" style="20" customWidth="1"/>
    <col min="6" max="6" width="13.7265625" style="20" customWidth="1"/>
    <col min="7" max="7" width="11.08984375" style="20" bestFit="1" customWidth="1"/>
    <col min="8" max="9" width="8.7265625" style="20" customWidth="1"/>
    <col min="10" max="10" width="16.36328125" style="20" customWidth="1"/>
    <col min="11" max="11" width="17" style="20" customWidth="1"/>
    <col min="12" max="12" width="20.36328125" style="20" customWidth="1"/>
    <col min="13" max="14" width="12.453125" style="20" customWidth="1"/>
    <col min="15" max="15" width="13.08984375" style="20" customWidth="1"/>
    <col min="16" max="16" width="14.7265625" style="20" customWidth="1"/>
    <col min="17" max="17" width="16.7265625" style="20" customWidth="1"/>
    <col min="18" max="21" width="9.36328125" style="20" customWidth="1"/>
    <col min="22" max="22" width="5.6328125" style="20" customWidth="1"/>
    <col min="23" max="23" width="14.08984375" style="20" hidden="1" customWidth="1"/>
    <col min="24" max="24" width="15.7265625" style="20" hidden="1" customWidth="1"/>
    <col min="25" max="25" width="9" style="20" customWidth="1"/>
    <col min="26" max="16384" width="9" style="20"/>
  </cols>
  <sheetData>
    <row r="1" spans="2:24" ht="20" customHeight="1" thickBot="1"/>
    <row r="2" spans="2:24" ht="68.5" customHeight="1" thickBot="1">
      <c r="B2" s="181" t="s">
        <v>67</v>
      </c>
      <c r="C2" s="182"/>
      <c r="D2" s="182"/>
      <c r="E2" s="182"/>
      <c r="F2" s="182"/>
      <c r="G2" s="182"/>
      <c r="H2" s="182"/>
      <c r="I2" s="182"/>
      <c r="J2" s="182"/>
      <c r="K2" s="182"/>
      <c r="L2" s="182"/>
      <c r="M2" s="182"/>
      <c r="N2" s="182"/>
      <c r="O2" s="182"/>
      <c r="P2" s="182"/>
      <c r="Q2" s="182"/>
      <c r="R2" s="182"/>
      <c r="S2" s="182"/>
      <c r="T2" s="182"/>
      <c r="U2" s="183"/>
      <c r="W2" s="21"/>
      <c r="X2" s="22"/>
    </row>
    <row r="3" spans="2:24" ht="18.5" customHeight="1">
      <c r="B3" s="23"/>
      <c r="C3" s="23"/>
      <c r="D3" s="23"/>
      <c r="E3" s="23"/>
      <c r="F3" s="23"/>
      <c r="G3" s="23"/>
      <c r="H3" s="23"/>
      <c r="I3" s="23"/>
      <c r="J3" s="23"/>
      <c r="K3" s="23"/>
      <c r="L3" s="23"/>
      <c r="M3" s="23"/>
      <c r="N3" s="23"/>
      <c r="O3" s="23"/>
      <c r="P3" s="23"/>
      <c r="Q3" s="23"/>
      <c r="R3" s="23"/>
      <c r="S3" s="23"/>
      <c r="T3" s="23"/>
      <c r="U3" s="23"/>
      <c r="W3" s="21"/>
      <c r="X3" s="22"/>
    </row>
    <row r="4" spans="2:24" ht="28" customHeight="1">
      <c r="B4" s="24" t="s">
        <v>41</v>
      </c>
      <c r="C4" s="25"/>
      <c r="D4" s="25"/>
      <c r="E4" s="25"/>
      <c r="K4" s="26"/>
      <c r="L4" s="26"/>
      <c r="M4" s="26"/>
      <c r="N4" s="26"/>
      <c r="Q4" s="209" t="s">
        <v>39</v>
      </c>
      <c r="R4" s="209"/>
      <c r="S4" s="209" t="str">
        <f>'임금대장 양식'!S4</f>
        <v>5인 이상</v>
      </c>
      <c r="T4" s="209"/>
      <c r="W4" s="201" t="s">
        <v>39</v>
      </c>
      <c r="X4" s="204" t="str">
        <f>'정규직 월급제 포괄임금'!R4</f>
        <v>5인 이상</v>
      </c>
    </row>
    <row r="5" spans="2:24" ht="18.5" customHeight="1">
      <c r="B5" s="28"/>
      <c r="C5" s="29"/>
      <c r="D5" s="29"/>
      <c r="E5" s="29"/>
      <c r="N5" s="26"/>
    </row>
    <row r="6" spans="2:24" ht="33.75" customHeight="1">
      <c r="B6" s="211" t="s">
        <v>6</v>
      </c>
      <c r="C6" s="212" t="s">
        <v>8</v>
      </c>
      <c r="D6" s="214"/>
      <c r="E6" s="212" t="s">
        <v>5</v>
      </c>
      <c r="F6" s="213" t="s">
        <v>23</v>
      </c>
      <c r="G6" s="214" t="s">
        <v>15</v>
      </c>
      <c r="H6" s="212" t="s">
        <v>47</v>
      </c>
      <c r="I6" s="212"/>
      <c r="J6" s="212"/>
      <c r="K6" s="212"/>
      <c r="L6" s="212"/>
      <c r="M6" s="213" t="s">
        <v>12</v>
      </c>
      <c r="N6" s="215" t="s">
        <v>18</v>
      </c>
      <c r="O6" s="215"/>
      <c r="P6" s="215"/>
      <c r="Q6" s="215"/>
      <c r="R6" s="215" t="s">
        <v>14</v>
      </c>
      <c r="S6" s="215"/>
      <c r="T6" s="215"/>
      <c r="U6" s="216"/>
      <c r="V6" s="31"/>
      <c r="W6" s="205" t="s">
        <v>42</v>
      </c>
      <c r="X6" s="207">
        <f>'정규직 월급제 포괄임금'!AF6</f>
        <v>10030</v>
      </c>
    </row>
    <row r="7" spans="2:24" ht="33.75" customHeight="1">
      <c r="B7" s="217"/>
      <c r="C7" s="218"/>
      <c r="D7" s="220"/>
      <c r="E7" s="218"/>
      <c r="F7" s="219"/>
      <c r="G7" s="220" t="s">
        <v>4</v>
      </c>
      <c r="H7" s="220" t="s">
        <v>3</v>
      </c>
      <c r="I7" s="220" t="s">
        <v>2</v>
      </c>
      <c r="J7" s="221" t="s">
        <v>52</v>
      </c>
      <c r="K7" s="221" t="s">
        <v>59</v>
      </c>
      <c r="L7" s="221" t="s">
        <v>60</v>
      </c>
      <c r="M7" s="219"/>
      <c r="N7" s="222" t="s">
        <v>35</v>
      </c>
      <c r="O7" s="222" t="s">
        <v>46</v>
      </c>
      <c r="P7" s="222" t="s">
        <v>53</v>
      </c>
      <c r="Q7" s="222" t="s">
        <v>54</v>
      </c>
      <c r="R7" s="223" t="s">
        <v>1</v>
      </c>
      <c r="S7" s="223" t="s">
        <v>7</v>
      </c>
      <c r="T7" s="223" t="s">
        <v>36</v>
      </c>
      <c r="U7" s="224" t="s">
        <v>38</v>
      </c>
      <c r="V7" s="46"/>
      <c r="W7" s="206" t="s">
        <v>13</v>
      </c>
      <c r="X7" s="208">
        <f>'정규직 월급제 포괄임금'!AF7</f>
        <v>2096270</v>
      </c>
    </row>
    <row r="8" spans="2:24" ht="21.5" customHeight="1">
      <c r="B8" s="225" t="str">
        <f>'임금대장 양식'!B8</f>
        <v>이철수</v>
      </c>
      <c r="C8" s="225" cm="1">
        <f t="array" ref="C8:C9">'임금대장 양식'!C8:C9</f>
        <v>0</v>
      </c>
      <c r="D8" s="225">
        <f>'임금대장 양식'!D8</f>
        <v>1</v>
      </c>
      <c r="E8" s="226">
        <f>'임금대장 양식'!E8</f>
        <v>45658</v>
      </c>
      <c r="F8" s="227">
        <f>'임금대장 양식'!F8</f>
        <v>4000000</v>
      </c>
      <c r="G8" s="228">
        <f>IFERROR((F8)/M8,0)</f>
        <v>15503.875968992248</v>
      </c>
      <c r="H8" s="229">
        <f>IF(F8=0,0,ROUND((8*5)*(365/12/7),0))</f>
        <v>174</v>
      </c>
      <c r="I8" s="229">
        <f>IF(F8=0,0,ROUND(8*365/12/7,0))</f>
        <v>35</v>
      </c>
      <c r="J8" s="230">
        <f>'임금대장 양식'!J8</f>
        <v>5</v>
      </c>
      <c r="K8" s="231">
        <f>'임금대장 양식'!K8</f>
        <v>8</v>
      </c>
      <c r="L8" s="231">
        <f>'임금대장 양식'!L8</f>
        <v>2</v>
      </c>
      <c r="M8" s="232">
        <f>H8+I8+J9+K9+L9</f>
        <v>258</v>
      </c>
      <c r="N8" s="227">
        <f>IF(G8=0,0,G8*(H8+I8)-(R8+S8+T8+U8))</f>
        <v>2640310.07751938</v>
      </c>
      <c r="O8" s="233">
        <f>G8*J9</f>
        <v>511627.90697674418</v>
      </c>
      <c r="P8" s="233">
        <f>G8*K9</f>
        <v>186046.51162790699</v>
      </c>
      <c r="Q8" s="233">
        <f>G8*L9</f>
        <v>62015.503875968992</v>
      </c>
      <c r="R8" s="233">
        <f>'임금대장 양식'!R8</f>
        <v>200000</v>
      </c>
      <c r="S8" s="233">
        <f>'임금대장 양식'!S8</f>
        <v>200000</v>
      </c>
      <c r="T8" s="233">
        <f>'임금대장 양식'!T8</f>
        <v>200000</v>
      </c>
      <c r="U8" s="233">
        <f>'임금대장 양식'!U8</f>
        <v>0</v>
      </c>
      <c r="V8" s="50"/>
    </row>
    <row r="9" spans="2:24" ht="21.5" customHeight="1">
      <c r="B9" s="234"/>
      <c r="C9" s="234">
        <v>0</v>
      </c>
      <c r="D9" s="210">
        <f>'임금대장 양식'!D9</f>
        <v>0</v>
      </c>
      <c r="E9" s="235"/>
      <c r="F9" s="236"/>
      <c r="G9" s="237"/>
      <c r="H9" s="238"/>
      <c r="I9" s="238"/>
      <c r="J9" s="239">
        <f>ROUND(J8*(365/12/7)*IF($S$4="5인 이상",1.5,1),0)</f>
        <v>33</v>
      </c>
      <c r="K9" s="239">
        <f>ROUND(K8*IF($S$4="5인 이상",1.5,1),0)</f>
        <v>12</v>
      </c>
      <c r="L9" s="239">
        <f>ROUND(L8*IF($S$4="5인 이상",1.5,1)+L8*IF($S$4="5인 이상",0.5,1),0)</f>
        <v>4</v>
      </c>
      <c r="M9" s="240"/>
      <c r="N9" s="236"/>
      <c r="O9" s="241"/>
      <c r="P9" s="241"/>
      <c r="Q9" s="241"/>
      <c r="R9" s="241"/>
      <c r="S9" s="241"/>
      <c r="T9" s="241"/>
      <c r="U9" s="241"/>
      <c r="V9" s="50"/>
    </row>
    <row r="10" spans="2:24" ht="21.5" customHeight="1">
      <c r="B10" s="225">
        <f>'임금대장 양식'!B10</f>
        <v>0</v>
      </c>
      <c r="C10" s="225" cm="1">
        <f t="array" ref="C10:C11">'임금대장 양식'!C10:C11</f>
        <v>0</v>
      </c>
      <c r="D10" s="225">
        <f>'임금대장 양식'!D10</f>
        <v>2</v>
      </c>
      <c r="E10" s="226">
        <f>'임금대장 양식'!E10</f>
        <v>0</v>
      </c>
      <c r="F10" s="227">
        <f>'임금대장 양식'!F10</f>
        <v>0</v>
      </c>
      <c r="G10" s="228">
        <f t="shared" ref="G10" si="0">IFERROR((F10)/M10,0)</f>
        <v>0</v>
      </c>
      <c r="H10" s="229">
        <f t="shared" ref="H10:H33" si="1">IF(F10=0,0,ROUND((8*5)*(365/12/7),0))</f>
        <v>0</v>
      </c>
      <c r="I10" s="229">
        <f t="shared" ref="I10:I33" si="2">IF(F10=0,0,ROUND(8*365/12/7,0))</f>
        <v>0</v>
      </c>
      <c r="J10" s="230">
        <f>'임금대장 양식'!J10</f>
        <v>0</v>
      </c>
      <c r="K10" s="231">
        <f>'임금대장 양식'!K10</f>
        <v>0</v>
      </c>
      <c r="L10" s="231">
        <f>'임금대장 양식'!L10</f>
        <v>0</v>
      </c>
      <c r="M10" s="232">
        <f t="shared" ref="M10:M33" si="3">H10+I10+J11+K11+L11</f>
        <v>0</v>
      </c>
      <c r="N10" s="227">
        <f t="shared" ref="N10:N33" si="4">IF(G10=0,0,G10*(H10+I10)-(R10+S10+T10+U10))</f>
        <v>0</v>
      </c>
      <c r="O10" s="233">
        <f t="shared" ref="O10:O33" si="5">G10*J11</f>
        <v>0</v>
      </c>
      <c r="P10" s="233">
        <f t="shared" ref="P10:P33" si="6">G10*K11</f>
        <v>0</v>
      </c>
      <c r="Q10" s="233">
        <f t="shared" ref="Q10:Q33" si="7">G10*L11</f>
        <v>0</v>
      </c>
      <c r="R10" s="233">
        <f>'임금대장 양식'!R10</f>
        <v>0</v>
      </c>
      <c r="S10" s="233">
        <f>'임금대장 양식'!S10</f>
        <v>0</v>
      </c>
      <c r="T10" s="233">
        <f>'임금대장 양식'!T10</f>
        <v>0</v>
      </c>
      <c r="U10" s="233">
        <f>'임금대장 양식'!U10</f>
        <v>0</v>
      </c>
      <c r="V10" s="50"/>
    </row>
    <row r="11" spans="2:24" ht="21.5" customHeight="1">
      <c r="B11" s="234"/>
      <c r="C11" s="234">
        <v>0</v>
      </c>
      <c r="D11" s="210">
        <f>'임금대장 양식'!D11</f>
        <v>0</v>
      </c>
      <c r="E11" s="235"/>
      <c r="F11" s="236"/>
      <c r="G11" s="237"/>
      <c r="H11" s="238"/>
      <c r="I11" s="238"/>
      <c r="J11" s="239">
        <f t="shared" ref="J11:J33" si="8">ROUND(J10*(365/12/7)*IF($S$4="5인 이상",1.5,1),0)</f>
        <v>0</v>
      </c>
      <c r="K11" s="239">
        <f t="shared" ref="K11:K33" si="9">ROUND(K10*IF($S$4="5인 이상",1.5,1),0)</f>
        <v>0</v>
      </c>
      <c r="L11" s="239">
        <f t="shared" ref="L11:L33" si="10">ROUND(L10*IF($S$4="5인 이상",1.5,1)+L10*IF($S$4="5인 이상",0.5,1),0)</f>
        <v>0</v>
      </c>
      <c r="M11" s="240"/>
      <c r="N11" s="236"/>
      <c r="O11" s="241"/>
      <c r="P11" s="241"/>
      <c r="Q11" s="241"/>
      <c r="R11" s="241"/>
      <c r="S11" s="241"/>
      <c r="T11" s="241"/>
      <c r="U11" s="241"/>
      <c r="V11" s="50"/>
    </row>
    <row r="12" spans="2:24" ht="21.5" customHeight="1">
      <c r="B12" s="225">
        <f>'임금대장 양식'!B12</f>
        <v>0</v>
      </c>
      <c r="C12" s="225" cm="1">
        <f t="array" ref="C12:C13">'임금대장 양식'!C12:C13</f>
        <v>0</v>
      </c>
      <c r="D12" s="225">
        <f>'임금대장 양식'!D12</f>
        <v>3</v>
      </c>
      <c r="E12" s="226">
        <f>'임금대장 양식'!E12</f>
        <v>0</v>
      </c>
      <c r="F12" s="227">
        <f>'임금대장 양식'!F12</f>
        <v>0</v>
      </c>
      <c r="G12" s="228">
        <f t="shared" ref="G12" si="11">IFERROR((F12)/M12,0)</f>
        <v>0</v>
      </c>
      <c r="H12" s="229">
        <f t="shared" ref="H12:H33" si="12">IF(F12=0,0,ROUND((8*5)*(365/12/7),0))</f>
        <v>0</v>
      </c>
      <c r="I12" s="229">
        <f t="shared" ref="I12:I33" si="13">IF(F12=0,0,ROUND(8*365/12/7,0))</f>
        <v>0</v>
      </c>
      <c r="J12" s="230">
        <f>'임금대장 양식'!J12</f>
        <v>0</v>
      </c>
      <c r="K12" s="231">
        <f>'임금대장 양식'!K12</f>
        <v>0</v>
      </c>
      <c r="L12" s="231">
        <f>'임금대장 양식'!L12</f>
        <v>0</v>
      </c>
      <c r="M12" s="232">
        <f t="shared" ref="M12:M33" si="14">H12+I12+J13+K13+L13</f>
        <v>0</v>
      </c>
      <c r="N12" s="227">
        <f t="shared" ref="N12:N33" si="15">IF(G12=0,0,G12*(H12+I12)-(R12+S12+T12+U12))</f>
        <v>0</v>
      </c>
      <c r="O12" s="233">
        <f t="shared" ref="O12:O33" si="16">G12*J13</f>
        <v>0</v>
      </c>
      <c r="P12" s="233">
        <f t="shared" ref="P12:P33" si="17">G12*K13</f>
        <v>0</v>
      </c>
      <c r="Q12" s="233">
        <f t="shared" ref="Q12:Q33" si="18">G12*L13</f>
        <v>0</v>
      </c>
      <c r="R12" s="233">
        <f>'임금대장 양식'!R12</f>
        <v>0</v>
      </c>
      <c r="S12" s="233">
        <f>'임금대장 양식'!S12</f>
        <v>0</v>
      </c>
      <c r="T12" s="233">
        <f>'임금대장 양식'!T12</f>
        <v>0</v>
      </c>
      <c r="U12" s="233">
        <f>'임금대장 양식'!U12</f>
        <v>0</v>
      </c>
    </row>
    <row r="13" spans="2:24" ht="21.5" customHeight="1">
      <c r="B13" s="234"/>
      <c r="C13" s="234">
        <v>0</v>
      </c>
      <c r="D13" s="210">
        <f>'임금대장 양식'!D13</f>
        <v>0</v>
      </c>
      <c r="E13" s="235"/>
      <c r="F13" s="236"/>
      <c r="G13" s="237"/>
      <c r="H13" s="238"/>
      <c r="I13" s="238"/>
      <c r="J13" s="239">
        <f t="shared" ref="J13:J33" si="19">ROUND(J12*(365/12/7)*IF($S$4="5인 이상",1.5,1),0)</f>
        <v>0</v>
      </c>
      <c r="K13" s="239">
        <f t="shared" ref="K13:K33" si="20">ROUND(K12*IF($S$4="5인 이상",1.5,1),0)</f>
        <v>0</v>
      </c>
      <c r="L13" s="239">
        <f t="shared" ref="L13:L33" si="21">ROUND(L12*IF($S$4="5인 이상",1.5,1)+L12*IF($S$4="5인 이상",0.5,1),0)</f>
        <v>0</v>
      </c>
      <c r="M13" s="240"/>
      <c r="N13" s="236"/>
      <c r="O13" s="241"/>
      <c r="P13" s="241"/>
      <c r="Q13" s="241"/>
      <c r="R13" s="241"/>
      <c r="S13" s="241"/>
      <c r="T13" s="241"/>
      <c r="U13" s="241"/>
    </row>
    <row r="14" spans="2:24" ht="21.5" customHeight="1">
      <c r="B14" s="225">
        <f>'임금대장 양식'!B14</f>
        <v>0</v>
      </c>
      <c r="C14" s="225" cm="1">
        <f t="array" ref="C14:C15">'임금대장 양식'!C14:C15</f>
        <v>0</v>
      </c>
      <c r="D14" s="225">
        <f>'임금대장 양식'!D14</f>
        <v>4</v>
      </c>
      <c r="E14" s="226">
        <f>'임금대장 양식'!E14</f>
        <v>0</v>
      </c>
      <c r="F14" s="227">
        <f>'임금대장 양식'!F14</f>
        <v>0</v>
      </c>
      <c r="G14" s="228">
        <f t="shared" ref="G14" si="22">IFERROR((F14)/M14,0)</f>
        <v>0</v>
      </c>
      <c r="H14" s="229">
        <f t="shared" ref="H14:H33" si="23">IF(F14=0,0,ROUND((8*5)*(365/12/7),0))</f>
        <v>0</v>
      </c>
      <c r="I14" s="229">
        <f t="shared" ref="I14:I33" si="24">IF(F14=0,0,ROUND(8*365/12/7,0))</f>
        <v>0</v>
      </c>
      <c r="J14" s="230">
        <f>'임금대장 양식'!J14</f>
        <v>0</v>
      </c>
      <c r="K14" s="231">
        <f>'임금대장 양식'!K14</f>
        <v>0</v>
      </c>
      <c r="L14" s="231">
        <f>'임금대장 양식'!L14</f>
        <v>0</v>
      </c>
      <c r="M14" s="232">
        <f t="shared" ref="M14:M33" si="25">H14+I14+J15+K15+L15</f>
        <v>0</v>
      </c>
      <c r="N14" s="227">
        <f t="shared" ref="N14:N33" si="26">IF(G14=0,0,G14*(H14+I14)-(R14+S14+T14+U14))</f>
        <v>0</v>
      </c>
      <c r="O14" s="233">
        <f t="shared" ref="O14:O33" si="27">G14*J15</f>
        <v>0</v>
      </c>
      <c r="P14" s="233">
        <f t="shared" ref="P14:P33" si="28">G14*K15</f>
        <v>0</v>
      </c>
      <c r="Q14" s="233">
        <f t="shared" ref="Q14:Q33" si="29">G14*L15</f>
        <v>0</v>
      </c>
      <c r="R14" s="233">
        <f>'임금대장 양식'!R14</f>
        <v>0</v>
      </c>
      <c r="S14" s="233">
        <f>'임금대장 양식'!S14</f>
        <v>0</v>
      </c>
      <c r="T14" s="233">
        <f>'임금대장 양식'!T14</f>
        <v>0</v>
      </c>
      <c r="U14" s="233">
        <f>'임금대장 양식'!U14</f>
        <v>0</v>
      </c>
    </row>
    <row r="15" spans="2:24" ht="21.5" customHeight="1">
      <c r="B15" s="234"/>
      <c r="C15" s="234">
        <v>0</v>
      </c>
      <c r="D15" s="210">
        <f>'임금대장 양식'!D15</f>
        <v>0</v>
      </c>
      <c r="E15" s="235"/>
      <c r="F15" s="236"/>
      <c r="G15" s="237"/>
      <c r="H15" s="238"/>
      <c r="I15" s="238"/>
      <c r="J15" s="239">
        <f t="shared" ref="J15:J33" si="30">ROUND(J14*(365/12/7)*IF($S$4="5인 이상",1.5,1),0)</f>
        <v>0</v>
      </c>
      <c r="K15" s="239">
        <f t="shared" ref="K15:K33" si="31">ROUND(K14*IF($S$4="5인 이상",1.5,1),0)</f>
        <v>0</v>
      </c>
      <c r="L15" s="239">
        <f t="shared" ref="L15:L33" si="32">ROUND(L14*IF($S$4="5인 이상",1.5,1)+L14*IF($S$4="5인 이상",0.5,1),0)</f>
        <v>0</v>
      </c>
      <c r="M15" s="240"/>
      <c r="N15" s="236"/>
      <c r="O15" s="241"/>
      <c r="P15" s="241"/>
      <c r="Q15" s="241"/>
      <c r="R15" s="241"/>
      <c r="S15" s="241"/>
      <c r="T15" s="241"/>
      <c r="U15" s="241"/>
    </row>
    <row r="16" spans="2:24" ht="21.5" customHeight="1">
      <c r="B16" s="225">
        <f>'임금대장 양식'!B16</f>
        <v>0</v>
      </c>
      <c r="C16" s="225" cm="1">
        <f t="array" ref="C16:C17">'임금대장 양식'!C16:C17</f>
        <v>0</v>
      </c>
      <c r="D16" s="225">
        <f>'임금대장 양식'!D16</f>
        <v>0</v>
      </c>
      <c r="E16" s="226">
        <f>'임금대장 양식'!E16</f>
        <v>0</v>
      </c>
      <c r="F16" s="227">
        <f>'임금대장 양식'!F16</f>
        <v>0</v>
      </c>
      <c r="G16" s="228">
        <f t="shared" ref="G16" si="33">IFERROR((F16)/M16,0)</f>
        <v>0</v>
      </c>
      <c r="H16" s="229">
        <f t="shared" ref="H16:H79" si="34">IF(F16=0,0,ROUND((8*5)*(365/12/7),0))</f>
        <v>0</v>
      </c>
      <c r="I16" s="229">
        <f t="shared" ref="I16:I79" si="35">IF(F16=0,0,ROUND(8*365/12/7,0))</f>
        <v>0</v>
      </c>
      <c r="J16" s="230">
        <f>'임금대장 양식'!J16</f>
        <v>0</v>
      </c>
      <c r="K16" s="231">
        <f>'임금대장 양식'!K16</f>
        <v>0</v>
      </c>
      <c r="L16" s="231">
        <f>'임금대장 양식'!L16</f>
        <v>0</v>
      </c>
      <c r="M16" s="232">
        <f t="shared" ref="M16:M79" si="36">H16+I16+J17+K17+L17</f>
        <v>0</v>
      </c>
      <c r="N16" s="227">
        <f t="shared" ref="N16:N79" si="37">IF(G16=0,0,G16*(H16+I16)-(R16+S16+T16+U16))</f>
        <v>0</v>
      </c>
      <c r="O16" s="233">
        <f t="shared" ref="O16:O79" si="38">G16*J17</f>
        <v>0</v>
      </c>
      <c r="P16" s="233">
        <f t="shared" ref="P16:P79" si="39">G16*K17</f>
        <v>0</v>
      </c>
      <c r="Q16" s="233">
        <f t="shared" ref="Q16:Q79" si="40">G16*L17</f>
        <v>0</v>
      </c>
      <c r="R16" s="233">
        <f>'임금대장 양식'!R16</f>
        <v>0</v>
      </c>
      <c r="S16" s="233">
        <f>'임금대장 양식'!S16</f>
        <v>0</v>
      </c>
      <c r="T16" s="233">
        <f>'임금대장 양식'!T16</f>
        <v>0</v>
      </c>
      <c r="U16" s="233">
        <f>'임금대장 양식'!U16</f>
        <v>0</v>
      </c>
    </row>
    <row r="17" spans="2:21" ht="21.5" customHeight="1">
      <c r="B17" s="234"/>
      <c r="C17" s="234">
        <v>0</v>
      </c>
      <c r="D17" s="210">
        <f>'임금대장 양식'!D17</f>
        <v>0</v>
      </c>
      <c r="E17" s="235"/>
      <c r="F17" s="236"/>
      <c r="G17" s="237"/>
      <c r="H17" s="238"/>
      <c r="I17" s="238"/>
      <c r="J17" s="239">
        <f t="shared" ref="J17:J80" si="41">ROUND(J16*(365/12/7)*IF($S$4="5인 이상",1.5,1),0)</f>
        <v>0</v>
      </c>
      <c r="K17" s="239">
        <f t="shared" ref="K17:K80" si="42">ROUND(K16*IF($S$4="5인 이상",1.5,1),0)</f>
        <v>0</v>
      </c>
      <c r="L17" s="239">
        <f t="shared" ref="L17:L80" si="43">ROUND(L16*IF($S$4="5인 이상",1.5,1)+L16*IF($S$4="5인 이상",0.5,1),0)</f>
        <v>0</v>
      </c>
      <c r="M17" s="240"/>
      <c r="N17" s="236"/>
      <c r="O17" s="241"/>
      <c r="P17" s="241"/>
      <c r="Q17" s="241"/>
      <c r="R17" s="241"/>
      <c r="S17" s="241"/>
      <c r="T17" s="241"/>
      <c r="U17" s="241"/>
    </row>
    <row r="18" spans="2:21" ht="21.5" customHeight="1">
      <c r="B18" s="225">
        <f>'임금대장 양식'!B18</f>
        <v>0</v>
      </c>
      <c r="C18" s="225" cm="1">
        <f t="array" ref="C18:C19">'임금대장 양식'!C18:C19</f>
        <v>0</v>
      </c>
      <c r="D18" s="225">
        <f>'임금대장 양식'!D18</f>
        <v>0</v>
      </c>
      <c r="E18" s="226">
        <f>'임금대장 양식'!E18</f>
        <v>0</v>
      </c>
      <c r="F18" s="227">
        <f>'임금대장 양식'!F18</f>
        <v>0</v>
      </c>
      <c r="G18" s="228">
        <f t="shared" ref="G18" si="44">IFERROR((F18)/M18,0)</f>
        <v>0</v>
      </c>
      <c r="H18" s="229">
        <f t="shared" ref="H18:H81" si="45">IF(F18=0,0,ROUND((8*5)*(365/12/7),0))</f>
        <v>0</v>
      </c>
      <c r="I18" s="229">
        <f t="shared" ref="I18:I81" si="46">IF(F18=0,0,ROUND(8*365/12/7,0))</f>
        <v>0</v>
      </c>
      <c r="J18" s="230">
        <f>'임금대장 양식'!J18</f>
        <v>0</v>
      </c>
      <c r="K18" s="231">
        <f>'임금대장 양식'!K18</f>
        <v>0</v>
      </c>
      <c r="L18" s="231">
        <f>'임금대장 양식'!L18</f>
        <v>0</v>
      </c>
      <c r="M18" s="232">
        <f t="shared" ref="M18:M81" si="47">H18+I18+J19+K19+L19</f>
        <v>0</v>
      </c>
      <c r="N18" s="227">
        <f t="shared" ref="N18:N81" si="48">IF(G18=0,0,G18*(H18+I18)-(R18+S18+T18+U18))</f>
        <v>0</v>
      </c>
      <c r="O18" s="233">
        <f t="shared" ref="O18:O81" si="49">G18*J19</f>
        <v>0</v>
      </c>
      <c r="P18" s="233">
        <f t="shared" ref="P18:P81" si="50">G18*K19</f>
        <v>0</v>
      </c>
      <c r="Q18" s="233">
        <f t="shared" ref="Q18:Q81" si="51">G18*L19</f>
        <v>0</v>
      </c>
      <c r="R18" s="233">
        <f>'임금대장 양식'!R18</f>
        <v>0</v>
      </c>
      <c r="S18" s="233">
        <f>'임금대장 양식'!S18</f>
        <v>0</v>
      </c>
      <c r="T18" s="233">
        <f>'임금대장 양식'!T18</f>
        <v>0</v>
      </c>
      <c r="U18" s="233">
        <f>'임금대장 양식'!U18</f>
        <v>0</v>
      </c>
    </row>
    <row r="19" spans="2:21" ht="21.5" customHeight="1">
      <c r="B19" s="234"/>
      <c r="C19" s="234">
        <v>0</v>
      </c>
      <c r="D19" s="210">
        <f>'임금대장 양식'!D19</f>
        <v>0</v>
      </c>
      <c r="E19" s="235"/>
      <c r="F19" s="236"/>
      <c r="G19" s="237"/>
      <c r="H19" s="238"/>
      <c r="I19" s="238"/>
      <c r="J19" s="239">
        <f t="shared" ref="J19:J82" si="52">ROUND(J18*(365/12/7)*IF($S$4="5인 이상",1.5,1),0)</f>
        <v>0</v>
      </c>
      <c r="K19" s="239">
        <f t="shared" ref="K19:K82" si="53">ROUND(K18*IF($S$4="5인 이상",1.5,1),0)</f>
        <v>0</v>
      </c>
      <c r="L19" s="239">
        <f t="shared" ref="L19:L82" si="54">ROUND(L18*IF($S$4="5인 이상",1.5,1)+L18*IF($S$4="5인 이상",0.5,1),0)</f>
        <v>0</v>
      </c>
      <c r="M19" s="240"/>
      <c r="N19" s="236"/>
      <c r="O19" s="241"/>
      <c r="P19" s="241"/>
      <c r="Q19" s="241"/>
      <c r="R19" s="241"/>
      <c r="S19" s="241"/>
      <c r="T19" s="241"/>
      <c r="U19" s="241"/>
    </row>
    <row r="20" spans="2:21" ht="21.5" customHeight="1">
      <c r="B20" s="225">
        <f>'임금대장 양식'!B20</f>
        <v>0</v>
      </c>
      <c r="C20" s="225" cm="1">
        <f t="array" ref="C20:C21">'임금대장 양식'!C20:C21</f>
        <v>0</v>
      </c>
      <c r="D20" s="225">
        <f>'임금대장 양식'!D20</f>
        <v>0</v>
      </c>
      <c r="E20" s="226">
        <f>'임금대장 양식'!E20</f>
        <v>0</v>
      </c>
      <c r="F20" s="227">
        <f>'임금대장 양식'!F20</f>
        <v>0</v>
      </c>
      <c r="G20" s="228">
        <f t="shared" ref="G20" si="55">IFERROR((F20)/M20,0)</f>
        <v>0</v>
      </c>
      <c r="H20" s="229">
        <f t="shared" ref="H20:H83" si="56">IF(F20=0,0,ROUND((8*5)*(365/12/7),0))</f>
        <v>0</v>
      </c>
      <c r="I20" s="229">
        <f t="shared" ref="I20:I83" si="57">IF(F20=0,0,ROUND(8*365/12/7,0))</f>
        <v>0</v>
      </c>
      <c r="J20" s="230">
        <f>'임금대장 양식'!J20</f>
        <v>0</v>
      </c>
      <c r="K20" s="231">
        <f>'임금대장 양식'!K20</f>
        <v>0</v>
      </c>
      <c r="L20" s="231">
        <f>'임금대장 양식'!L20</f>
        <v>0</v>
      </c>
      <c r="M20" s="232">
        <f t="shared" ref="M20:M83" si="58">H20+I20+J21+K21+L21</f>
        <v>0</v>
      </c>
      <c r="N20" s="227">
        <f t="shared" ref="N20:N83" si="59">IF(G20=0,0,G20*(H20+I20)-(R20+S20+T20+U20))</f>
        <v>0</v>
      </c>
      <c r="O20" s="233">
        <f t="shared" ref="O20:O83" si="60">G20*J21</f>
        <v>0</v>
      </c>
      <c r="P20" s="233">
        <f t="shared" ref="P20:P83" si="61">G20*K21</f>
        <v>0</v>
      </c>
      <c r="Q20" s="233">
        <f t="shared" ref="Q20:Q83" si="62">G20*L21</f>
        <v>0</v>
      </c>
      <c r="R20" s="233">
        <f>'임금대장 양식'!R20</f>
        <v>0</v>
      </c>
      <c r="S20" s="233">
        <f>'임금대장 양식'!S20</f>
        <v>0</v>
      </c>
      <c r="T20" s="233">
        <f>'임금대장 양식'!T20</f>
        <v>0</v>
      </c>
      <c r="U20" s="233">
        <f>'임금대장 양식'!U20</f>
        <v>0</v>
      </c>
    </row>
    <row r="21" spans="2:21" ht="21.5" customHeight="1">
      <c r="B21" s="234"/>
      <c r="C21" s="234">
        <v>0</v>
      </c>
      <c r="D21" s="210">
        <f>'임금대장 양식'!D21</f>
        <v>0</v>
      </c>
      <c r="E21" s="235"/>
      <c r="F21" s="236"/>
      <c r="G21" s="237"/>
      <c r="H21" s="238"/>
      <c r="I21" s="238"/>
      <c r="J21" s="239">
        <f t="shared" ref="J21:J84" si="63">ROUND(J20*(365/12/7)*IF($S$4="5인 이상",1.5,1),0)</f>
        <v>0</v>
      </c>
      <c r="K21" s="239">
        <f t="shared" ref="K21:K84" si="64">ROUND(K20*IF($S$4="5인 이상",1.5,1),0)</f>
        <v>0</v>
      </c>
      <c r="L21" s="239">
        <f t="shared" ref="L21:L84" si="65">ROUND(L20*IF($S$4="5인 이상",1.5,1)+L20*IF($S$4="5인 이상",0.5,1),0)</f>
        <v>0</v>
      </c>
      <c r="M21" s="240"/>
      <c r="N21" s="236"/>
      <c r="O21" s="241"/>
      <c r="P21" s="241"/>
      <c r="Q21" s="241"/>
      <c r="R21" s="241"/>
      <c r="S21" s="241"/>
      <c r="T21" s="241"/>
      <c r="U21" s="241"/>
    </row>
    <row r="22" spans="2:21" ht="21.5" customHeight="1">
      <c r="B22" s="225">
        <f>'임금대장 양식'!B22</f>
        <v>0</v>
      </c>
      <c r="C22" s="225" cm="1">
        <f t="array" ref="C22:C23">'임금대장 양식'!C22:C23</f>
        <v>0</v>
      </c>
      <c r="D22" s="225">
        <f>'임금대장 양식'!D22</f>
        <v>0</v>
      </c>
      <c r="E22" s="226">
        <f>'임금대장 양식'!E22</f>
        <v>0</v>
      </c>
      <c r="F22" s="227">
        <f>'임금대장 양식'!F22</f>
        <v>0</v>
      </c>
      <c r="G22" s="228">
        <f t="shared" ref="G22" si="66">IFERROR((F22)/M22,0)</f>
        <v>0</v>
      </c>
      <c r="H22" s="229">
        <f t="shared" ref="H22:H85" si="67">IF(F22=0,0,ROUND((8*5)*(365/12/7),0))</f>
        <v>0</v>
      </c>
      <c r="I22" s="229">
        <f t="shared" ref="I22:I85" si="68">IF(F22=0,0,ROUND(8*365/12/7,0))</f>
        <v>0</v>
      </c>
      <c r="J22" s="230">
        <f>'임금대장 양식'!J22</f>
        <v>0</v>
      </c>
      <c r="K22" s="231">
        <f>'임금대장 양식'!K22</f>
        <v>0</v>
      </c>
      <c r="L22" s="231">
        <f>'임금대장 양식'!L22</f>
        <v>0</v>
      </c>
      <c r="M22" s="232">
        <f t="shared" ref="M22:M85" si="69">H22+I22+J23+K23+L23</f>
        <v>0</v>
      </c>
      <c r="N22" s="227">
        <f t="shared" ref="N22:N85" si="70">IF(G22=0,0,G22*(H22+I22)-(R22+S22+T22+U22))</f>
        <v>0</v>
      </c>
      <c r="O22" s="233">
        <f t="shared" ref="O22:O85" si="71">G22*J23</f>
        <v>0</v>
      </c>
      <c r="P22" s="233">
        <f t="shared" ref="P22:P85" si="72">G22*K23</f>
        <v>0</v>
      </c>
      <c r="Q22" s="233">
        <f t="shared" ref="Q22:Q85" si="73">G22*L23</f>
        <v>0</v>
      </c>
      <c r="R22" s="233">
        <f>'임금대장 양식'!R22</f>
        <v>0</v>
      </c>
      <c r="S22" s="233">
        <f>'임금대장 양식'!S22</f>
        <v>0</v>
      </c>
      <c r="T22" s="233">
        <f>'임금대장 양식'!T22</f>
        <v>0</v>
      </c>
      <c r="U22" s="233">
        <f>'임금대장 양식'!U22</f>
        <v>0</v>
      </c>
    </row>
    <row r="23" spans="2:21" ht="21.5" customHeight="1">
      <c r="B23" s="234"/>
      <c r="C23" s="234">
        <v>0</v>
      </c>
      <c r="D23" s="210">
        <f>'임금대장 양식'!D23</f>
        <v>0</v>
      </c>
      <c r="E23" s="235"/>
      <c r="F23" s="236"/>
      <c r="G23" s="237"/>
      <c r="H23" s="238"/>
      <c r="I23" s="238"/>
      <c r="J23" s="239">
        <f t="shared" ref="J23:J86" si="74">ROUND(J22*(365/12/7)*IF($S$4="5인 이상",1.5,1),0)</f>
        <v>0</v>
      </c>
      <c r="K23" s="239">
        <f t="shared" ref="K23:K86" si="75">ROUND(K22*IF($S$4="5인 이상",1.5,1),0)</f>
        <v>0</v>
      </c>
      <c r="L23" s="239">
        <f t="shared" ref="L23:L86" si="76">ROUND(L22*IF($S$4="5인 이상",1.5,1)+L22*IF($S$4="5인 이상",0.5,1),0)</f>
        <v>0</v>
      </c>
      <c r="M23" s="240"/>
      <c r="N23" s="236"/>
      <c r="O23" s="241"/>
      <c r="P23" s="241"/>
      <c r="Q23" s="241"/>
      <c r="R23" s="241"/>
      <c r="S23" s="241"/>
      <c r="T23" s="241"/>
      <c r="U23" s="241"/>
    </row>
    <row r="24" spans="2:21" ht="21.5" customHeight="1">
      <c r="B24" s="225">
        <f>'임금대장 양식'!B24</f>
        <v>0</v>
      </c>
      <c r="C24" s="225" cm="1">
        <f t="array" ref="C24:C25">'임금대장 양식'!C24:C25</f>
        <v>0</v>
      </c>
      <c r="D24" s="225">
        <f>'임금대장 양식'!D24</f>
        <v>0</v>
      </c>
      <c r="E24" s="226">
        <f>'임금대장 양식'!E24</f>
        <v>0</v>
      </c>
      <c r="F24" s="227">
        <f>'임금대장 양식'!F24</f>
        <v>0</v>
      </c>
      <c r="G24" s="228">
        <f t="shared" ref="G24" si="77">IFERROR((F24)/M24,0)</f>
        <v>0</v>
      </c>
      <c r="H24" s="229">
        <f t="shared" ref="H24:H87" si="78">IF(F24=0,0,ROUND((8*5)*(365/12/7),0))</f>
        <v>0</v>
      </c>
      <c r="I24" s="229">
        <f t="shared" ref="I24:I87" si="79">IF(F24=0,0,ROUND(8*365/12/7,0))</f>
        <v>0</v>
      </c>
      <c r="J24" s="230">
        <f>'임금대장 양식'!J24</f>
        <v>0</v>
      </c>
      <c r="K24" s="231">
        <f>'임금대장 양식'!K24</f>
        <v>0</v>
      </c>
      <c r="L24" s="231">
        <f>'임금대장 양식'!L24</f>
        <v>0</v>
      </c>
      <c r="M24" s="232">
        <f t="shared" ref="M24:M87" si="80">H24+I24+J25+K25+L25</f>
        <v>0</v>
      </c>
      <c r="N24" s="227">
        <f t="shared" ref="N24:N87" si="81">IF(G24=0,0,G24*(H24+I24)-(R24+S24+T24+U24))</f>
        <v>0</v>
      </c>
      <c r="O24" s="233">
        <f t="shared" ref="O24:O87" si="82">G24*J25</f>
        <v>0</v>
      </c>
      <c r="P24" s="233">
        <f t="shared" ref="P24:P87" si="83">G24*K25</f>
        <v>0</v>
      </c>
      <c r="Q24" s="233">
        <f t="shared" ref="Q24:Q87" si="84">G24*L25</f>
        <v>0</v>
      </c>
      <c r="R24" s="233">
        <f>'임금대장 양식'!R24</f>
        <v>0</v>
      </c>
      <c r="S24" s="233">
        <f>'임금대장 양식'!S24</f>
        <v>0</v>
      </c>
      <c r="T24" s="233">
        <f>'임금대장 양식'!T24</f>
        <v>0</v>
      </c>
      <c r="U24" s="233">
        <f>'임금대장 양식'!U24</f>
        <v>0</v>
      </c>
    </row>
    <row r="25" spans="2:21" ht="21.5" customHeight="1">
      <c r="B25" s="234"/>
      <c r="C25" s="234">
        <v>0</v>
      </c>
      <c r="D25" s="210">
        <f>'임금대장 양식'!D25</f>
        <v>0</v>
      </c>
      <c r="E25" s="235"/>
      <c r="F25" s="236"/>
      <c r="G25" s="237"/>
      <c r="H25" s="238"/>
      <c r="I25" s="238"/>
      <c r="J25" s="239">
        <f t="shared" ref="J25:J88" si="85">ROUND(J24*(365/12/7)*IF($S$4="5인 이상",1.5,1),0)</f>
        <v>0</v>
      </c>
      <c r="K25" s="239">
        <f t="shared" ref="K25:K88" si="86">ROUND(K24*IF($S$4="5인 이상",1.5,1),0)</f>
        <v>0</v>
      </c>
      <c r="L25" s="239">
        <f t="shared" ref="L25:L88" si="87">ROUND(L24*IF($S$4="5인 이상",1.5,1)+L24*IF($S$4="5인 이상",0.5,1),0)</f>
        <v>0</v>
      </c>
      <c r="M25" s="240"/>
      <c r="N25" s="236"/>
      <c r="O25" s="241"/>
      <c r="P25" s="241"/>
      <c r="Q25" s="241"/>
      <c r="R25" s="241"/>
      <c r="S25" s="241"/>
      <c r="T25" s="241"/>
      <c r="U25" s="241"/>
    </row>
    <row r="26" spans="2:21" ht="21.5" customHeight="1">
      <c r="B26" s="225">
        <f>'임금대장 양식'!B26</f>
        <v>0</v>
      </c>
      <c r="C26" s="225" cm="1">
        <f t="array" ref="C26:C27">'임금대장 양식'!C26:C27</f>
        <v>0</v>
      </c>
      <c r="D26" s="225">
        <f>'임금대장 양식'!D26</f>
        <v>0</v>
      </c>
      <c r="E26" s="226">
        <f>'임금대장 양식'!E26</f>
        <v>0</v>
      </c>
      <c r="F26" s="227">
        <f>'임금대장 양식'!F26</f>
        <v>0</v>
      </c>
      <c r="G26" s="228">
        <f t="shared" ref="G26" si="88">IFERROR((F26)/M26,0)</f>
        <v>0</v>
      </c>
      <c r="H26" s="229">
        <f t="shared" ref="H26:H89" si="89">IF(F26=0,0,ROUND((8*5)*(365/12/7),0))</f>
        <v>0</v>
      </c>
      <c r="I26" s="229">
        <f t="shared" ref="I26:I89" si="90">IF(F26=0,0,ROUND(8*365/12/7,0))</f>
        <v>0</v>
      </c>
      <c r="J26" s="230">
        <f>'임금대장 양식'!J26</f>
        <v>0</v>
      </c>
      <c r="K26" s="231">
        <f>'임금대장 양식'!K26</f>
        <v>0</v>
      </c>
      <c r="L26" s="231">
        <f>'임금대장 양식'!L26</f>
        <v>0</v>
      </c>
      <c r="M26" s="232">
        <f t="shared" ref="M26:M89" si="91">H26+I26+J27+K27+L27</f>
        <v>0</v>
      </c>
      <c r="N26" s="227">
        <f t="shared" ref="N26:N89" si="92">IF(G26=0,0,G26*(H26+I26)-(R26+S26+T26+U26))</f>
        <v>0</v>
      </c>
      <c r="O26" s="233">
        <f t="shared" ref="O26:O89" si="93">G26*J27</f>
        <v>0</v>
      </c>
      <c r="P26" s="233">
        <f t="shared" ref="P26:P89" si="94">G26*K27</f>
        <v>0</v>
      </c>
      <c r="Q26" s="233">
        <f t="shared" ref="Q26:Q89" si="95">G26*L27</f>
        <v>0</v>
      </c>
      <c r="R26" s="233">
        <f>'임금대장 양식'!R26</f>
        <v>0</v>
      </c>
      <c r="S26" s="233">
        <f>'임금대장 양식'!S26</f>
        <v>0</v>
      </c>
      <c r="T26" s="233">
        <f>'임금대장 양식'!T26</f>
        <v>0</v>
      </c>
      <c r="U26" s="233">
        <f>'임금대장 양식'!U26</f>
        <v>0</v>
      </c>
    </row>
    <row r="27" spans="2:21" ht="21.5" customHeight="1">
      <c r="B27" s="234"/>
      <c r="C27" s="234">
        <v>0</v>
      </c>
      <c r="D27" s="210">
        <f>'임금대장 양식'!D27</f>
        <v>0</v>
      </c>
      <c r="E27" s="235"/>
      <c r="F27" s="236"/>
      <c r="G27" s="237"/>
      <c r="H27" s="238"/>
      <c r="I27" s="238"/>
      <c r="J27" s="239">
        <f t="shared" ref="J27:J90" si="96">ROUND(J26*(365/12/7)*IF($S$4="5인 이상",1.5,1),0)</f>
        <v>0</v>
      </c>
      <c r="K27" s="239">
        <f t="shared" ref="K27:K90" si="97">ROUND(K26*IF($S$4="5인 이상",1.5,1),0)</f>
        <v>0</v>
      </c>
      <c r="L27" s="239">
        <f t="shared" ref="L27:L90" si="98">ROUND(L26*IF($S$4="5인 이상",1.5,1)+L26*IF($S$4="5인 이상",0.5,1),0)</f>
        <v>0</v>
      </c>
      <c r="M27" s="240"/>
      <c r="N27" s="236"/>
      <c r="O27" s="241"/>
      <c r="P27" s="241"/>
      <c r="Q27" s="241"/>
      <c r="R27" s="241"/>
      <c r="S27" s="241"/>
      <c r="T27" s="241"/>
      <c r="U27" s="241"/>
    </row>
    <row r="28" spans="2:21" ht="21.5" customHeight="1">
      <c r="B28" s="225">
        <f>'임금대장 양식'!B28</f>
        <v>0</v>
      </c>
      <c r="C28" s="225" cm="1">
        <f t="array" ref="C28:C29">'임금대장 양식'!C28:C29</f>
        <v>0</v>
      </c>
      <c r="D28" s="225">
        <f>'임금대장 양식'!D28</f>
        <v>0</v>
      </c>
      <c r="E28" s="226">
        <f>'임금대장 양식'!E28</f>
        <v>0</v>
      </c>
      <c r="F28" s="227">
        <f>'임금대장 양식'!F28</f>
        <v>0</v>
      </c>
      <c r="G28" s="228">
        <f t="shared" ref="G28" si="99">IFERROR((F28)/M28,0)</f>
        <v>0</v>
      </c>
      <c r="H28" s="229">
        <f t="shared" ref="H28:H91" si="100">IF(F28=0,0,ROUND((8*5)*(365/12/7),0))</f>
        <v>0</v>
      </c>
      <c r="I28" s="229">
        <f t="shared" ref="I28:I91" si="101">IF(F28=0,0,ROUND(8*365/12/7,0))</f>
        <v>0</v>
      </c>
      <c r="J28" s="230">
        <f>'임금대장 양식'!J28</f>
        <v>0</v>
      </c>
      <c r="K28" s="231">
        <f>'임금대장 양식'!K28</f>
        <v>0</v>
      </c>
      <c r="L28" s="231">
        <f>'임금대장 양식'!L28</f>
        <v>0</v>
      </c>
      <c r="M28" s="232">
        <f t="shared" ref="M28:M91" si="102">H28+I28+J29+K29+L29</f>
        <v>0</v>
      </c>
      <c r="N28" s="227">
        <f t="shared" ref="N28:N91" si="103">IF(G28=0,0,G28*(H28+I28)-(R28+S28+T28+U28))</f>
        <v>0</v>
      </c>
      <c r="O28" s="233">
        <f t="shared" ref="O28:O91" si="104">G28*J29</f>
        <v>0</v>
      </c>
      <c r="P28" s="233">
        <f t="shared" ref="P28:P91" si="105">G28*K29</f>
        <v>0</v>
      </c>
      <c r="Q28" s="233">
        <f t="shared" ref="Q28:Q91" si="106">G28*L29</f>
        <v>0</v>
      </c>
      <c r="R28" s="233">
        <f>'임금대장 양식'!R28</f>
        <v>0</v>
      </c>
      <c r="S28" s="233">
        <f>'임금대장 양식'!S28</f>
        <v>0</v>
      </c>
      <c r="T28" s="233">
        <f>'임금대장 양식'!T28</f>
        <v>0</v>
      </c>
      <c r="U28" s="233">
        <f>'임금대장 양식'!U28</f>
        <v>0</v>
      </c>
    </row>
    <row r="29" spans="2:21" ht="21.5" customHeight="1">
      <c r="B29" s="234"/>
      <c r="C29" s="234">
        <v>0</v>
      </c>
      <c r="D29" s="210">
        <f>'임금대장 양식'!D29</f>
        <v>0</v>
      </c>
      <c r="E29" s="235"/>
      <c r="F29" s="236"/>
      <c r="G29" s="237"/>
      <c r="H29" s="238"/>
      <c r="I29" s="238"/>
      <c r="J29" s="239">
        <f t="shared" ref="J29:J92" si="107">ROUND(J28*(365/12/7)*IF($S$4="5인 이상",1.5,1),0)</f>
        <v>0</v>
      </c>
      <c r="K29" s="239">
        <f t="shared" ref="K29:K92" si="108">ROUND(K28*IF($S$4="5인 이상",1.5,1),0)</f>
        <v>0</v>
      </c>
      <c r="L29" s="239">
        <f t="shared" ref="L29:L92" si="109">ROUND(L28*IF($S$4="5인 이상",1.5,1)+L28*IF($S$4="5인 이상",0.5,1),0)</f>
        <v>0</v>
      </c>
      <c r="M29" s="240"/>
      <c r="N29" s="236"/>
      <c r="O29" s="241"/>
      <c r="P29" s="241"/>
      <c r="Q29" s="241"/>
      <c r="R29" s="241"/>
      <c r="S29" s="241"/>
      <c r="T29" s="241"/>
      <c r="U29" s="241"/>
    </row>
    <row r="30" spans="2:21" ht="21.5" customHeight="1">
      <c r="B30" s="225">
        <f>'임금대장 양식'!B30</f>
        <v>0</v>
      </c>
      <c r="C30" s="225" cm="1">
        <f t="array" ref="C30:C31">'임금대장 양식'!C30:C31</f>
        <v>0</v>
      </c>
      <c r="D30" s="225">
        <f>'임금대장 양식'!D30</f>
        <v>0</v>
      </c>
      <c r="E30" s="226">
        <f>'임금대장 양식'!E30</f>
        <v>0</v>
      </c>
      <c r="F30" s="227">
        <f>'임금대장 양식'!F30</f>
        <v>0</v>
      </c>
      <c r="G30" s="228">
        <f t="shared" ref="G30" si="110">IFERROR((F30)/M30,0)</f>
        <v>0</v>
      </c>
      <c r="H30" s="229">
        <f t="shared" ref="H30:H93" si="111">IF(F30=0,0,ROUND((8*5)*(365/12/7),0))</f>
        <v>0</v>
      </c>
      <c r="I30" s="229">
        <f t="shared" ref="I30:I93" si="112">IF(F30=0,0,ROUND(8*365/12/7,0))</f>
        <v>0</v>
      </c>
      <c r="J30" s="230">
        <f>'임금대장 양식'!J30</f>
        <v>0</v>
      </c>
      <c r="K30" s="231">
        <f>'임금대장 양식'!K30</f>
        <v>0</v>
      </c>
      <c r="L30" s="231">
        <f>'임금대장 양식'!L30</f>
        <v>0</v>
      </c>
      <c r="M30" s="232">
        <f t="shared" ref="M30:M93" si="113">H30+I30+J31+K31+L31</f>
        <v>0</v>
      </c>
      <c r="N30" s="227">
        <f t="shared" ref="N30:N93" si="114">IF(G30=0,0,G30*(H30+I30)-(R30+S30+T30+U30))</f>
        <v>0</v>
      </c>
      <c r="O30" s="233">
        <f t="shared" ref="O30:O93" si="115">G30*J31</f>
        <v>0</v>
      </c>
      <c r="P30" s="233">
        <f t="shared" ref="P30:P93" si="116">G30*K31</f>
        <v>0</v>
      </c>
      <c r="Q30" s="233">
        <f t="shared" ref="Q30:Q93" si="117">G30*L31</f>
        <v>0</v>
      </c>
      <c r="R30" s="233">
        <f>'임금대장 양식'!R30</f>
        <v>0</v>
      </c>
      <c r="S30" s="233">
        <f>'임금대장 양식'!S30</f>
        <v>0</v>
      </c>
      <c r="T30" s="233">
        <f>'임금대장 양식'!T30</f>
        <v>0</v>
      </c>
      <c r="U30" s="233">
        <f>'임금대장 양식'!U30</f>
        <v>0</v>
      </c>
    </row>
    <row r="31" spans="2:21" ht="21.5" customHeight="1">
      <c r="B31" s="234"/>
      <c r="C31" s="234">
        <v>0</v>
      </c>
      <c r="D31" s="210">
        <f>'임금대장 양식'!D31</f>
        <v>0</v>
      </c>
      <c r="E31" s="235"/>
      <c r="F31" s="236"/>
      <c r="G31" s="237"/>
      <c r="H31" s="238"/>
      <c r="I31" s="238"/>
      <c r="J31" s="239">
        <f t="shared" ref="J31:J94" si="118">ROUND(J30*(365/12/7)*IF($S$4="5인 이상",1.5,1),0)</f>
        <v>0</v>
      </c>
      <c r="K31" s="239">
        <f t="shared" ref="K31:K94" si="119">ROUND(K30*IF($S$4="5인 이상",1.5,1),0)</f>
        <v>0</v>
      </c>
      <c r="L31" s="239">
        <f t="shared" ref="L31:L94" si="120">ROUND(L30*IF($S$4="5인 이상",1.5,1)+L30*IF($S$4="5인 이상",0.5,1),0)</f>
        <v>0</v>
      </c>
      <c r="M31" s="240"/>
      <c r="N31" s="236"/>
      <c r="O31" s="241"/>
      <c r="P31" s="241"/>
      <c r="Q31" s="241"/>
      <c r="R31" s="241"/>
      <c r="S31" s="241"/>
      <c r="T31" s="241"/>
      <c r="U31" s="241"/>
    </row>
    <row r="32" spans="2:21" ht="21.5" customHeight="1">
      <c r="B32" s="225">
        <f>'임금대장 양식'!B32</f>
        <v>0</v>
      </c>
      <c r="C32" s="225" cm="1">
        <f t="array" ref="C32:C33">'임금대장 양식'!C32:C33</f>
        <v>0</v>
      </c>
      <c r="D32" s="225">
        <f>'임금대장 양식'!D32</f>
        <v>0</v>
      </c>
      <c r="E32" s="226">
        <f>'임금대장 양식'!E32</f>
        <v>0</v>
      </c>
      <c r="F32" s="227">
        <f>'임금대장 양식'!F32</f>
        <v>0</v>
      </c>
      <c r="G32" s="228">
        <f t="shared" ref="G32" si="121">IFERROR((F32)/M32,0)</f>
        <v>0</v>
      </c>
      <c r="H32" s="229">
        <f t="shared" ref="H32:H95" si="122">IF(F32=0,0,ROUND((8*5)*(365/12/7),0))</f>
        <v>0</v>
      </c>
      <c r="I32" s="229">
        <f t="shared" ref="I32:I95" si="123">IF(F32=0,0,ROUND(8*365/12/7,0))</f>
        <v>0</v>
      </c>
      <c r="J32" s="230">
        <f>'임금대장 양식'!J32</f>
        <v>0</v>
      </c>
      <c r="K32" s="231">
        <f>'임금대장 양식'!K32</f>
        <v>0</v>
      </c>
      <c r="L32" s="231">
        <f>'임금대장 양식'!L32</f>
        <v>0</v>
      </c>
      <c r="M32" s="232">
        <f t="shared" ref="M32:M95" si="124">H32+I32+J33+K33+L33</f>
        <v>0</v>
      </c>
      <c r="N32" s="227">
        <f t="shared" ref="N32:N95" si="125">IF(G32=0,0,G32*(H32+I32)-(R32+S32+T32+U32))</f>
        <v>0</v>
      </c>
      <c r="O32" s="233">
        <f t="shared" ref="O32:O95" si="126">G32*J33</f>
        <v>0</v>
      </c>
      <c r="P32" s="233">
        <f t="shared" ref="P32:P95" si="127">G32*K33</f>
        <v>0</v>
      </c>
      <c r="Q32" s="233">
        <f t="shared" ref="Q32:Q95" si="128">G32*L33</f>
        <v>0</v>
      </c>
      <c r="R32" s="233">
        <f>'임금대장 양식'!R32</f>
        <v>0</v>
      </c>
      <c r="S32" s="233">
        <f>'임금대장 양식'!S32</f>
        <v>0</v>
      </c>
      <c r="T32" s="233">
        <f>'임금대장 양식'!T32</f>
        <v>0</v>
      </c>
      <c r="U32" s="233">
        <f>'임금대장 양식'!U32</f>
        <v>0</v>
      </c>
    </row>
    <row r="33" spans="2:21" ht="21.5" customHeight="1">
      <c r="B33" s="234"/>
      <c r="C33" s="234">
        <v>0</v>
      </c>
      <c r="D33" s="210">
        <f>'임금대장 양식'!D33</f>
        <v>0</v>
      </c>
      <c r="E33" s="235"/>
      <c r="F33" s="236"/>
      <c r="G33" s="237"/>
      <c r="H33" s="238"/>
      <c r="I33" s="238"/>
      <c r="J33" s="239">
        <f t="shared" ref="J33:J96" si="129">ROUND(J32*(365/12/7)*IF($S$4="5인 이상",1.5,1),0)</f>
        <v>0</v>
      </c>
      <c r="K33" s="239">
        <f t="shared" ref="K33:K96" si="130">ROUND(K32*IF($S$4="5인 이상",1.5,1),0)</f>
        <v>0</v>
      </c>
      <c r="L33" s="239">
        <f t="shared" ref="L33:L96" si="131">ROUND(L32*IF($S$4="5인 이상",1.5,1)+L32*IF($S$4="5인 이상",0.5,1),0)</f>
        <v>0</v>
      </c>
      <c r="M33" s="240"/>
      <c r="N33" s="236"/>
      <c r="O33" s="241"/>
      <c r="P33" s="241"/>
      <c r="Q33" s="241"/>
      <c r="R33" s="241"/>
      <c r="S33" s="241"/>
      <c r="T33" s="241"/>
      <c r="U33" s="241"/>
    </row>
    <row r="34" spans="2:21" ht="21.5" customHeight="1">
      <c r="B34" s="225">
        <f>'임금대장 양식'!B34</f>
        <v>0</v>
      </c>
      <c r="C34" s="225" cm="1">
        <f t="array" ref="C34:C35">'임금대장 양식'!C34:C35</f>
        <v>0</v>
      </c>
      <c r="D34" s="225">
        <f>'임금대장 양식'!D34</f>
        <v>0</v>
      </c>
      <c r="E34" s="226">
        <f>'임금대장 양식'!E34</f>
        <v>0</v>
      </c>
      <c r="F34" s="227">
        <f>'임금대장 양식'!F34</f>
        <v>0</v>
      </c>
      <c r="G34" s="228">
        <f t="shared" ref="G34" si="132">IFERROR((F34)/M34,0)</f>
        <v>0</v>
      </c>
      <c r="H34" s="229">
        <f t="shared" ref="H34:H97" si="133">IF(F34=0,0,ROUND((8*5)*(365/12/7),0))</f>
        <v>0</v>
      </c>
      <c r="I34" s="229">
        <f t="shared" ref="I34:I97" si="134">IF(F34=0,0,ROUND(8*365/12/7,0))</f>
        <v>0</v>
      </c>
      <c r="J34" s="230">
        <f>'임금대장 양식'!J34</f>
        <v>0</v>
      </c>
      <c r="K34" s="231">
        <f>'임금대장 양식'!K34</f>
        <v>0</v>
      </c>
      <c r="L34" s="231">
        <f>'임금대장 양식'!L34</f>
        <v>0</v>
      </c>
      <c r="M34" s="232">
        <f t="shared" ref="M34:M97" si="135">H34+I34+J35+K35+L35</f>
        <v>0</v>
      </c>
      <c r="N34" s="227">
        <f t="shared" ref="N34:N97" si="136">IF(G34=0,0,G34*(H34+I34)-(R34+S34+T34+U34))</f>
        <v>0</v>
      </c>
      <c r="O34" s="233">
        <f t="shared" ref="O34:O97" si="137">G34*J35</f>
        <v>0</v>
      </c>
      <c r="P34" s="233">
        <f t="shared" ref="P34:P97" si="138">G34*K35</f>
        <v>0</v>
      </c>
      <c r="Q34" s="233">
        <f t="shared" ref="Q34:Q97" si="139">G34*L35</f>
        <v>0</v>
      </c>
      <c r="R34" s="233">
        <f>'임금대장 양식'!R34</f>
        <v>0</v>
      </c>
      <c r="S34" s="233">
        <f>'임금대장 양식'!S34</f>
        <v>0</v>
      </c>
      <c r="T34" s="233">
        <f>'임금대장 양식'!T34</f>
        <v>0</v>
      </c>
      <c r="U34" s="233">
        <f>'임금대장 양식'!U34</f>
        <v>0</v>
      </c>
    </row>
    <row r="35" spans="2:21" ht="21.5" customHeight="1">
      <c r="B35" s="234"/>
      <c r="C35" s="234">
        <v>0</v>
      </c>
      <c r="D35" s="210">
        <f>'임금대장 양식'!D35</f>
        <v>0</v>
      </c>
      <c r="E35" s="235"/>
      <c r="F35" s="236"/>
      <c r="G35" s="237"/>
      <c r="H35" s="238"/>
      <c r="I35" s="238"/>
      <c r="J35" s="239">
        <f t="shared" ref="J35:J98" si="140">ROUND(J34*(365/12/7)*IF($S$4="5인 이상",1.5,1),0)</f>
        <v>0</v>
      </c>
      <c r="K35" s="239">
        <f t="shared" ref="K35:K98" si="141">ROUND(K34*IF($S$4="5인 이상",1.5,1),0)</f>
        <v>0</v>
      </c>
      <c r="L35" s="239">
        <f t="shared" ref="L35:L98" si="142">ROUND(L34*IF($S$4="5인 이상",1.5,1)+L34*IF($S$4="5인 이상",0.5,1),0)</f>
        <v>0</v>
      </c>
      <c r="M35" s="240"/>
      <c r="N35" s="236"/>
      <c r="O35" s="241"/>
      <c r="P35" s="241"/>
      <c r="Q35" s="241"/>
      <c r="R35" s="241"/>
      <c r="S35" s="241"/>
      <c r="T35" s="241"/>
      <c r="U35" s="241"/>
    </row>
    <row r="36" spans="2:21" ht="21.5" customHeight="1">
      <c r="B36" s="225">
        <f>'임금대장 양식'!B36</f>
        <v>0</v>
      </c>
      <c r="C36" s="225" cm="1">
        <f t="array" ref="C36:C37">'임금대장 양식'!C36:C37</f>
        <v>0</v>
      </c>
      <c r="D36" s="225">
        <f>'임금대장 양식'!D36</f>
        <v>0</v>
      </c>
      <c r="E36" s="226">
        <f>'임금대장 양식'!E36</f>
        <v>0</v>
      </c>
      <c r="F36" s="227">
        <f>'임금대장 양식'!F36</f>
        <v>0</v>
      </c>
      <c r="G36" s="228">
        <f t="shared" ref="G36" si="143">IFERROR((F36)/M36,0)</f>
        <v>0</v>
      </c>
      <c r="H36" s="229">
        <f t="shared" ref="H36:H99" si="144">IF(F36=0,0,ROUND((8*5)*(365/12/7),0))</f>
        <v>0</v>
      </c>
      <c r="I36" s="229">
        <f t="shared" ref="I36:I99" si="145">IF(F36=0,0,ROUND(8*365/12/7,0))</f>
        <v>0</v>
      </c>
      <c r="J36" s="230">
        <f>'임금대장 양식'!J36</f>
        <v>0</v>
      </c>
      <c r="K36" s="231">
        <f>'임금대장 양식'!K36</f>
        <v>0</v>
      </c>
      <c r="L36" s="231">
        <f>'임금대장 양식'!L36</f>
        <v>0</v>
      </c>
      <c r="M36" s="232">
        <f t="shared" ref="M36:M99" si="146">H36+I36+J37+K37+L37</f>
        <v>0</v>
      </c>
      <c r="N36" s="227">
        <f t="shared" ref="N36:N99" si="147">IF(G36=0,0,G36*(H36+I36)-(R36+S36+T36+U36))</f>
        <v>0</v>
      </c>
      <c r="O36" s="233">
        <f t="shared" ref="O36:O99" si="148">G36*J37</f>
        <v>0</v>
      </c>
      <c r="P36" s="233">
        <f t="shared" ref="P36:P99" si="149">G36*K37</f>
        <v>0</v>
      </c>
      <c r="Q36" s="233">
        <f t="shared" ref="Q36:Q99" si="150">G36*L37</f>
        <v>0</v>
      </c>
      <c r="R36" s="233">
        <f>'임금대장 양식'!R36</f>
        <v>0</v>
      </c>
      <c r="S36" s="233">
        <f>'임금대장 양식'!S36</f>
        <v>0</v>
      </c>
      <c r="T36" s="233">
        <f>'임금대장 양식'!T36</f>
        <v>0</v>
      </c>
      <c r="U36" s="233">
        <f>'임금대장 양식'!U36</f>
        <v>0</v>
      </c>
    </row>
    <row r="37" spans="2:21" ht="21.5" customHeight="1">
      <c r="B37" s="234"/>
      <c r="C37" s="234">
        <v>0</v>
      </c>
      <c r="D37" s="210">
        <f>'임금대장 양식'!D37</f>
        <v>0</v>
      </c>
      <c r="E37" s="235"/>
      <c r="F37" s="236"/>
      <c r="G37" s="237"/>
      <c r="H37" s="238"/>
      <c r="I37" s="238"/>
      <c r="J37" s="239">
        <f t="shared" ref="J37:J100" si="151">ROUND(J36*(365/12/7)*IF($S$4="5인 이상",1.5,1),0)</f>
        <v>0</v>
      </c>
      <c r="K37" s="239">
        <f t="shared" ref="K37:K100" si="152">ROUND(K36*IF($S$4="5인 이상",1.5,1),0)</f>
        <v>0</v>
      </c>
      <c r="L37" s="239">
        <f t="shared" ref="L37:L100" si="153">ROUND(L36*IF($S$4="5인 이상",1.5,1)+L36*IF($S$4="5인 이상",0.5,1),0)</f>
        <v>0</v>
      </c>
      <c r="M37" s="240"/>
      <c r="N37" s="236"/>
      <c r="O37" s="241"/>
      <c r="P37" s="241"/>
      <c r="Q37" s="241"/>
      <c r="R37" s="241"/>
      <c r="S37" s="241"/>
      <c r="T37" s="241"/>
      <c r="U37" s="241"/>
    </row>
    <row r="38" spans="2:21" ht="21.5" customHeight="1">
      <c r="B38" s="225">
        <f>'임금대장 양식'!B38</f>
        <v>0</v>
      </c>
      <c r="C38" s="225" cm="1">
        <f t="array" ref="C38:C39">'임금대장 양식'!C38:C39</f>
        <v>0</v>
      </c>
      <c r="D38" s="225">
        <f>'임금대장 양식'!D38</f>
        <v>0</v>
      </c>
      <c r="E38" s="226">
        <f>'임금대장 양식'!E38</f>
        <v>0</v>
      </c>
      <c r="F38" s="227">
        <f>'임금대장 양식'!F38</f>
        <v>0</v>
      </c>
      <c r="G38" s="228">
        <f t="shared" ref="G38" si="154">IFERROR((F38)/M38,0)</f>
        <v>0</v>
      </c>
      <c r="H38" s="229">
        <f t="shared" ref="H38:H101" si="155">IF(F38=0,0,ROUND((8*5)*(365/12/7),0))</f>
        <v>0</v>
      </c>
      <c r="I38" s="229">
        <f t="shared" ref="I38:I101" si="156">IF(F38=0,0,ROUND(8*365/12/7,0))</f>
        <v>0</v>
      </c>
      <c r="J38" s="230">
        <f>'임금대장 양식'!J38</f>
        <v>0</v>
      </c>
      <c r="K38" s="231">
        <f>'임금대장 양식'!K38</f>
        <v>0</v>
      </c>
      <c r="L38" s="231">
        <f>'임금대장 양식'!L38</f>
        <v>0</v>
      </c>
      <c r="M38" s="232">
        <f t="shared" ref="M38:M101" si="157">H38+I38+J39+K39+L39</f>
        <v>0</v>
      </c>
      <c r="N38" s="227">
        <f t="shared" ref="N38:N101" si="158">IF(G38=0,0,G38*(H38+I38)-(R38+S38+T38+U38))</f>
        <v>0</v>
      </c>
      <c r="O38" s="233">
        <f t="shared" ref="O38:O101" si="159">G38*J39</f>
        <v>0</v>
      </c>
      <c r="P38" s="233">
        <f t="shared" ref="P38:P101" si="160">G38*K39</f>
        <v>0</v>
      </c>
      <c r="Q38" s="233">
        <f t="shared" ref="Q38:Q101" si="161">G38*L39</f>
        <v>0</v>
      </c>
      <c r="R38" s="233">
        <f>'임금대장 양식'!R38</f>
        <v>0</v>
      </c>
      <c r="S38" s="233">
        <f>'임금대장 양식'!S38</f>
        <v>0</v>
      </c>
      <c r="T38" s="233">
        <f>'임금대장 양식'!T38</f>
        <v>0</v>
      </c>
      <c r="U38" s="233">
        <f>'임금대장 양식'!U38</f>
        <v>0</v>
      </c>
    </row>
    <row r="39" spans="2:21" ht="21.5" customHeight="1">
      <c r="B39" s="234"/>
      <c r="C39" s="234">
        <v>0</v>
      </c>
      <c r="D39" s="210">
        <f>'임금대장 양식'!D39</f>
        <v>0</v>
      </c>
      <c r="E39" s="235"/>
      <c r="F39" s="236"/>
      <c r="G39" s="237"/>
      <c r="H39" s="238"/>
      <c r="I39" s="238"/>
      <c r="J39" s="239">
        <f t="shared" ref="J39:J102" si="162">ROUND(J38*(365/12/7)*IF($S$4="5인 이상",1.5,1),0)</f>
        <v>0</v>
      </c>
      <c r="K39" s="239">
        <f t="shared" ref="K39:K102" si="163">ROUND(K38*IF($S$4="5인 이상",1.5,1),0)</f>
        <v>0</v>
      </c>
      <c r="L39" s="239">
        <f t="shared" ref="L39:L102" si="164">ROUND(L38*IF($S$4="5인 이상",1.5,1)+L38*IF($S$4="5인 이상",0.5,1),0)</f>
        <v>0</v>
      </c>
      <c r="M39" s="240"/>
      <c r="N39" s="236"/>
      <c r="O39" s="241"/>
      <c r="P39" s="241"/>
      <c r="Q39" s="241"/>
      <c r="R39" s="241"/>
      <c r="S39" s="241"/>
      <c r="T39" s="241"/>
      <c r="U39" s="241"/>
    </row>
    <row r="40" spans="2:21" ht="21.5" customHeight="1">
      <c r="B40" s="225">
        <f>'임금대장 양식'!B40</f>
        <v>0</v>
      </c>
      <c r="C40" s="225" cm="1">
        <f t="array" ref="C40:C41">'임금대장 양식'!C40:C41</f>
        <v>0</v>
      </c>
      <c r="D40" s="225">
        <f>'임금대장 양식'!D40</f>
        <v>0</v>
      </c>
      <c r="E40" s="226">
        <f>'임금대장 양식'!E40</f>
        <v>0</v>
      </c>
      <c r="F40" s="227">
        <f>'임금대장 양식'!F40</f>
        <v>0</v>
      </c>
      <c r="G40" s="228">
        <f t="shared" ref="G40" si="165">IFERROR((F40)/M40,0)</f>
        <v>0</v>
      </c>
      <c r="H40" s="229">
        <f t="shared" ref="H40:H103" si="166">IF(F40=0,0,ROUND((8*5)*(365/12/7),0))</f>
        <v>0</v>
      </c>
      <c r="I40" s="229">
        <f t="shared" ref="I40:I103" si="167">IF(F40=0,0,ROUND(8*365/12/7,0))</f>
        <v>0</v>
      </c>
      <c r="J40" s="230">
        <f>'임금대장 양식'!J40</f>
        <v>0</v>
      </c>
      <c r="K40" s="231">
        <f>'임금대장 양식'!K40</f>
        <v>0</v>
      </c>
      <c r="L40" s="231">
        <f>'임금대장 양식'!L40</f>
        <v>0</v>
      </c>
      <c r="M40" s="232">
        <f t="shared" ref="M40:M103" si="168">H40+I40+J41+K41+L41</f>
        <v>0</v>
      </c>
      <c r="N40" s="227">
        <f t="shared" ref="N40:N103" si="169">IF(G40=0,0,G40*(H40+I40)-(R40+S40+T40+U40))</f>
        <v>0</v>
      </c>
      <c r="O40" s="233">
        <f t="shared" ref="O40:O103" si="170">G40*J41</f>
        <v>0</v>
      </c>
      <c r="P40" s="233">
        <f t="shared" ref="P40:P103" si="171">G40*K41</f>
        <v>0</v>
      </c>
      <c r="Q40" s="233">
        <f t="shared" ref="Q40:Q103" si="172">G40*L41</f>
        <v>0</v>
      </c>
      <c r="R40" s="233">
        <f>'임금대장 양식'!R40</f>
        <v>0</v>
      </c>
      <c r="S40" s="233">
        <f>'임금대장 양식'!S40</f>
        <v>0</v>
      </c>
      <c r="T40" s="233">
        <f>'임금대장 양식'!T40</f>
        <v>0</v>
      </c>
      <c r="U40" s="233">
        <f>'임금대장 양식'!U40</f>
        <v>0</v>
      </c>
    </row>
    <row r="41" spans="2:21" ht="21.5" customHeight="1">
      <c r="B41" s="234"/>
      <c r="C41" s="234">
        <v>0</v>
      </c>
      <c r="D41" s="210">
        <f>'임금대장 양식'!D41</f>
        <v>0</v>
      </c>
      <c r="E41" s="235"/>
      <c r="F41" s="236"/>
      <c r="G41" s="237"/>
      <c r="H41" s="238"/>
      <c r="I41" s="238"/>
      <c r="J41" s="239">
        <f t="shared" ref="J41:J104" si="173">ROUND(J40*(365/12/7)*IF($S$4="5인 이상",1.5,1),0)</f>
        <v>0</v>
      </c>
      <c r="K41" s="239">
        <f t="shared" ref="K41:K104" si="174">ROUND(K40*IF($S$4="5인 이상",1.5,1),0)</f>
        <v>0</v>
      </c>
      <c r="L41" s="239">
        <f t="shared" ref="L41:L104" si="175">ROUND(L40*IF($S$4="5인 이상",1.5,1)+L40*IF($S$4="5인 이상",0.5,1),0)</f>
        <v>0</v>
      </c>
      <c r="M41" s="240"/>
      <c r="N41" s="236"/>
      <c r="O41" s="241"/>
      <c r="P41" s="241"/>
      <c r="Q41" s="241"/>
      <c r="R41" s="241"/>
      <c r="S41" s="241"/>
      <c r="T41" s="241"/>
      <c r="U41" s="241"/>
    </row>
    <row r="42" spans="2:21" ht="21.5" customHeight="1">
      <c r="B42" s="225">
        <f>'임금대장 양식'!B42</f>
        <v>0</v>
      </c>
      <c r="C42" s="225" cm="1">
        <f t="array" ref="C42:C43">'임금대장 양식'!C42:C43</f>
        <v>0</v>
      </c>
      <c r="D42" s="225">
        <f>'임금대장 양식'!D42</f>
        <v>0</v>
      </c>
      <c r="E42" s="226">
        <f>'임금대장 양식'!E42</f>
        <v>0</v>
      </c>
      <c r="F42" s="227">
        <f>'임금대장 양식'!F42</f>
        <v>0</v>
      </c>
      <c r="G42" s="228">
        <f t="shared" ref="G42" si="176">IFERROR((F42)/M42,0)</f>
        <v>0</v>
      </c>
      <c r="H42" s="229">
        <f t="shared" ref="H42:H105" si="177">IF(F42=0,0,ROUND((8*5)*(365/12/7),0))</f>
        <v>0</v>
      </c>
      <c r="I42" s="229">
        <f t="shared" ref="I42:I105" si="178">IF(F42=0,0,ROUND(8*365/12/7,0))</f>
        <v>0</v>
      </c>
      <c r="J42" s="230">
        <f>'임금대장 양식'!J42</f>
        <v>0</v>
      </c>
      <c r="K42" s="231">
        <f>'임금대장 양식'!K42</f>
        <v>0</v>
      </c>
      <c r="L42" s="231">
        <f>'임금대장 양식'!L42</f>
        <v>0</v>
      </c>
      <c r="M42" s="232">
        <f t="shared" ref="M42:M105" si="179">H42+I42+J43+K43+L43</f>
        <v>0</v>
      </c>
      <c r="N42" s="227">
        <f t="shared" ref="N42:N105" si="180">IF(G42=0,0,G42*(H42+I42)-(R42+S42+T42+U42))</f>
        <v>0</v>
      </c>
      <c r="O42" s="233">
        <f t="shared" ref="O42:O105" si="181">G42*J43</f>
        <v>0</v>
      </c>
      <c r="P42" s="233">
        <f t="shared" ref="P42:P105" si="182">G42*K43</f>
        <v>0</v>
      </c>
      <c r="Q42" s="233">
        <f t="shared" ref="Q42:Q105" si="183">G42*L43</f>
        <v>0</v>
      </c>
      <c r="R42" s="233">
        <f>'임금대장 양식'!R42</f>
        <v>0</v>
      </c>
      <c r="S42" s="233">
        <f>'임금대장 양식'!S42</f>
        <v>0</v>
      </c>
      <c r="T42" s="233">
        <f>'임금대장 양식'!T42</f>
        <v>0</v>
      </c>
      <c r="U42" s="233">
        <f>'임금대장 양식'!U42</f>
        <v>0</v>
      </c>
    </row>
    <row r="43" spans="2:21" ht="21.5" customHeight="1">
      <c r="B43" s="234"/>
      <c r="C43" s="234">
        <v>0</v>
      </c>
      <c r="D43" s="210">
        <f>'임금대장 양식'!D43</f>
        <v>0</v>
      </c>
      <c r="E43" s="235"/>
      <c r="F43" s="236"/>
      <c r="G43" s="237"/>
      <c r="H43" s="238"/>
      <c r="I43" s="238"/>
      <c r="J43" s="239">
        <f t="shared" ref="J43:J106" si="184">ROUND(J42*(365/12/7)*IF($S$4="5인 이상",1.5,1),0)</f>
        <v>0</v>
      </c>
      <c r="K43" s="239">
        <f t="shared" ref="K43:K106" si="185">ROUND(K42*IF($S$4="5인 이상",1.5,1),0)</f>
        <v>0</v>
      </c>
      <c r="L43" s="239">
        <f t="shared" ref="L43:L106" si="186">ROUND(L42*IF($S$4="5인 이상",1.5,1)+L42*IF($S$4="5인 이상",0.5,1),0)</f>
        <v>0</v>
      </c>
      <c r="M43" s="240"/>
      <c r="N43" s="236"/>
      <c r="O43" s="241"/>
      <c r="P43" s="241"/>
      <c r="Q43" s="241"/>
      <c r="R43" s="241"/>
      <c r="S43" s="241"/>
      <c r="T43" s="241"/>
      <c r="U43" s="241"/>
    </row>
    <row r="44" spans="2:21" ht="21.5" customHeight="1">
      <c r="B44" s="225">
        <f>'임금대장 양식'!B44</f>
        <v>0</v>
      </c>
      <c r="C44" s="225" cm="1">
        <f t="array" ref="C44:C45">'임금대장 양식'!C44:C45</f>
        <v>0</v>
      </c>
      <c r="D44" s="225">
        <f>'임금대장 양식'!D44</f>
        <v>0</v>
      </c>
      <c r="E44" s="226">
        <f>'임금대장 양식'!E44</f>
        <v>0</v>
      </c>
      <c r="F44" s="227">
        <f>'임금대장 양식'!F44</f>
        <v>0</v>
      </c>
      <c r="G44" s="228">
        <f t="shared" ref="G44" si="187">IFERROR((F44)/M44,0)</f>
        <v>0</v>
      </c>
      <c r="H44" s="229">
        <f t="shared" ref="H44:H107" si="188">IF(F44=0,0,ROUND((8*5)*(365/12/7),0))</f>
        <v>0</v>
      </c>
      <c r="I44" s="229">
        <f t="shared" ref="I44:I107" si="189">IF(F44=0,0,ROUND(8*365/12/7,0))</f>
        <v>0</v>
      </c>
      <c r="J44" s="230">
        <f>'임금대장 양식'!J44</f>
        <v>0</v>
      </c>
      <c r="K44" s="231">
        <f>'임금대장 양식'!K44</f>
        <v>0</v>
      </c>
      <c r="L44" s="231">
        <f>'임금대장 양식'!L44</f>
        <v>0</v>
      </c>
      <c r="M44" s="232">
        <f t="shared" ref="M44:M107" si="190">H44+I44+J45+K45+L45</f>
        <v>0</v>
      </c>
      <c r="N44" s="227">
        <f t="shared" ref="N44:N107" si="191">IF(G44=0,0,G44*(H44+I44)-(R44+S44+T44+U44))</f>
        <v>0</v>
      </c>
      <c r="O44" s="233">
        <f t="shared" ref="O44:O107" si="192">G44*J45</f>
        <v>0</v>
      </c>
      <c r="P44" s="233">
        <f t="shared" ref="P44:P107" si="193">G44*K45</f>
        <v>0</v>
      </c>
      <c r="Q44" s="233">
        <f t="shared" ref="Q44:Q107" si="194">G44*L45</f>
        <v>0</v>
      </c>
      <c r="R44" s="233">
        <f>'임금대장 양식'!R44</f>
        <v>0</v>
      </c>
      <c r="S44" s="233">
        <f>'임금대장 양식'!S44</f>
        <v>0</v>
      </c>
      <c r="T44" s="233">
        <f>'임금대장 양식'!T44</f>
        <v>0</v>
      </c>
      <c r="U44" s="233">
        <f>'임금대장 양식'!U44</f>
        <v>0</v>
      </c>
    </row>
    <row r="45" spans="2:21" ht="21.5" customHeight="1">
      <c r="B45" s="234"/>
      <c r="C45" s="234">
        <v>0</v>
      </c>
      <c r="D45" s="210">
        <f>'임금대장 양식'!D45</f>
        <v>0</v>
      </c>
      <c r="E45" s="235"/>
      <c r="F45" s="236"/>
      <c r="G45" s="237"/>
      <c r="H45" s="238"/>
      <c r="I45" s="238"/>
      <c r="J45" s="239">
        <f t="shared" ref="J45:J108" si="195">ROUND(J44*(365/12/7)*IF($S$4="5인 이상",1.5,1),0)</f>
        <v>0</v>
      </c>
      <c r="K45" s="239">
        <f t="shared" ref="K45:K108" si="196">ROUND(K44*IF($S$4="5인 이상",1.5,1),0)</f>
        <v>0</v>
      </c>
      <c r="L45" s="239">
        <f t="shared" ref="L45:L108" si="197">ROUND(L44*IF($S$4="5인 이상",1.5,1)+L44*IF($S$4="5인 이상",0.5,1),0)</f>
        <v>0</v>
      </c>
      <c r="M45" s="240"/>
      <c r="N45" s="236"/>
      <c r="O45" s="241"/>
      <c r="P45" s="241"/>
      <c r="Q45" s="241"/>
      <c r="R45" s="241"/>
      <c r="S45" s="241"/>
      <c r="T45" s="241"/>
      <c r="U45" s="241"/>
    </row>
    <row r="46" spans="2:21" ht="21.5" customHeight="1">
      <c r="B46" s="225">
        <f>'임금대장 양식'!B46</f>
        <v>0</v>
      </c>
      <c r="C46" s="225" cm="1">
        <f t="array" ref="C46:C47">'임금대장 양식'!C46:C47</f>
        <v>0</v>
      </c>
      <c r="D46" s="225">
        <f>'임금대장 양식'!D46</f>
        <v>0</v>
      </c>
      <c r="E46" s="226">
        <f>'임금대장 양식'!E46</f>
        <v>0</v>
      </c>
      <c r="F46" s="227">
        <f>'임금대장 양식'!F46</f>
        <v>0</v>
      </c>
      <c r="G46" s="228">
        <f t="shared" ref="G46" si="198">IFERROR((F46)/M46,0)</f>
        <v>0</v>
      </c>
      <c r="H46" s="229">
        <f t="shared" ref="H46:H109" si="199">IF(F46=0,0,ROUND((8*5)*(365/12/7),0))</f>
        <v>0</v>
      </c>
      <c r="I46" s="229">
        <f t="shared" ref="I46:I109" si="200">IF(F46=0,0,ROUND(8*365/12/7,0))</f>
        <v>0</v>
      </c>
      <c r="J46" s="230">
        <f>'임금대장 양식'!J46</f>
        <v>0</v>
      </c>
      <c r="K46" s="231">
        <f>'임금대장 양식'!K46</f>
        <v>0</v>
      </c>
      <c r="L46" s="231">
        <f>'임금대장 양식'!L46</f>
        <v>0</v>
      </c>
      <c r="M46" s="232">
        <f t="shared" ref="M46:M109" si="201">H46+I46+J47+K47+L47</f>
        <v>0</v>
      </c>
      <c r="N46" s="227">
        <f t="shared" ref="N46:N109" si="202">IF(G46=0,0,G46*(H46+I46)-(R46+S46+T46+U46))</f>
        <v>0</v>
      </c>
      <c r="O46" s="233">
        <f t="shared" ref="O46:O109" si="203">G46*J47</f>
        <v>0</v>
      </c>
      <c r="P46" s="233">
        <f t="shared" ref="P46:P109" si="204">G46*K47</f>
        <v>0</v>
      </c>
      <c r="Q46" s="233">
        <f t="shared" ref="Q46:Q109" si="205">G46*L47</f>
        <v>0</v>
      </c>
      <c r="R46" s="233">
        <f>'임금대장 양식'!R46</f>
        <v>0</v>
      </c>
      <c r="S46" s="233">
        <f>'임금대장 양식'!S46</f>
        <v>0</v>
      </c>
      <c r="T46" s="233">
        <f>'임금대장 양식'!T46</f>
        <v>0</v>
      </c>
      <c r="U46" s="233">
        <f>'임금대장 양식'!U46</f>
        <v>0</v>
      </c>
    </row>
    <row r="47" spans="2:21" ht="21.5" customHeight="1">
      <c r="B47" s="234"/>
      <c r="C47" s="234">
        <v>0</v>
      </c>
      <c r="D47" s="210">
        <f>'임금대장 양식'!D47</f>
        <v>0</v>
      </c>
      <c r="E47" s="235"/>
      <c r="F47" s="236"/>
      <c r="G47" s="237"/>
      <c r="H47" s="238"/>
      <c r="I47" s="238"/>
      <c r="J47" s="239">
        <f t="shared" ref="J47:J110" si="206">ROUND(J46*(365/12/7)*IF($S$4="5인 이상",1.5,1),0)</f>
        <v>0</v>
      </c>
      <c r="K47" s="239">
        <f t="shared" ref="K47:K110" si="207">ROUND(K46*IF($S$4="5인 이상",1.5,1),0)</f>
        <v>0</v>
      </c>
      <c r="L47" s="239">
        <f t="shared" ref="L47:L110" si="208">ROUND(L46*IF($S$4="5인 이상",1.5,1)+L46*IF($S$4="5인 이상",0.5,1),0)</f>
        <v>0</v>
      </c>
      <c r="M47" s="240"/>
      <c r="N47" s="236"/>
      <c r="O47" s="241"/>
      <c r="P47" s="241"/>
      <c r="Q47" s="241"/>
      <c r="R47" s="241"/>
      <c r="S47" s="241"/>
      <c r="T47" s="241"/>
      <c r="U47" s="241"/>
    </row>
    <row r="48" spans="2:21" ht="21.5" customHeight="1">
      <c r="B48" s="225">
        <f>'임금대장 양식'!B48</f>
        <v>0</v>
      </c>
      <c r="C48" s="225" cm="1">
        <f t="array" ref="C48:C49">'임금대장 양식'!C48:C49</f>
        <v>0</v>
      </c>
      <c r="D48" s="225">
        <f>'임금대장 양식'!D48</f>
        <v>0</v>
      </c>
      <c r="E48" s="226">
        <f>'임금대장 양식'!E48</f>
        <v>0</v>
      </c>
      <c r="F48" s="227">
        <f>'임금대장 양식'!F48</f>
        <v>0</v>
      </c>
      <c r="G48" s="228">
        <f t="shared" ref="G48" si="209">IFERROR((F48)/M48,0)</f>
        <v>0</v>
      </c>
      <c r="H48" s="229">
        <f t="shared" ref="H48:H111" si="210">IF(F48=0,0,ROUND((8*5)*(365/12/7),0))</f>
        <v>0</v>
      </c>
      <c r="I48" s="229">
        <f t="shared" ref="I48:I111" si="211">IF(F48=0,0,ROUND(8*365/12/7,0))</f>
        <v>0</v>
      </c>
      <c r="J48" s="230">
        <f>'임금대장 양식'!J48</f>
        <v>0</v>
      </c>
      <c r="K48" s="231">
        <f>'임금대장 양식'!K48</f>
        <v>0</v>
      </c>
      <c r="L48" s="231">
        <f>'임금대장 양식'!L48</f>
        <v>0</v>
      </c>
      <c r="M48" s="232">
        <f t="shared" ref="M48:M111" si="212">H48+I48+J49+K49+L49</f>
        <v>0</v>
      </c>
      <c r="N48" s="227">
        <f t="shared" ref="N48:N111" si="213">IF(G48=0,0,G48*(H48+I48)-(R48+S48+T48+U48))</f>
        <v>0</v>
      </c>
      <c r="O48" s="233">
        <f t="shared" ref="O48:O111" si="214">G48*J49</f>
        <v>0</v>
      </c>
      <c r="P48" s="233">
        <f t="shared" ref="P48:P111" si="215">G48*K49</f>
        <v>0</v>
      </c>
      <c r="Q48" s="233">
        <f t="shared" ref="Q48:Q111" si="216">G48*L49</f>
        <v>0</v>
      </c>
      <c r="R48" s="233">
        <f>'임금대장 양식'!R48</f>
        <v>0</v>
      </c>
      <c r="S48" s="233">
        <f>'임금대장 양식'!S48</f>
        <v>0</v>
      </c>
      <c r="T48" s="233">
        <f>'임금대장 양식'!T48</f>
        <v>0</v>
      </c>
      <c r="U48" s="233">
        <f>'임금대장 양식'!U48</f>
        <v>0</v>
      </c>
    </row>
    <row r="49" spans="2:21" ht="21.5" customHeight="1">
      <c r="B49" s="234"/>
      <c r="C49" s="234">
        <v>0</v>
      </c>
      <c r="D49" s="210">
        <f>'임금대장 양식'!D49</f>
        <v>0</v>
      </c>
      <c r="E49" s="235"/>
      <c r="F49" s="236"/>
      <c r="G49" s="237"/>
      <c r="H49" s="238"/>
      <c r="I49" s="238"/>
      <c r="J49" s="239">
        <f t="shared" ref="J49:J112" si="217">ROUND(J48*(365/12/7)*IF($S$4="5인 이상",1.5,1),0)</f>
        <v>0</v>
      </c>
      <c r="K49" s="239">
        <f t="shared" ref="K49:K112" si="218">ROUND(K48*IF($S$4="5인 이상",1.5,1),0)</f>
        <v>0</v>
      </c>
      <c r="L49" s="239">
        <f t="shared" ref="L49:L112" si="219">ROUND(L48*IF($S$4="5인 이상",1.5,1)+L48*IF($S$4="5인 이상",0.5,1),0)</f>
        <v>0</v>
      </c>
      <c r="M49" s="240"/>
      <c r="N49" s="236"/>
      <c r="O49" s="241"/>
      <c r="P49" s="241"/>
      <c r="Q49" s="241"/>
      <c r="R49" s="241"/>
      <c r="S49" s="241"/>
      <c r="T49" s="241"/>
      <c r="U49" s="241"/>
    </row>
    <row r="50" spans="2:21" ht="21.5" customHeight="1">
      <c r="B50" s="225">
        <f>'임금대장 양식'!B50</f>
        <v>0</v>
      </c>
      <c r="C50" s="225" cm="1">
        <f t="array" ref="C50:C51">'임금대장 양식'!C50:C51</f>
        <v>0</v>
      </c>
      <c r="D50" s="225">
        <f>'임금대장 양식'!D50</f>
        <v>0</v>
      </c>
      <c r="E50" s="226">
        <f>'임금대장 양식'!E50</f>
        <v>0</v>
      </c>
      <c r="F50" s="227">
        <f>'임금대장 양식'!F50</f>
        <v>0</v>
      </c>
      <c r="G50" s="228">
        <f t="shared" ref="G50" si="220">IFERROR((F50)/M50,0)</f>
        <v>0</v>
      </c>
      <c r="H50" s="229">
        <f t="shared" ref="H50:H113" si="221">IF(F50=0,0,ROUND((8*5)*(365/12/7),0))</f>
        <v>0</v>
      </c>
      <c r="I50" s="229">
        <f t="shared" ref="I50:I113" si="222">IF(F50=0,0,ROUND(8*365/12/7,0))</f>
        <v>0</v>
      </c>
      <c r="J50" s="230">
        <f>'임금대장 양식'!J50</f>
        <v>0</v>
      </c>
      <c r="K50" s="231">
        <f>'임금대장 양식'!K50</f>
        <v>0</v>
      </c>
      <c r="L50" s="231">
        <f>'임금대장 양식'!L50</f>
        <v>0</v>
      </c>
      <c r="M50" s="232">
        <f t="shared" ref="M50:M113" si="223">H50+I50+J51+K51+L51</f>
        <v>0</v>
      </c>
      <c r="N50" s="227">
        <f t="shared" ref="N50:N113" si="224">IF(G50=0,0,G50*(H50+I50)-(R50+S50+T50+U50))</f>
        <v>0</v>
      </c>
      <c r="O50" s="233">
        <f t="shared" ref="O50:O113" si="225">G50*J51</f>
        <v>0</v>
      </c>
      <c r="P50" s="233">
        <f t="shared" ref="P50:P113" si="226">G50*K51</f>
        <v>0</v>
      </c>
      <c r="Q50" s="233">
        <f t="shared" ref="Q50:Q113" si="227">G50*L51</f>
        <v>0</v>
      </c>
      <c r="R50" s="233">
        <f>'임금대장 양식'!R50</f>
        <v>0</v>
      </c>
      <c r="S50" s="233">
        <f>'임금대장 양식'!S50</f>
        <v>0</v>
      </c>
      <c r="T50" s="233">
        <f>'임금대장 양식'!T50</f>
        <v>0</v>
      </c>
      <c r="U50" s="233">
        <f>'임금대장 양식'!U50</f>
        <v>0</v>
      </c>
    </row>
    <row r="51" spans="2:21" ht="21.5" customHeight="1">
      <c r="B51" s="234"/>
      <c r="C51" s="234">
        <v>0</v>
      </c>
      <c r="D51" s="210">
        <f>'임금대장 양식'!D51</f>
        <v>0</v>
      </c>
      <c r="E51" s="235"/>
      <c r="F51" s="236"/>
      <c r="G51" s="237"/>
      <c r="H51" s="238"/>
      <c r="I51" s="238"/>
      <c r="J51" s="239">
        <f t="shared" ref="J51:J114" si="228">ROUND(J50*(365/12/7)*IF($S$4="5인 이상",1.5,1),0)</f>
        <v>0</v>
      </c>
      <c r="K51" s="239">
        <f t="shared" ref="K51:K114" si="229">ROUND(K50*IF($S$4="5인 이상",1.5,1),0)</f>
        <v>0</v>
      </c>
      <c r="L51" s="239">
        <f t="shared" ref="L51:L114" si="230">ROUND(L50*IF($S$4="5인 이상",1.5,1)+L50*IF($S$4="5인 이상",0.5,1),0)</f>
        <v>0</v>
      </c>
      <c r="M51" s="240"/>
      <c r="N51" s="236"/>
      <c r="O51" s="241"/>
      <c r="P51" s="241"/>
      <c r="Q51" s="241"/>
      <c r="R51" s="241"/>
      <c r="S51" s="241"/>
      <c r="T51" s="241"/>
      <c r="U51" s="241"/>
    </row>
    <row r="52" spans="2:21" ht="21.5" customHeight="1">
      <c r="B52" s="225">
        <f>'임금대장 양식'!B52</f>
        <v>0</v>
      </c>
      <c r="C52" s="225" cm="1">
        <f t="array" ref="C52:C53">'임금대장 양식'!C52:C53</f>
        <v>0</v>
      </c>
      <c r="D52" s="225">
        <f>'임금대장 양식'!D52</f>
        <v>0</v>
      </c>
      <c r="E52" s="226">
        <f>'임금대장 양식'!E52</f>
        <v>0</v>
      </c>
      <c r="F52" s="227">
        <f>'임금대장 양식'!F52</f>
        <v>0</v>
      </c>
      <c r="G52" s="228">
        <f t="shared" ref="G52" si="231">IFERROR((F52)/M52,0)</f>
        <v>0</v>
      </c>
      <c r="H52" s="229">
        <f t="shared" ref="H52:H115" si="232">IF(F52=0,0,ROUND((8*5)*(365/12/7),0))</f>
        <v>0</v>
      </c>
      <c r="I52" s="229">
        <f t="shared" ref="I52:I115" si="233">IF(F52=0,0,ROUND(8*365/12/7,0))</f>
        <v>0</v>
      </c>
      <c r="J52" s="230">
        <f>'임금대장 양식'!J52</f>
        <v>0</v>
      </c>
      <c r="K52" s="231">
        <f>'임금대장 양식'!K52</f>
        <v>0</v>
      </c>
      <c r="L52" s="231">
        <f>'임금대장 양식'!L52</f>
        <v>0</v>
      </c>
      <c r="M52" s="232">
        <f t="shared" ref="M52:M115" si="234">H52+I52+J53+K53+L53</f>
        <v>0</v>
      </c>
      <c r="N52" s="227">
        <f t="shared" ref="N52:N115" si="235">IF(G52=0,0,G52*(H52+I52)-(R52+S52+T52+U52))</f>
        <v>0</v>
      </c>
      <c r="O52" s="233">
        <f t="shared" ref="O52:O115" si="236">G52*J53</f>
        <v>0</v>
      </c>
      <c r="P52" s="233">
        <f t="shared" ref="P52:P115" si="237">G52*K53</f>
        <v>0</v>
      </c>
      <c r="Q52" s="233">
        <f t="shared" ref="Q52:Q115" si="238">G52*L53</f>
        <v>0</v>
      </c>
      <c r="R52" s="233">
        <f>'임금대장 양식'!R52</f>
        <v>0</v>
      </c>
      <c r="S52" s="233">
        <f>'임금대장 양식'!S52</f>
        <v>0</v>
      </c>
      <c r="T52" s="233">
        <f>'임금대장 양식'!T52</f>
        <v>0</v>
      </c>
      <c r="U52" s="233">
        <f>'임금대장 양식'!U52</f>
        <v>0</v>
      </c>
    </row>
    <row r="53" spans="2:21" ht="21.5" customHeight="1">
      <c r="B53" s="234"/>
      <c r="C53" s="234">
        <v>0</v>
      </c>
      <c r="D53" s="210">
        <f>'임금대장 양식'!D53</f>
        <v>0</v>
      </c>
      <c r="E53" s="235"/>
      <c r="F53" s="236"/>
      <c r="G53" s="237"/>
      <c r="H53" s="238"/>
      <c r="I53" s="238"/>
      <c r="J53" s="239">
        <f t="shared" ref="J53:J116" si="239">ROUND(J52*(365/12/7)*IF($S$4="5인 이상",1.5,1),0)</f>
        <v>0</v>
      </c>
      <c r="K53" s="239">
        <f t="shared" ref="K53:K116" si="240">ROUND(K52*IF($S$4="5인 이상",1.5,1),0)</f>
        <v>0</v>
      </c>
      <c r="L53" s="239">
        <f t="shared" ref="L53:L116" si="241">ROUND(L52*IF($S$4="5인 이상",1.5,1)+L52*IF($S$4="5인 이상",0.5,1),0)</f>
        <v>0</v>
      </c>
      <c r="M53" s="240"/>
      <c r="N53" s="236"/>
      <c r="O53" s="241"/>
      <c r="P53" s="241"/>
      <c r="Q53" s="241"/>
      <c r="R53" s="241"/>
      <c r="S53" s="241"/>
      <c r="T53" s="241"/>
      <c r="U53" s="241"/>
    </row>
    <row r="54" spans="2:21" ht="21.5" customHeight="1">
      <c r="B54" s="225">
        <f>'임금대장 양식'!B54</f>
        <v>0</v>
      </c>
      <c r="C54" s="225" cm="1">
        <f t="array" ref="C54:C55">'임금대장 양식'!C54:C55</f>
        <v>0</v>
      </c>
      <c r="D54" s="225">
        <f>'임금대장 양식'!D54</f>
        <v>0</v>
      </c>
      <c r="E54" s="226">
        <f>'임금대장 양식'!E54</f>
        <v>0</v>
      </c>
      <c r="F54" s="227">
        <f>'임금대장 양식'!F54</f>
        <v>0</v>
      </c>
      <c r="G54" s="228">
        <f t="shared" ref="G54" si="242">IFERROR((F54)/M54,0)</f>
        <v>0</v>
      </c>
      <c r="H54" s="229">
        <f t="shared" ref="H54:H117" si="243">IF(F54=0,0,ROUND((8*5)*(365/12/7),0))</f>
        <v>0</v>
      </c>
      <c r="I54" s="229">
        <f t="shared" ref="I54:I117" si="244">IF(F54=0,0,ROUND(8*365/12/7,0))</f>
        <v>0</v>
      </c>
      <c r="J54" s="230">
        <f>'임금대장 양식'!J54</f>
        <v>0</v>
      </c>
      <c r="K54" s="231">
        <f>'임금대장 양식'!K54</f>
        <v>0</v>
      </c>
      <c r="L54" s="231">
        <f>'임금대장 양식'!L54</f>
        <v>0</v>
      </c>
      <c r="M54" s="232">
        <f t="shared" ref="M54:M117" si="245">H54+I54+J55+K55+L55</f>
        <v>0</v>
      </c>
      <c r="N54" s="227">
        <f t="shared" ref="N54:N117" si="246">IF(G54=0,0,G54*(H54+I54)-(R54+S54+T54+U54))</f>
        <v>0</v>
      </c>
      <c r="O54" s="233">
        <f t="shared" ref="O54:O117" si="247">G54*J55</f>
        <v>0</v>
      </c>
      <c r="P54" s="233">
        <f t="shared" ref="P54:P117" si="248">G54*K55</f>
        <v>0</v>
      </c>
      <c r="Q54" s="233">
        <f t="shared" ref="Q54:Q117" si="249">G54*L55</f>
        <v>0</v>
      </c>
      <c r="R54" s="233">
        <f>'임금대장 양식'!R54</f>
        <v>0</v>
      </c>
      <c r="S54" s="233">
        <f>'임금대장 양식'!S54</f>
        <v>0</v>
      </c>
      <c r="T54" s="233">
        <f>'임금대장 양식'!T54</f>
        <v>0</v>
      </c>
      <c r="U54" s="233">
        <f>'임금대장 양식'!U54</f>
        <v>0</v>
      </c>
    </row>
    <row r="55" spans="2:21" ht="21.5" customHeight="1">
      <c r="B55" s="234"/>
      <c r="C55" s="234">
        <v>0</v>
      </c>
      <c r="D55" s="210">
        <f>'임금대장 양식'!D55</f>
        <v>0</v>
      </c>
      <c r="E55" s="235"/>
      <c r="F55" s="236"/>
      <c r="G55" s="237"/>
      <c r="H55" s="238"/>
      <c r="I55" s="238"/>
      <c r="J55" s="239">
        <f t="shared" ref="J55:J118" si="250">ROUND(J54*(365/12/7)*IF($S$4="5인 이상",1.5,1),0)</f>
        <v>0</v>
      </c>
      <c r="K55" s="239">
        <f t="shared" ref="K55:K118" si="251">ROUND(K54*IF($S$4="5인 이상",1.5,1),0)</f>
        <v>0</v>
      </c>
      <c r="L55" s="239">
        <f t="shared" ref="L55:L118" si="252">ROUND(L54*IF($S$4="5인 이상",1.5,1)+L54*IF($S$4="5인 이상",0.5,1),0)</f>
        <v>0</v>
      </c>
      <c r="M55" s="240"/>
      <c r="N55" s="236"/>
      <c r="O55" s="241"/>
      <c r="P55" s="241"/>
      <c r="Q55" s="241"/>
      <c r="R55" s="241"/>
      <c r="S55" s="241"/>
      <c r="T55" s="241"/>
      <c r="U55" s="241"/>
    </row>
    <row r="56" spans="2:21" ht="21.5" customHeight="1">
      <c r="B56" s="225">
        <f>'임금대장 양식'!B56</f>
        <v>0</v>
      </c>
      <c r="C56" s="225" cm="1">
        <f t="array" ref="C56:C57">'임금대장 양식'!C56:C57</f>
        <v>0</v>
      </c>
      <c r="D56" s="225">
        <f>'임금대장 양식'!D56</f>
        <v>0</v>
      </c>
      <c r="E56" s="226">
        <f>'임금대장 양식'!E56</f>
        <v>0</v>
      </c>
      <c r="F56" s="227">
        <f>'임금대장 양식'!F56</f>
        <v>0</v>
      </c>
      <c r="G56" s="228">
        <f t="shared" ref="G56" si="253">IFERROR((F56)/M56,0)</f>
        <v>0</v>
      </c>
      <c r="H56" s="229">
        <f t="shared" ref="H56:H119" si="254">IF(F56=0,0,ROUND((8*5)*(365/12/7),0))</f>
        <v>0</v>
      </c>
      <c r="I56" s="229">
        <f t="shared" ref="I56:I119" si="255">IF(F56=0,0,ROUND(8*365/12/7,0))</f>
        <v>0</v>
      </c>
      <c r="J56" s="230">
        <f>'임금대장 양식'!J56</f>
        <v>0</v>
      </c>
      <c r="K56" s="231">
        <f>'임금대장 양식'!K56</f>
        <v>0</v>
      </c>
      <c r="L56" s="231">
        <f>'임금대장 양식'!L56</f>
        <v>0</v>
      </c>
      <c r="M56" s="232">
        <f t="shared" ref="M56:M119" si="256">H56+I56+J57+K57+L57</f>
        <v>0</v>
      </c>
      <c r="N56" s="227">
        <f t="shared" ref="N56:N119" si="257">IF(G56=0,0,G56*(H56+I56)-(R56+S56+T56+U56))</f>
        <v>0</v>
      </c>
      <c r="O56" s="233">
        <f t="shared" ref="O56:O119" si="258">G56*J57</f>
        <v>0</v>
      </c>
      <c r="P56" s="233">
        <f t="shared" ref="P56:P119" si="259">G56*K57</f>
        <v>0</v>
      </c>
      <c r="Q56" s="233">
        <f t="shared" ref="Q56:Q119" si="260">G56*L57</f>
        <v>0</v>
      </c>
      <c r="R56" s="233">
        <f>'임금대장 양식'!R56</f>
        <v>0</v>
      </c>
      <c r="S56" s="233">
        <f>'임금대장 양식'!S56</f>
        <v>0</v>
      </c>
      <c r="T56" s="233">
        <f>'임금대장 양식'!T56</f>
        <v>0</v>
      </c>
      <c r="U56" s="233">
        <f>'임금대장 양식'!U56</f>
        <v>0</v>
      </c>
    </row>
    <row r="57" spans="2:21" ht="21.5" customHeight="1">
      <c r="B57" s="234"/>
      <c r="C57" s="234">
        <v>0</v>
      </c>
      <c r="D57" s="210">
        <f>'임금대장 양식'!D57</f>
        <v>0</v>
      </c>
      <c r="E57" s="235"/>
      <c r="F57" s="236"/>
      <c r="G57" s="237"/>
      <c r="H57" s="238"/>
      <c r="I57" s="238"/>
      <c r="J57" s="239">
        <f t="shared" ref="J57:J120" si="261">ROUND(J56*(365/12/7)*IF($S$4="5인 이상",1.5,1),0)</f>
        <v>0</v>
      </c>
      <c r="K57" s="239">
        <f t="shared" ref="K57:K120" si="262">ROUND(K56*IF($S$4="5인 이상",1.5,1),0)</f>
        <v>0</v>
      </c>
      <c r="L57" s="239">
        <f t="shared" ref="L57:L120" si="263">ROUND(L56*IF($S$4="5인 이상",1.5,1)+L56*IF($S$4="5인 이상",0.5,1),0)</f>
        <v>0</v>
      </c>
      <c r="M57" s="240"/>
      <c r="N57" s="236"/>
      <c r="O57" s="241"/>
      <c r="P57" s="241"/>
      <c r="Q57" s="241"/>
      <c r="R57" s="241"/>
      <c r="S57" s="241"/>
      <c r="T57" s="241"/>
      <c r="U57" s="241"/>
    </row>
    <row r="58" spans="2:21" ht="21.5" customHeight="1">
      <c r="B58" s="225">
        <f>'임금대장 양식'!B58</f>
        <v>0</v>
      </c>
      <c r="C58" s="225" cm="1">
        <f t="array" ref="C58:C59">'임금대장 양식'!C58:C59</f>
        <v>0</v>
      </c>
      <c r="D58" s="225">
        <f>'임금대장 양식'!D58</f>
        <v>0</v>
      </c>
      <c r="E58" s="226">
        <f>'임금대장 양식'!E58</f>
        <v>0</v>
      </c>
      <c r="F58" s="227">
        <f>'임금대장 양식'!F58</f>
        <v>0</v>
      </c>
      <c r="G58" s="228">
        <f t="shared" ref="G58" si="264">IFERROR((F58)/M58,0)</f>
        <v>0</v>
      </c>
      <c r="H58" s="229">
        <f t="shared" ref="H58:H121" si="265">IF(F58=0,0,ROUND((8*5)*(365/12/7),0))</f>
        <v>0</v>
      </c>
      <c r="I58" s="229">
        <f t="shared" ref="I58:I121" si="266">IF(F58=0,0,ROUND(8*365/12/7,0))</f>
        <v>0</v>
      </c>
      <c r="J58" s="230">
        <f>'임금대장 양식'!J58</f>
        <v>0</v>
      </c>
      <c r="K58" s="231">
        <f>'임금대장 양식'!K58</f>
        <v>0</v>
      </c>
      <c r="L58" s="231">
        <f>'임금대장 양식'!L58</f>
        <v>0</v>
      </c>
      <c r="M58" s="232">
        <f t="shared" ref="M58:M121" si="267">H58+I58+J59+K59+L59</f>
        <v>0</v>
      </c>
      <c r="N58" s="227">
        <f t="shared" ref="N58:N121" si="268">IF(G58=0,0,G58*(H58+I58)-(R58+S58+T58+U58))</f>
        <v>0</v>
      </c>
      <c r="O58" s="233">
        <f t="shared" ref="O58:O121" si="269">G58*J59</f>
        <v>0</v>
      </c>
      <c r="P58" s="233">
        <f t="shared" ref="P58:P121" si="270">G58*K59</f>
        <v>0</v>
      </c>
      <c r="Q58" s="233">
        <f t="shared" ref="Q58:Q121" si="271">G58*L59</f>
        <v>0</v>
      </c>
      <c r="R58" s="233">
        <f>'임금대장 양식'!R58</f>
        <v>0</v>
      </c>
      <c r="S58" s="233">
        <f>'임금대장 양식'!S58</f>
        <v>0</v>
      </c>
      <c r="T58" s="233">
        <f>'임금대장 양식'!T58</f>
        <v>0</v>
      </c>
      <c r="U58" s="233">
        <f>'임금대장 양식'!U58</f>
        <v>0</v>
      </c>
    </row>
    <row r="59" spans="2:21" ht="21.5" customHeight="1">
      <c r="B59" s="234"/>
      <c r="C59" s="234">
        <v>0</v>
      </c>
      <c r="D59" s="210">
        <f>'임금대장 양식'!D59</f>
        <v>0</v>
      </c>
      <c r="E59" s="235"/>
      <c r="F59" s="236"/>
      <c r="G59" s="237"/>
      <c r="H59" s="238"/>
      <c r="I59" s="238"/>
      <c r="J59" s="239">
        <f t="shared" ref="J59:J122" si="272">ROUND(J58*(365/12/7)*IF($S$4="5인 이상",1.5,1),0)</f>
        <v>0</v>
      </c>
      <c r="K59" s="239">
        <f t="shared" ref="K59:K122" si="273">ROUND(K58*IF($S$4="5인 이상",1.5,1),0)</f>
        <v>0</v>
      </c>
      <c r="L59" s="239">
        <f t="shared" ref="L59:L122" si="274">ROUND(L58*IF($S$4="5인 이상",1.5,1)+L58*IF($S$4="5인 이상",0.5,1),0)</f>
        <v>0</v>
      </c>
      <c r="M59" s="240"/>
      <c r="N59" s="236"/>
      <c r="O59" s="241"/>
      <c r="P59" s="241"/>
      <c r="Q59" s="241"/>
      <c r="R59" s="241"/>
      <c r="S59" s="241"/>
      <c r="T59" s="241"/>
      <c r="U59" s="241"/>
    </row>
    <row r="60" spans="2:21" ht="21.5" customHeight="1">
      <c r="B60" s="225">
        <f>'임금대장 양식'!B60</f>
        <v>0</v>
      </c>
      <c r="C60" s="225" cm="1">
        <f t="array" ref="C60:C61">'임금대장 양식'!C60:C61</f>
        <v>0</v>
      </c>
      <c r="D60" s="225">
        <f>'임금대장 양식'!D60</f>
        <v>0</v>
      </c>
      <c r="E60" s="226">
        <f>'임금대장 양식'!E60</f>
        <v>0</v>
      </c>
      <c r="F60" s="227">
        <f>'임금대장 양식'!F60</f>
        <v>0</v>
      </c>
      <c r="G60" s="228">
        <f t="shared" ref="G60" si="275">IFERROR((F60)/M60,0)</f>
        <v>0</v>
      </c>
      <c r="H60" s="229">
        <f t="shared" ref="H60:H123" si="276">IF(F60=0,0,ROUND((8*5)*(365/12/7),0))</f>
        <v>0</v>
      </c>
      <c r="I60" s="229">
        <f t="shared" ref="I60:I123" si="277">IF(F60=0,0,ROUND(8*365/12/7,0))</f>
        <v>0</v>
      </c>
      <c r="J60" s="230">
        <f>'임금대장 양식'!J60</f>
        <v>0</v>
      </c>
      <c r="K60" s="231">
        <f>'임금대장 양식'!K60</f>
        <v>0</v>
      </c>
      <c r="L60" s="231">
        <f>'임금대장 양식'!L60</f>
        <v>0</v>
      </c>
      <c r="M60" s="232">
        <f t="shared" ref="M60:M123" si="278">H60+I60+J61+K61+L61</f>
        <v>0</v>
      </c>
      <c r="N60" s="227">
        <f t="shared" ref="N60:N123" si="279">IF(G60=0,0,G60*(H60+I60)-(R60+S60+T60+U60))</f>
        <v>0</v>
      </c>
      <c r="O60" s="233">
        <f t="shared" ref="O60:O123" si="280">G60*J61</f>
        <v>0</v>
      </c>
      <c r="P60" s="233">
        <f t="shared" ref="P60:P123" si="281">G60*K61</f>
        <v>0</v>
      </c>
      <c r="Q60" s="233">
        <f t="shared" ref="Q60:Q123" si="282">G60*L61</f>
        <v>0</v>
      </c>
      <c r="R60" s="233">
        <f>'임금대장 양식'!R60</f>
        <v>0</v>
      </c>
      <c r="S60" s="233">
        <f>'임금대장 양식'!S60</f>
        <v>0</v>
      </c>
      <c r="T60" s="233">
        <f>'임금대장 양식'!T60</f>
        <v>0</v>
      </c>
      <c r="U60" s="233">
        <f>'임금대장 양식'!U60</f>
        <v>0</v>
      </c>
    </row>
    <row r="61" spans="2:21" ht="21.5" customHeight="1">
      <c r="B61" s="234"/>
      <c r="C61" s="234">
        <v>0</v>
      </c>
      <c r="D61" s="210">
        <f>'임금대장 양식'!D61</f>
        <v>0</v>
      </c>
      <c r="E61" s="235"/>
      <c r="F61" s="236"/>
      <c r="G61" s="237"/>
      <c r="H61" s="238"/>
      <c r="I61" s="238"/>
      <c r="J61" s="239">
        <f t="shared" ref="J61:J124" si="283">ROUND(J60*(365/12/7)*IF($S$4="5인 이상",1.5,1),0)</f>
        <v>0</v>
      </c>
      <c r="K61" s="239">
        <f t="shared" ref="K61:K124" si="284">ROUND(K60*IF($S$4="5인 이상",1.5,1),0)</f>
        <v>0</v>
      </c>
      <c r="L61" s="239">
        <f t="shared" ref="L61:L124" si="285">ROUND(L60*IF($S$4="5인 이상",1.5,1)+L60*IF($S$4="5인 이상",0.5,1),0)</f>
        <v>0</v>
      </c>
      <c r="M61" s="240"/>
      <c r="N61" s="236"/>
      <c r="O61" s="241"/>
      <c r="P61" s="241"/>
      <c r="Q61" s="241"/>
      <c r="R61" s="241"/>
      <c r="S61" s="241"/>
      <c r="T61" s="241"/>
      <c r="U61" s="241"/>
    </row>
    <row r="62" spans="2:21" ht="21.5" customHeight="1">
      <c r="B62" s="225">
        <f>'임금대장 양식'!B62</f>
        <v>0</v>
      </c>
      <c r="C62" s="225" cm="1">
        <f t="array" ref="C62:C63">'임금대장 양식'!C62:C63</f>
        <v>0</v>
      </c>
      <c r="D62" s="225">
        <f>'임금대장 양식'!D62</f>
        <v>0</v>
      </c>
      <c r="E62" s="226">
        <f>'임금대장 양식'!E62</f>
        <v>0</v>
      </c>
      <c r="F62" s="227">
        <f>'임금대장 양식'!F62</f>
        <v>0</v>
      </c>
      <c r="G62" s="228">
        <f t="shared" ref="G62" si="286">IFERROR((F62)/M62,0)</f>
        <v>0</v>
      </c>
      <c r="H62" s="229">
        <f t="shared" ref="H62:H125" si="287">IF(F62=0,0,ROUND((8*5)*(365/12/7),0))</f>
        <v>0</v>
      </c>
      <c r="I62" s="229">
        <f t="shared" ref="I62:I125" si="288">IF(F62=0,0,ROUND(8*365/12/7,0))</f>
        <v>0</v>
      </c>
      <c r="J62" s="230">
        <f>'임금대장 양식'!J62</f>
        <v>0</v>
      </c>
      <c r="K62" s="231">
        <f>'임금대장 양식'!K62</f>
        <v>0</v>
      </c>
      <c r="L62" s="231">
        <f>'임금대장 양식'!L62</f>
        <v>0</v>
      </c>
      <c r="M62" s="232">
        <f t="shared" ref="M62:M125" si="289">H62+I62+J63+K63+L63</f>
        <v>0</v>
      </c>
      <c r="N62" s="227">
        <f t="shared" ref="N62:N125" si="290">IF(G62=0,0,G62*(H62+I62)-(R62+S62+T62+U62))</f>
        <v>0</v>
      </c>
      <c r="O62" s="233">
        <f t="shared" ref="O62:O125" si="291">G62*J63</f>
        <v>0</v>
      </c>
      <c r="P62" s="233">
        <f t="shared" ref="P62:P125" si="292">G62*K63</f>
        <v>0</v>
      </c>
      <c r="Q62" s="233">
        <f t="shared" ref="Q62:Q125" si="293">G62*L63</f>
        <v>0</v>
      </c>
      <c r="R62" s="233">
        <f>'임금대장 양식'!R62</f>
        <v>0</v>
      </c>
      <c r="S62" s="233">
        <f>'임금대장 양식'!S62</f>
        <v>0</v>
      </c>
      <c r="T62" s="233">
        <f>'임금대장 양식'!T62</f>
        <v>0</v>
      </c>
      <c r="U62" s="233">
        <f>'임금대장 양식'!U62</f>
        <v>0</v>
      </c>
    </row>
    <row r="63" spans="2:21" ht="21.5" customHeight="1">
      <c r="B63" s="234"/>
      <c r="C63" s="234">
        <v>0</v>
      </c>
      <c r="D63" s="210">
        <f>'임금대장 양식'!D63</f>
        <v>0</v>
      </c>
      <c r="E63" s="235"/>
      <c r="F63" s="236"/>
      <c r="G63" s="237"/>
      <c r="H63" s="238"/>
      <c r="I63" s="238"/>
      <c r="J63" s="239">
        <f t="shared" ref="J63:J126" si="294">ROUND(J62*(365/12/7)*IF($S$4="5인 이상",1.5,1),0)</f>
        <v>0</v>
      </c>
      <c r="K63" s="239">
        <f t="shared" ref="K63:K126" si="295">ROUND(K62*IF($S$4="5인 이상",1.5,1),0)</f>
        <v>0</v>
      </c>
      <c r="L63" s="239">
        <f t="shared" ref="L63:L126" si="296">ROUND(L62*IF($S$4="5인 이상",1.5,1)+L62*IF($S$4="5인 이상",0.5,1),0)</f>
        <v>0</v>
      </c>
      <c r="M63" s="240"/>
      <c r="N63" s="236"/>
      <c r="O63" s="241"/>
      <c r="P63" s="241"/>
      <c r="Q63" s="241"/>
      <c r="R63" s="241"/>
      <c r="S63" s="241"/>
      <c r="T63" s="241"/>
      <c r="U63" s="241"/>
    </row>
    <row r="64" spans="2:21" ht="21.5" customHeight="1">
      <c r="B64" s="225">
        <f>'임금대장 양식'!B64</f>
        <v>0</v>
      </c>
      <c r="C64" s="225" cm="1">
        <f t="array" ref="C64:C65">'임금대장 양식'!C64:C65</f>
        <v>0</v>
      </c>
      <c r="D64" s="225">
        <f>'임금대장 양식'!D64</f>
        <v>0</v>
      </c>
      <c r="E64" s="226">
        <f>'임금대장 양식'!E64</f>
        <v>0</v>
      </c>
      <c r="F64" s="227">
        <f>'임금대장 양식'!F64</f>
        <v>0</v>
      </c>
      <c r="G64" s="228">
        <f t="shared" ref="G64" si="297">IFERROR((F64)/M64,0)</f>
        <v>0</v>
      </c>
      <c r="H64" s="229">
        <f t="shared" ref="H64:H127" si="298">IF(F64=0,0,ROUND((8*5)*(365/12/7),0))</f>
        <v>0</v>
      </c>
      <c r="I64" s="229">
        <f t="shared" ref="I64:I127" si="299">IF(F64=0,0,ROUND(8*365/12/7,0))</f>
        <v>0</v>
      </c>
      <c r="J64" s="230">
        <f>'임금대장 양식'!J64</f>
        <v>0</v>
      </c>
      <c r="K64" s="231">
        <f>'임금대장 양식'!K64</f>
        <v>0</v>
      </c>
      <c r="L64" s="231">
        <f>'임금대장 양식'!L64</f>
        <v>0</v>
      </c>
      <c r="M64" s="232">
        <f t="shared" ref="M64:M127" si="300">H64+I64+J65+K65+L65</f>
        <v>0</v>
      </c>
      <c r="N64" s="227">
        <f t="shared" ref="N64:N127" si="301">IF(G64=0,0,G64*(H64+I64)-(R64+S64+T64+U64))</f>
        <v>0</v>
      </c>
      <c r="O64" s="233">
        <f t="shared" ref="O64:O127" si="302">G64*J65</f>
        <v>0</v>
      </c>
      <c r="P64" s="233">
        <f t="shared" ref="P64:P127" si="303">G64*K65</f>
        <v>0</v>
      </c>
      <c r="Q64" s="233">
        <f t="shared" ref="Q64:Q127" si="304">G64*L65</f>
        <v>0</v>
      </c>
      <c r="R64" s="233">
        <f>'임금대장 양식'!R64</f>
        <v>0</v>
      </c>
      <c r="S64" s="233">
        <f>'임금대장 양식'!S64</f>
        <v>0</v>
      </c>
      <c r="T64" s="233">
        <f>'임금대장 양식'!T64</f>
        <v>0</v>
      </c>
      <c r="U64" s="233">
        <f>'임금대장 양식'!U64</f>
        <v>0</v>
      </c>
    </row>
    <row r="65" spans="2:21" ht="21.5" customHeight="1">
      <c r="B65" s="234"/>
      <c r="C65" s="234">
        <v>0</v>
      </c>
      <c r="D65" s="210">
        <f>'임금대장 양식'!D65</f>
        <v>0</v>
      </c>
      <c r="E65" s="235"/>
      <c r="F65" s="236"/>
      <c r="G65" s="237"/>
      <c r="H65" s="238"/>
      <c r="I65" s="238"/>
      <c r="J65" s="239">
        <f t="shared" ref="J65:J128" si="305">ROUND(J64*(365/12/7)*IF($S$4="5인 이상",1.5,1),0)</f>
        <v>0</v>
      </c>
      <c r="K65" s="239">
        <f t="shared" ref="K65:K128" si="306">ROUND(K64*IF($S$4="5인 이상",1.5,1),0)</f>
        <v>0</v>
      </c>
      <c r="L65" s="239">
        <f t="shared" ref="L65:L128" si="307">ROUND(L64*IF($S$4="5인 이상",1.5,1)+L64*IF($S$4="5인 이상",0.5,1),0)</f>
        <v>0</v>
      </c>
      <c r="M65" s="240"/>
      <c r="N65" s="236"/>
      <c r="O65" s="241"/>
      <c r="P65" s="241"/>
      <c r="Q65" s="241"/>
      <c r="R65" s="241"/>
      <c r="S65" s="241"/>
      <c r="T65" s="241"/>
      <c r="U65" s="241"/>
    </row>
    <row r="66" spans="2:21" ht="21.5" customHeight="1">
      <c r="B66" s="225">
        <f>'임금대장 양식'!B66</f>
        <v>0</v>
      </c>
      <c r="C66" s="225" cm="1">
        <f t="array" ref="C66:C67">'임금대장 양식'!C66:C67</f>
        <v>0</v>
      </c>
      <c r="D66" s="225">
        <f>'임금대장 양식'!D66</f>
        <v>0</v>
      </c>
      <c r="E66" s="226">
        <f>'임금대장 양식'!E66</f>
        <v>0</v>
      </c>
      <c r="F66" s="227">
        <f>'임금대장 양식'!F66</f>
        <v>0</v>
      </c>
      <c r="G66" s="228">
        <f t="shared" ref="G66" si="308">IFERROR((F66)/M66,0)</f>
        <v>0</v>
      </c>
      <c r="H66" s="229">
        <f t="shared" ref="H66:H129" si="309">IF(F66=0,0,ROUND((8*5)*(365/12/7),0))</f>
        <v>0</v>
      </c>
      <c r="I66" s="229">
        <f t="shared" ref="I66:I129" si="310">IF(F66=0,0,ROUND(8*365/12/7,0))</f>
        <v>0</v>
      </c>
      <c r="J66" s="230">
        <f>'임금대장 양식'!J66</f>
        <v>0</v>
      </c>
      <c r="K66" s="231">
        <f>'임금대장 양식'!K66</f>
        <v>0</v>
      </c>
      <c r="L66" s="231">
        <f>'임금대장 양식'!L66</f>
        <v>0</v>
      </c>
      <c r="M66" s="232">
        <f t="shared" ref="M66:M129" si="311">H66+I66+J67+K67+L67</f>
        <v>0</v>
      </c>
      <c r="N66" s="227">
        <f t="shared" ref="N66:N129" si="312">IF(G66=0,0,G66*(H66+I66)-(R66+S66+T66+U66))</f>
        <v>0</v>
      </c>
      <c r="O66" s="233">
        <f t="shared" ref="O66:O129" si="313">G66*J67</f>
        <v>0</v>
      </c>
      <c r="P66" s="233">
        <f t="shared" ref="P66:P129" si="314">G66*K67</f>
        <v>0</v>
      </c>
      <c r="Q66" s="233">
        <f t="shared" ref="Q66:Q129" si="315">G66*L67</f>
        <v>0</v>
      </c>
      <c r="R66" s="233">
        <f>'임금대장 양식'!R66</f>
        <v>0</v>
      </c>
      <c r="S66" s="233">
        <f>'임금대장 양식'!S66</f>
        <v>0</v>
      </c>
      <c r="T66" s="233">
        <f>'임금대장 양식'!T66</f>
        <v>0</v>
      </c>
      <c r="U66" s="233">
        <f>'임금대장 양식'!U66</f>
        <v>0</v>
      </c>
    </row>
    <row r="67" spans="2:21" ht="21.5" customHeight="1">
      <c r="B67" s="234"/>
      <c r="C67" s="234">
        <v>0</v>
      </c>
      <c r="D67" s="210">
        <f>'임금대장 양식'!D67</f>
        <v>0</v>
      </c>
      <c r="E67" s="235"/>
      <c r="F67" s="236"/>
      <c r="G67" s="237"/>
      <c r="H67" s="238"/>
      <c r="I67" s="238"/>
      <c r="J67" s="239">
        <f t="shared" ref="J67:J130" si="316">ROUND(J66*(365/12/7)*IF($S$4="5인 이상",1.5,1),0)</f>
        <v>0</v>
      </c>
      <c r="K67" s="239">
        <f t="shared" ref="K67:K130" si="317">ROUND(K66*IF($S$4="5인 이상",1.5,1),0)</f>
        <v>0</v>
      </c>
      <c r="L67" s="239">
        <f t="shared" ref="L67:L130" si="318">ROUND(L66*IF($S$4="5인 이상",1.5,1)+L66*IF($S$4="5인 이상",0.5,1),0)</f>
        <v>0</v>
      </c>
      <c r="M67" s="240"/>
      <c r="N67" s="236"/>
      <c r="O67" s="241"/>
      <c r="P67" s="241"/>
      <c r="Q67" s="241"/>
      <c r="R67" s="241"/>
      <c r="S67" s="241"/>
      <c r="T67" s="241"/>
      <c r="U67" s="241"/>
    </row>
    <row r="68" spans="2:21" ht="21.5" customHeight="1">
      <c r="B68" s="225">
        <f>'임금대장 양식'!B68</f>
        <v>0</v>
      </c>
      <c r="C68" s="225" cm="1">
        <f t="array" ref="C68:C69">'임금대장 양식'!C68:C69</f>
        <v>0</v>
      </c>
      <c r="D68" s="225">
        <f>'임금대장 양식'!D68</f>
        <v>0</v>
      </c>
      <c r="E68" s="226">
        <f>'임금대장 양식'!E68</f>
        <v>0</v>
      </c>
      <c r="F68" s="227">
        <f>'임금대장 양식'!F68</f>
        <v>0</v>
      </c>
      <c r="G68" s="228">
        <f t="shared" ref="G68" si="319">IFERROR((F68)/M68,0)</f>
        <v>0</v>
      </c>
      <c r="H68" s="229">
        <f t="shared" ref="H68:H131" si="320">IF(F68=0,0,ROUND((8*5)*(365/12/7),0))</f>
        <v>0</v>
      </c>
      <c r="I68" s="229">
        <f t="shared" ref="I68:I131" si="321">IF(F68=0,0,ROUND(8*365/12/7,0))</f>
        <v>0</v>
      </c>
      <c r="J68" s="230">
        <f>'임금대장 양식'!J68</f>
        <v>0</v>
      </c>
      <c r="K68" s="231">
        <f>'임금대장 양식'!K68</f>
        <v>0</v>
      </c>
      <c r="L68" s="231">
        <f>'임금대장 양식'!L68</f>
        <v>0</v>
      </c>
      <c r="M68" s="232">
        <f t="shared" ref="M68:M131" si="322">H68+I68+J69+K69+L69</f>
        <v>0</v>
      </c>
      <c r="N68" s="227">
        <f t="shared" ref="N68:N131" si="323">IF(G68=0,0,G68*(H68+I68)-(R68+S68+T68+U68))</f>
        <v>0</v>
      </c>
      <c r="O68" s="233">
        <f t="shared" ref="O68:O131" si="324">G68*J69</f>
        <v>0</v>
      </c>
      <c r="P68" s="233">
        <f t="shared" ref="P68:P131" si="325">G68*K69</f>
        <v>0</v>
      </c>
      <c r="Q68" s="233">
        <f t="shared" ref="Q68:Q131" si="326">G68*L69</f>
        <v>0</v>
      </c>
      <c r="R68" s="233">
        <f>'임금대장 양식'!R68</f>
        <v>0</v>
      </c>
      <c r="S68" s="233">
        <f>'임금대장 양식'!S68</f>
        <v>0</v>
      </c>
      <c r="T68" s="233">
        <f>'임금대장 양식'!T68</f>
        <v>0</v>
      </c>
      <c r="U68" s="233">
        <f>'임금대장 양식'!U68</f>
        <v>0</v>
      </c>
    </row>
    <row r="69" spans="2:21" ht="21.5" customHeight="1">
      <c r="B69" s="234"/>
      <c r="C69" s="234">
        <v>0</v>
      </c>
      <c r="D69" s="210">
        <f>'임금대장 양식'!D69</f>
        <v>0</v>
      </c>
      <c r="E69" s="235"/>
      <c r="F69" s="236"/>
      <c r="G69" s="237"/>
      <c r="H69" s="238"/>
      <c r="I69" s="238"/>
      <c r="J69" s="239">
        <f t="shared" ref="J69:J132" si="327">ROUND(J68*(365/12/7)*IF($S$4="5인 이상",1.5,1),0)</f>
        <v>0</v>
      </c>
      <c r="K69" s="239">
        <f t="shared" ref="K69:K132" si="328">ROUND(K68*IF($S$4="5인 이상",1.5,1),0)</f>
        <v>0</v>
      </c>
      <c r="L69" s="239">
        <f t="shared" ref="L69:L132" si="329">ROUND(L68*IF($S$4="5인 이상",1.5,1)+L68*IF($S$4="5인 이상",0.5,1),0)</f>
        <v>0</v>
      </c>
      <c r="M69" s="240"/>
      <c r="N69" s="236"/>
      <c r="O69" s="241"/>
      <c r="P69" s="241"/>
      <c r="Q69" s="241"/>
      <c r="R69" s="241"/>
      <c r="S69" s="241"/>
      <c r="T69" s="241"/>
      <c r="U69" s="241"/>
    </row>
    <row r="70" spans="2:21" ht="21.5" customHeight="1">
      <c r="B70" s="225">
        <f>'임금대장 양식'!B70</f>
        <v>0</v>
      </c>
      <c r="C70" s="225" cm="1">
        <f t="array" ref="C70:C71">'임금대장 양식'!C70:C71</f>
        <v>0</v>
      </c>
      <c r="D70" s="225">
        <f>'임금대장 양식'!D70</f>
        <v>0</v>
      </c>
      <c r="E70" s="226">
        <f>'임금대장 양식'!E70</f>
        <v>0</v>
      </c>
      <c r="F70" s="227">
        <f>'임금대장 양식'!F70</f>
        <v>0</v>
      </c>
      <c r="G70" s="228">
        <f t="shared" ref="G70" si="330">IFERROR((F70)/M70,0)</f>
        <v>0</v>
      </c>
      <c r="H70" s="229">
        <f t="shared" ref="H70:H133" si="331">IF(F70=0,0,ROUND((8*5)*(365/12/7),0))</f>
        <v>0</v>
      </c>
      <c r="I70" s="229">
        <f t="shared" ref="I70:I133" si="332">IF(F70=0,0,ROUND(8*365/12/7,0))</f>
        <v>0</v>
      </c>
      <c r="J70" s="230">
        <f>'임금대장 양식'!J70</f>
        <v>0</v>
      </c>
      <c r="K70" s="231">
        <f>'임금대장 양식'!K70</f>
        <v>0</v>
      </c>
      <c r="L70" s="231">
        <f>'임금대장 양식'!L70</f>
        <v>0</v>
      </c>
      <c r="M70" s="232">
        <f t="shared" ref="M70:M133" si="333">H70+I70+J71+K71+L71</f>
        <v>0</v>
      </c>
      <c r="N70" s="227">
        <f t="shared" ref="N70:N133" si="334">IF(G70=0,0,G70*(H70+I70)-(R70+S70+T70+U70))</f>
        <v>0</v>
      </c>
      <c r="O70" s="233">
        <f t="shared" ref="O70:O133" si="335">G70*J71</f>
        <v>0</v>
      </c>
      <c r="P70" s="233">
        <f t="shared" ref="P70:P133" si="336">G70*K71</f>
        <v>0</v>
      </c>
      <c r="Q70" s="233">
        <f t="shared" ref="Q70:Q133" si="337">G70*L71</f>
        <v>0</v>
      </c>
      <c r="R70" s="233">
        <f>'임금대장 양식'!R70</f>
        <v>0</v>
      </c>
      <c r="S70" s="233">
        <f>'임금대장 양식'!S70</f>
        <v>0</v>
      </c>
      <c r="T70" s="233">
        <f>'임금대장 양식'!T70</f>
        <v>0</v>
      </c>
      <c r="U70" s="233">
        <f>'임금대장 양식'!U70</f>
        <v>0</v>
      </c>
    </row>
    <row r="71" spans="2:21" ht="21.5" customHeight="1">
      <c r="B71" s="234"/>
      <c r="C71" s="234">
        <v>0</v>
      </c>
      <c r="D71" s="210">
        <f>'임금대장 양식'!D71</f>
        <v>0</v>
      </c>
      <c r="E71" s="235"/>
      <c r="F71" s="236"/>
      <c r="G71" s="237"/>
      <c r="H71" s="238"/>
      <c r="I71" s="238"/>
      <c r="J71" s="239">
        <f t="shared" ref="J71:J134" si="338">ROUND(J70*(365/12/7)*IF($S$4="5인 이상",1.5,1),0)</f>
        <v>0</v>
      </c>
      <c r="K71" s="239">
        <f t="shared" ref="K71:K134" si="339">ROUND(K70*IF($S$4="5인 이상",1.5,1),0)</f>
        <v>0</v>
      </c>
      <c r="L71" s="239">
        <f t="shared" ref="L71:L134" si="340">ROUND(L70*IF($S$4="5인 이상",1.5,1)+L70*IF($S$4="5인 이상",0.5,1),0)</f>
        <v>0</v>
      </c>
      <c r="M71" s="240"/>
      <c r="N71" s="236"/>
      <c r="O71" s="241"/>
      <c r="P71" s="241"/>
      <c r="Q71" s="241"/>
      <c r="R71" s="241"/>
      <c r="S71" s="241"/>
      <c r="T71" s="241"/>
      <c r="U71" s="241"/>
    </row>
    <row r="72" spans="2:21" ht="21.5" customHeight="1">
      <c r="B72" s="225">
        <f>'임금대장 양식'!B72</f>
        <v>0</v>
      </c>
      <c r="C72" s="225" cm="1">
        <f t="array" ref="C72:C73">'임금대장 양식'!C72:C73</f>
        <v>0</v>
      </c>
      <c r="D72" s="225">
        <f>'임금대장 양식'!D72</f>
        <v>0</v>
      </c>
      <c r="E72" s="226">
        <f>'임금대장 양식'!E72</f>
        <v>0</v>
      </c>
      <c r="F72" s="227">
        <f>'임금대장 양식'!F72</f>
        <v>0</v>
      </c>
      <c r="G72" s="228">
        <f t="shared" ref="G72" si="341">IFERROR((F72)/M72,0)</f>
        <v>0</v>
      </c>
      <c r="H72" s="229">
        <f t="shared" ref="H72:H135" si="342">IF(F72=0,0,ROUND((8*5)*(365/12/7),0))</f>
        <v>0</v>
      </c>
      <c r="I72" s="229">
        <f t="shared" ref="I72:I135" si="343">IF(F72=0,0,ROUND(8*365/12/7,0))</f>
        <v>0</v>
      </c>
      <c r="J72" s="230">
        <f>'임금대장 양식'!J72</f>
        <v>0</v>
      </c>
      <c r="K72" s="231">
        <f>'임금대장 양식'!K72</f>
        <v>0</v>
      </c>
      <c r="L72" s="231">
        <f>'임금대장 양식'!L72</f>
        <v>0</v>
      </c>
      <c r="M72" s="232">
        <f t="shared" ref="M72:M135" si="344">H72+I72+J73+K73+L73</f>
        <v>0</v>
      </c>
      <c r="N72" s="227">
        <f t="shared" ref="N72:N135" si="345">IF(G72=0,0,G72*(H72+I72)-(R72+S72+T72+U72))</f>
        <v>0</v>
      </c>
      <c r="O72" s="233">
        <f t="shared" ref="O72:O135" si="346">G72*J73</f>
        <v>0</v>
      </c>
      <c r="P72" s="233">
        <f t="shared" ref="P72:P135" si="347">G72*K73</f>
        <v>0</v>
      </c>
      <c r="Q72" s="233">
        <f t="shared" ref="Q72:Q135" si="348">G72*L73</f>
        <v>0</v>
      </c>
      <c r="R72" s="233">
        <f>'임금대장 양식'!R72</f>
        <v>0</v>
      </c>
      <c r="S72" s="233">
        <f>'임금대장 양식'!S72</f>
        <v>0</v>
      </c>
      <c r="T72" s="233">
        <f>'임금대장 양식'!T72</f>
        <v>0</v>
      </c>
      <c r="U72" s="233">
        <f>'임금대장 양식'!U72</f>
        <v>0</v>
      </c>
    </row>
    <row r="73" spans="2:21" ht="21.5" customHeight="1">
      <c r="B73" s="234"/>
      <c r="C73" s="234">
        <v>0</v>
      </c>
      <c r="D73" s="210">
        <f>'임금대장 양식'!D73</f>
        <v>0</v>
      </c>
      <c r="E73" s="235"/>
      <c r="F73" s="236"/>
      <c r="G73" s="237"/>
      <c r="H73" s="238"/>
      <c r="I73" s="238"/>
      <c r="J73" s="239">
        <f t="shared" ref="J73:J136" si="349">ROUND(J72*(365/12/7)*IF($S$4="5인 이상",1.5,1),0)</f>
        <v>0</v>
      </c>
      <c r="K73" s="239">
        <f t="shared" ref="K73:K136" si="350">ROUND(K72*IF($S$4="5인 이상",1.5,1),0)</f>
        <v>0</v>
      </c>
      <c r="L73" s="239">
        <f t="shared" ref="L73:L136" si="351">ROUND(L72*IF($S$4="5인 이상",1.5,1)+L72*IF($S$4="5인 이상",0.5,1),0)</f>
        <v>0</v>
      </c>
      <c r="M73" s="240"/>
      <c r="N73" s="236"/>
      <c r="O73" s="241"/>
      <c r="P73" s="241"/>
      <c r="Q73" s="241"/>
      <c r="R73" s="241"/>
      <c r="S73" s="241"/>
      <c r="T73" s="241"/>
      <c r="U73" s="241"/>
    </row>
    <row r="74" spans="2:21" ht="21.5" customHeight="1">
      <c r="B74" s="225">
        <f>'임금대장 양식'!B74</f>
        <v>0</v>
      </c>
      <c r="C74" s="225" cm="1">
        <f t="array" ref="C74:C75">'임금대장 양식'!C74:C75</f>
        <v>0</v>
      </c>
      <c r="D74" s="225">
        <f>'임금대장 양식'!D74</f>
        <v>0</v>
      </c>
      <c r="E74" s="226">
        <f>'임금대장 양식'!E74</f>
        <v>0</v>
      </c>
      <c r="F74" s="227">
        <f>'임금대장 양식'!F74</f>
        <v>0</v>
      </c>
      <c r="G74" s="228">
        <f t="shared" ref="G74" si="352">IFERROR((F74)/M74,0)</f>
        <v>0</v>
      </c>
      <c r="H74" s="229">
        <f t="shared" ref="H74:H137" si="353">IF(F74=0,0,ROUND((8*5)*(365/12/7),0))</f>
        <v>0</v>
      </c>
      <c r="I74" s="229">
        <f t="shared" ref="I74:I137" si="354">IF(F74=0,0,ROUND(8*365/12/7,0))</f>
        <v>0</v>
      </c>
      <c r="J74" s="230">
        <f>'임금대장 양식'!J74</f>
        <v>0</v>
      </c>
      <c r="K74" s="231">
        <f>'임금대장 양식'!K74</f>
        <v>0</v>
      </c>
      <c r="L74" s="231">
        <f>'임금대장 양식'!L74</f>
        <v>0</v>
      </c>
      <c r="M74" s="232">
        <f t="shared" ref="M74:M137" si="355">H74+I74+J75+K75+L75</f>
        <v>0</v>
      </c>
      <c r="N74" s="227">
        <f t="shared" ref="N74:N137" si="356">IF(G74=0,0,G74*(H74+I74)-(R74+S74+T74+U74))</f>
        <v>0</v>
      </c>
      <c r="O74" s="233">
        <f t="shared" ref="O74:O137" si="357">G74*J75</f>
        <v>0</v>
      </c>
      <c r="P74" s="233">
        <f t="shared" ref="P74:P137" si="358">G74*K75</f>
        <v>0</v>
      </c>
      <c r="Q74" s="233">
        <f t="shared" ref="Q74:Q137" si="359">G74*L75</f>
        <v>0</v>
      </c>
      <c r="R74" s="233">
        <f>'임금대장 양식'!R74</f>
        <v>0</v>
      </c>
      <c r="S74" s="233">
        <f>'임금대장 양식'!S74</f>
        <v>0</v>
      </c>
      <c r="T74" s="233">
        <f>'임금대장 양식'!T74</f>
        <v>0</v>
      </c>
      <c r="U74" s="233">
        <f>'임금대장 양식'!U74</f>
        <v>0</v>
      </c>
    </row>
    <row r="75" spans="2:21" ht="21.5" customHeight="1">
      <c r="B75" s="234"/>
      <c r="C75" s="234">
        <v>0</v>
      </c>
      <c r="D75" s="210">
        <f>'임금대장 양식'!D75</f>
        <v>0</v>
      </c>
      <c r="E75" s="235"/>
      <c r="F75" s="236"/>
      <c r="G75" s="237"/>
      <c r="H75" s="238"/>
      <c r="I75" s="238"/>
      <c r="J75" s="239">
        <f t="shared" ref="J75:J138" si="360">ROUND(J74*(365/12/7)*IF($S$4="5인 이상",1.5,1),0)</f>
        <v>0</v>
      </c>
      <c r="K75" s="239">
        <f t="shared" ref="K75:K138" si="361">ROUND(K74*IF($S$4="5인 이상",1.5,1),0)</f>
        <v>0</v>
      </c>
      <c r="L75" s="239">
        <f t="shared" ref="L75:L138" si="362">ROUND(L74*IF($S$4="5인 이상",1.5,1)+L74*IF($S$4="5인 이상",0.5,1),0)</f>
        <v>0</v>
      </c>
      <c r="M75" s="240"/>
      <c r="N75" s="236"/>
      <c r="O75" s="241"/>
      <c r="P75" s="241"/>
      <c r="Q75" s="241"/>
      <c r="R75" s="241"/>
      <c r="S75" s="241"/>
      <c r="T75" s="241"/>
      <c r="U75" s="241"/>
    </row>
    <row r="76" spans="2:21" ht="21.5" customHeight="1">
      <c r="B76" s="225">
        <f>'임금대장 양식'!B76</f>
        <v>0</v>
      </c>
      <c r="C76" s="225" cm="1">
        <f t="array" ref="C76:C77">'임금대장 양식'!C76:C77</f>
        <v>0</v>
      </c>
      <c r="D76" s="225">
        <f>'임금대장 양식'!D76</f>
        <v>0</v>
      </c>
      <c r="E76" s="226">
        <f>'임금대장 양식'!E76</f>
        <v>0</v>
      </c>
      <c r="F76" s="227">
        <f>'임금대장 양식'!F76</f>
        <v>0</v>
      </c>
      <c r="G76" s="228">
        <f t="shared" ref="G76" si="363">IFERROR((F76)/M76,0)</f>
        <v>0</v>
      </c>
      <c r="H76" s="229">
        <f t="shared" ref="H76:H139" si="364">IF(F76=0,0,ROUND((8*5)*(365/12/7),0))</f>
        <v>0</v>
      </c>
      <c r="I76" s="229">
        <f t="shared" ref="I76:I139" si="365">IF(F76=0,0,ROUND(8*365/12/7,0))</f>
        <v>0</v>
      </c>
      <c r="J76" s="230">
        <f>'임금대장 양식'!J76</f>
        <v>0</v>
      </c>
      <c r="K76" s="231">
        <f>'임금대장 양식'!K76</f>
        <v>0</v>
      </c>
      <c r="L76" s="231">
        <f>'임금대장 양식'!L76</f>
        <v>0</v>
      </c>
      <c r="M76" s="232">
        <f t="shared" ref="M76:M139" si="366">H76+I76+J77+K77+L77</f>
        <v>0</v>
      </c>
      <c r="N76" s="227">
        <f t="shared" ref="N76:N139" si="367">IF(G76=0,0,G76*(H76+I76)-(R76+S76+T76+U76))</f>
        <v>0</v>
      </c>
      <c r="O76" s="233">
        <f t="shared" ref="O76:O139" si="368">G76*J77</f>
        <v>0</v>
      </c>
      <c r="P76" s="233">
        <f t="shared" ref="P76:P139" si="369">G76*K77</f>
        <v>0</v>
      </c>
      <c r="Q76" s="233">
        <f t="shared" ref="Q76:Q139" si="370">G76*L77</f>
        <v>0</v>
      </c>
      <c r="R76" s="233">
        <f>'임금대장 양식'!R76</f>
        <v>0</v>
      </c>
      <c r="S76" s="233">
        <f>'임금대장 양식'!S76</f>
        <v>0</v>
      </c>
      <c r="T76" s="233">
        <f>'임금대장 양식'!T76</f>
        <v>0</v>
      </c>
      <c r="U76" s="233">
        <f>'임금대장 양식'!U76</f>
        <v>0</v>
      </c>
    </row>
    <row r="77" spans="2:21" ht="21.5" customHeight="1">
      <c r="B77" s="234"/>
      <c r="C77" s="234">
        <v>0</v>
      </c>
      <c r="D77" s="210">
        <f>'임금대장 양식'!D77</f>
        <v>0</v>
      </c>
      <c r="E77" s="235"/>
      <c r="F77" s="236"/>
      <c r="G77" s="237"/>
      <c r="H77" s="238"/>
      <c r="I77" s="238"/>
      <c r="J77" s="239">
        <f t="shared" ref="J77:J140" si="371">ROUND(J76*(365/12/7)*IF($S$4="5인 이상",1.5,1),0)</f>
        <v>0</v>
      </c>
      <c r="K77" s="239">
        <f t="shared" ref="K77:K140" si="372">ROUND(K76*IF($S$4="5인 이상",1.5,1),0)</f>
        <v>0</v>
      </c>
      <c r="L77" s="239">
        <f t="shared" ref="L77:L140" si="373">ROUND(L76*IF($S$4="5인 이상",1.5,1)+L76*IF($S$4="5인 이상",0.5,1),0)</f>
        <v>0</v>
      </c>
      <c r="M77" s="240"/>
      <c r="N77" s="236"/>
      <c r="O77" s="241"/>
      <c r="P77" s="241"/>
      <c r="Q77" s="241"/>
      <c r="R77" s="241"/>
      <c r="S77" s="241"/>
      <c r="T77" s="241"/>
      <c r="U77" s="241"/>
    </row>
    <row r="78" spans="2:21" ht="21.5" customHeight="1">
      <c r="B78" s="225">
        <f>'임금대장 양식'!B78</f>
        <v>0</v>
      </c>
      <c r="C78" s="225" cm="1">
        <f t="array" ref="C78:C79">'임금대장 양식'!C78:C79</f>
        <v>0</v>
      </c>
      <c r="D78" s="225">
        <f>'임금대장 양식'!D78</f>
        <v>0</v>
      </c>
      <c r="E78" s="226">
        <f>'임금대장 양식'!E78</f>
        <v>0</v>
      </c>
      <c r="F78" s="227">
        <f>'임금대장 양식'!F78</f>
        <v>0</v>
      </c>
      <c r="G78" s="228">
        <f t="shared" ref="G78" si="374">IFERROR((F78)/M78,0)</f>
        <v>0</v>
      </c>
      <c r="H78" s="229">
        <f t="shared" ref="H78:H141" si="375">IF(F78=0,0,ROUND((8*5)*(365/12/7),0))</f>
        <v>0</v>
      </c>
      <c r="I78" s="229">
        <f t="shared" ref="I78:I141" si="376">IF(F78=0,0,ROUND(8*365/12/7,0))</f>
        <v>0</v>
      </c>
      <c r="J78" s="230">
        <f>'임금대장 양식'!J78</f>
        <v>0</v>
      </c>
      <c r="K78" s="231">
        <f>'임금대장 양식'!K78</f>
        <v>0</v>
      </c>
      <c r="L78" s="231">
        <f>'임금대장 양식'!L78</f>
        <v>0</v>
      </c>
      <c r="M78" s="232">
        <f t="shared" ref="M78:M141" si="377">H78+I78+J79+K79+L79</f>
        <v>0</v>
      </c>
      <c r="N78" s="227">
        <f t="shared" ref="N78:N141" si="378">IF(G78=0,0,G78*(H78+I78)-(R78+S78+T78+U78))</f>
        <v>0</v>
      </c>
      <c r="O78" s="233">
        <f t="shared" ref="O78:O141" si="379">G78*J79</f>
        <v>0</v>
      </c>
      <c r="P78" s="233">
        <f t="shared" ref="P78:P141" si="380">G78*K79</f>
        <v>0</v>
      </c>
      <c r="Q78" s="233">
        <f t="shared" ref="Q78:Q141" si="381">G78*L79</f>
        <v>0</v>
      </c>
      <c r="R78" s="233">
        <f>'임금대장 양식'!R78</f>
        <v>0</v>
      </c>
      <c r="S78" s="233">
        <f>'임금대장 양식'!S78</f>
        <v>0</v>
      </c>
      <c r="T78" s="233">
        <f>'임금대장 양식'!T78</f>
        <v>0</v>
      </c>
      <c r="U78" s="233">
        <f>'임금대장 양식'!U78</f>
        <v>0</v>
      </c>
    </row>
    <row r="79" spans="2:21" ht="21.5" customHeight="1">
      <c r="B79" s="234"/>
      <c r="C79" s="234">
        <v>0</v>
      </c>
      <c r="D79" s="210">
        <f>'임금대장 양식'!D79</f>
        <v>0</v>
      </c>
      <c r="E79" s="235"/>
      <c r="F79" s="236"/>
      <c r="G79" s="237"/>
      <c r="H79" s="238"/>
      <c r="I79" s="238"/>
      <c r="J79" s="239">
        <f t="shared" ref="J79:J142" si="382">ROUND(J78*(365/12/7)*IF($S$4="5인 이상",1.5,1),0)</f>
        <v>0</v>
      </c>
      <c r="K79" s="239">
        <f t="shared" ref="K79:K142" si="383">ROUND(K78*IF($S$4="5인 이상",1.5,1),0)</f>
        <v>0</v>
      </c>
      <c r="L79" s="239">
        <f t="shared" ref="L79:L142" si="384">ROUND(L78*IF($S$4="5인 이상",1.5,1)+L78*IF($S$4="5인 이상",0.5,1),0)</f>
        <v>0</v>
      </c>
      <c r="M79" s="240"/>
      <c r="N79" s="236"/>
      <c r="O79" s="241"/>
      <c r="P79" s="241"/>
      <c r="Q79" s="241"/>
      <c r="R79" s="241"/>
      <c r="S79" s="241"/>
      <c r="T79" s="241"/>
      <c r="U79" s="241"/>
    </row>
    <row r="80" spans="2:21" ht="21.5" customHeight="1">
      <c r="B80" s="225">
        <f>'임금대장 양식'!B80</f>
        <v>0</v>
      </c>
      <c r="C80" s="225" cm="1">
        <f t="array" ref="C80:C81">'임금대장 양식'!C80:C81</f>
        <v>0</v>
      </c>
      <c r="D80" s="225">
        <f>'임금대장 양식'!D80</f>
        <v>0</v>
      </c>
      <c r="E80" s="226">
        <f>'임금대장 양식'!E80</f>
        <v>0</v>
      </c>
      <c r="F80" s="227">
        <f>'임금대장 양식'!F80</f>
        <v>0</v>
      </c>
      <c r="G80" s="228">
        <f t="shared" ref="G80" si="385">IFERROR((F80)/M80,0)</f>
        <v>0</v>
      </c>
      <c r="H80" s="229">
        <f t="shared" ref="H80:H143" si="386">IF(F80=0,0,ROUND((8*5)*(365/12/7),0))</f>
        <v>0</v>
      </c>
      <c r="I80" s="229">
        <f t="shared" ref="I80:I143" si="387">IF(F80=0,0,ROUND(8*365/12/7,0))</f>
        <v>0</v>
      </c>
      <c r="J80" s="230">
        <f>'임금대장 양식'!J80</f>
        <v>0</v>
      </c>
      <c r="K80" s="231">
        <f>'임금대장 양식'!K80</f>
        <v>0</v>
      </c>
      <c r="L80" s="231">
        <f>'임금대장 양식'!L80</f>
        <v>0</v>
      </c>
      <c r="M80" s="232">
        <f t="shared" ref="M80:M143" si="388">H80+I80+J81+K81+L81</f>
        <v>0</v>
      </c>
      <c r="N80" s="227">
        <f t="shared" ref="N80:N143" si="389">IF(G80=0,0,G80*(H80+I80)-(R80+S80+T80+U80))</f>
        <v>0</v>
      </c>
      <c r="O80" s="233">
        <f t="shared" ref="O80:O143" si="390">G80*J81</f>
        <v>0</v>
      </c>
      <c r="P80" s="233">
        <f t="shared" ref="P80:P143" si="391">G80*K81</f>
        <v>0</v>
      </c>
      <c r="Q80" s="233">
        <f t="shared" ref="Q80:Q143" si="392">G80*L81</f>
        <v>0</v>
      </c>
      <c r="R80" s="233">
        <f>'임금대장 양식'!R80</f>
        <v>0</v>
      </c>
      <c r="S80" s="233">
        <f>'임금대장 양식'!S80</f>
        <v>0</v>
      </c>
      <c r="T80" s="233">
        <f>'임금대장 양식'!T80</f>
        <v>0</v>
      </c>
      <c r="U80" s="233">
        <f>'임금대장 양식'!U80</f>
        <v>0</v>
      </c>
    </row>
    <row r="81" spans="2:21" ht="21.5" customHeight="1">
      <c r="B81" s="234"/>
      <c r="C81" s="234">
        <v>0</v>
      </c>
      <c r="D81" s="210">
        <f>'임금대장 양식'!D81</f>
        <v>0</v>
      </c>
      <c r="E81" s="235"/>
      <c r="F81" s="236"/>
      <c r="G81" s="237"/>
      <c r="H81" s="238"/>
      <c r="I81" s="238"/>
      <c r="J81" s="239">
        <f t="shared" ref="J81:J144" si="393">ROUND(J80*(365/12/7)*IF($S$4="5인 이상",1.5,1),0)</f>
        <v>0</v>
      </c>
      <c r="K81" s="239">
        <f t="shared" ref="K81:K144" si="394">ROUND(K80*IF($S$4="5인 이상",1.5,1),0)</f>
        <v>0</v>
      </c>
      <c r="L81" s="239">
        <f t="shared" ref="L81:L144" si="395">ROUND(L80*IF($S$4="5인 이상",1.5,1)+L80*IF($S$4="5인 이상",0.5,1),0)</f>
        <v>0</v>
      </c>
      <c r="M81" s="240"/>
      <c r="N81" s="236"/>
      <c r="O81" s="241"/>
      <c r="P81" s="241"/>
      <c r="Q81" s="241"/>
      <c r="R81" s="241"/>
      <c r="S81" s="241"/>
      <c r="T81" s="241"/>
      <c r="U81" s="241"/>
    </row>
    <row r="82" spans="2:21" ht="21.5" customHeight="1">
      <c r="B82" s="225">
        <f>'임금대장 양식'!B82</f>
        <v>0</v>
      </c>
      <c r="C82" s="225" cm="1">
        <f t="array" ref="C82:C83">'임금대장 양식'!C82:C83</f>
        <v>0</v>
      </c>
      <c r="D82" s="225">
        <f>'임금대장 양식'!D82</f>
        <v>0</v>
      </c>
      <c r="E82" s="226">
        <f>'임금대장 양식'!E82</f>
        <v>0</v>
      </c>
      <c r="F82" s="227">
        <f>'임금대장 양식'!F82</f>
        <v>0</v>
      </c>
      <c r="G82" s="228">
        <f t="shared" ref="G82" si="396">IFERROR((F82)/M82,0)</f>
        <v>0</v>
      </c>
      <c r="H82" s="229">
        <f t="shared" ref="H82:H145" si="397">IF(F82=0,0,ROUND((8*5)*(365/12/7),0))</f>
        <v>0</v>
      </c>
      <c r="I82" s="229">
        <f t="shared" ref="I82:I145" si="398">IF(F82=0,0,ROUND(8*365/12/7,0))</f>
        <v>0</v>
      </c>
      <c r="J82" s="230">
        <f>'임금대장 양식'!J82</f>
        <v>0</v>
      </c>
      <c r="K82" s="231">
        <f>'임금대장 양식'!K82</f>
        <v>0</v>
      </c>
      <c r="L82" s="231">
        <f>'임금대장 양식'!L82</f>
        <v>0</v>
      </c>
      <c r="M82" s="232">
        <f t="shared" ref="M82:M145" si="399">H82+I82+J83+K83+L83</f>
        <v>0</v>
      </c>
      <c r="N82" s="227">
        <f t="shared" ref="N82:N145" si="400">IF(G82=0,0,G82*(H82+I82)-(R82+S82+T82+U82))</f>
        <v>0</v>
      </c>
      <c r="O82" s="233">
        <f t="shared" ref="O82:O145" si="401">G82*J83</f>
        <v>0</v>
      </c>
      <c r="P82" s="233">
        <f t="shared" ref="P82:P145" si="402">G82*K83</f>
        <v>0</v>
      </c>
      <c r="Q82" s="233">
        <f t="shared" ref="Q82:Q145" si="403">G82*L83</f>
        <v>0</v>
      </c>
      <c r="R82" s="233">
        <f>'임금대장 양식'!R82</f>
        <v>0</v>
      </c>
      <c r="S82" s="233">
        <f>'임금대장 양식'!S82</f>
        <v>0</v>
      </c>
      <c r="T82" s="233">
        <f>'임금대장 양식'!T82</f>
        <v>0</v>
      </c>
      <c r="U82" s="233">
        <f>'임금대장 양식'!U82</f>
        <v>0</v>
      </c>
    </row>
    <row r="83" spans="2:21" ht="21.5" customHeight="1">
      <c r="B83" s="234"/>
      <c r="C83" s="234">
        <v>0</v>
      </c>
      <c r="D83" s="210">
        <f>'임금대장 양식'!D83</f>
        <v>0</v>
      </c>
      <c r="E83" s="235"/>
      <c r="F83" s="236"/>
      <c r="G83" s="237"/>
      <c r="H83" s="238"/>
      <c r="I83" s="238"/>
      <c r="J83" s="239">
        <f t="shared" ref="J83:J146" si="404">ROUND(J82*(365/12/7)*IF($S$4="5인 이상",1.5,1),0)</f>
        <v>0</v>
      </c>
      <c r="K83" s="239">
        <f t="shared" ref="K83:K146" si="405">ROUND(K82*IF($S$4="5인 이상",1.5,1),0)</f>
        <v>0</v>
      </c>
      <c r="L83" s="239">
        <f t="shared" ref="L83:L146" si="406">ROUND(L82*IF($S$4="5인 이상",1.5,1)+L82*IF($S$4="5인 이상",0.5,1),0)</f>
        <v>0</v>
      </c>
      <c r="M83" s="240"/>
      <c r="N83" s="236"/>
      <c r="O83" s="241"/>
      <c r="P83" s="241"/>
      <c r="Q83" s="241"/>
      <c r="R83" s="241"/>
      <c r="S83" s="241"/>
      <c r="T83" s="241"/>
      <c r="U83" s="241"/>
    </row>
    <row r="84" spans="2:21" ht="21.5" customHeight="1">
      <c r="B84" s="225">
        <f>'임금대장 양식'!B84</f>
        <v>0</v>
      </c>
      <c r="C84" s="225" cm="1">
        <f t="array" ref="C84:C85">'임금대장 양식'!C84:C85</f>
        <v>0</v>
      </c>
      <c r="D84" s="225">
        <f>'임금대장 양식'!D84</f>
        <v>0</v>
      </c>
      <c r="E84" s="226">
        <f>'임금대장 양식'!E84</f>
        <v>0</v>
      </c>
      <c r="F84" s="227">
        <f>'임금대장 양식'!F84</f>
        <v>0</v>
      </c>
      <c r="G84" s="228">
        <f t="shared" ref="G84" si="407">IFERROR((F84)/M84,0)</f>
        <v>0</v>
      </c>
      <c r="H84" s="229">
        <f t="shared" ref="H84:H147" si="408">IF(F84=0,0,ROUND((8*5)*(365/12/7),0))</f>
        <v>0</v>
      </c>
      <c r="I84" s="229">
        <f t="shared" ref="I84:I147" si="409">IF(F84=0,0,ROUND(8*365/12/7,0))</f>
        <v>0</v>
      </c>
      <c r="J84" s="230">
        <f>'임금대장 양식'!J84</f>
        <v>0</v>
      </c>
      <c r="K84" s="231">
        <f>'임금대장 양식'!K84</f>
        <v>0</v>
      </c>
      <c r="L84" s="231">
        <f>'임금대장 양식'!L84</f>
        <v>0</v>
      </c>
      <c r="M84" s="232">
        <f t="shared" ref="M84:M147" si="410">H84+I84+J85+K85+L85</f>
        <v>0</v>
      </c>
      <c r="N84" s="227">
        <f t="shared" ref="N84:N147" si="411">IF(G84=0,0,G84*(H84+I84)-(R84+S84+T84+U84))</f>
        <v>0</v>
      </c>
      <c r="O84" s="233">
        <f t="shared" ref="O84:O147" si="412">G84*J85</f>
        <v>0</v>
      </c>
      <c r="P84" s="233">
        <f t="shared" ref="P84:P147" si="413">G84*K85</f>
        <v>0</v>
      </c>
      <c r="Q84" s="233">
        <f t="shared" ref="Q84:Q147" si="414">G84*L85</f>
        <v>0</v>
      </c>
      <c r="R84" s="233">
        <f>'임금대장 양식'!R84</f>
        <v>0</v>
      </c>
      <c r="S84" s="233">
        <f>'임금대장 양식'!S84</f>
        <v>0</v>
      </c>
      <c r="T84" s="233">
        <f>'임금대장 양식'!T84</f>
        <v>0</v>
      </c>
      <c r="U84" s="233">
        <f>'임금대장 양식'!U84</f>
        <v>0</v>
      </c>
    </row>
    <row r="85" spans="2:21" ht="21.5" customHeight="1">
      <c r="B85" s="234"/>
      <c r="C85" s="234">
        <v>0</v>
      </c>
      <c r="D85" s="210">
        <f>'임금대장 양식'!D85</f>
        <v>0</v>
      </c>
      <c r="E85" s="235"/>
      <c r="F85" s="236"/>
      <c r="G85" s="237"/>
      <c r="H85" s="238"/>
      <c r="I85" s="238"/>
      <c r="J85" s="239">
        <f t="shared" ref="J85:J148" si="415">ROUND(J84*(365/12/7)*IF($S$4="5인 이상",1.5,1),0)</f>
        <v>0</v>
      </c>
      <c r="K85" s="239">
        <f t="shared" ref="K85:K148" si="416">ROUND(K84*IF($S$4="5인 이상",1.5,1),0)</f>
        <v>0</v>
      </c>
      <c r="L85" s="239">
        <f t="shared" ref="L85:L148" si="417">ROUND(L84*IF($S$4="5인 이상",1.5,1)+L84*IF($S$4="5인 이상",0.5,1),0)</f>
        <v>0</v>
      </c>
      <c r="M85" s="240"/>
      <c r="N85" s="236"/>
      <c r="O85" s="241"/>
      <c r="P85" s="241"/>
      <c r="Q85" s="241"/>
      <c r="R85" s="241"/>
      <c r="S85" s="241"/>
      <c r="T85" s="241"/>
      <c r="U85" s="241"/>
    </row>
    <row r="86" spans="2:21" ht="21.5" customHeight="1">
      <c r="B86" s="225">
        <f>'임금대장 양식'!B86</f>
        <v>0</v>
      </c>
      <c r="C86" s="225" cm="1">
        <f t="array" ref="C86:C87">'임금대장 양식'!C86:C87</f>
        <v>0</v>
      </c>
      <c r="D86" s="225">
        <f>'임금대장 양식'!D86</f>
        <v>0</v>
      </c>
      <c r="E86" s="226">
        <f>'임금대장 양식'!E86</f>
        <v>0</v>
      </c>
      <c r="F86" s="227">
        <f>'임금대장 양식'!F86</f>
        <v>0</v>
      </c>
      <c r="G86" s="228">
        <f t="shared" ref="G86" si="418">IFERROR((F86)/M86,0)</f>
        <v>0</v>
      </c>
      <c r="H86" s="229">
        <f t="shared" ref="H86:H149" si="419">IF(F86=0,0,ROUND((8*5)*(365/12/7),0))</f>
        <v>0</v>
      </c>
      <c r="I86" s="229">
        <f t="shared" ref="I86:I149" si="420">IF(F86=0,0,ROUND(8*365/12/7,0))</f>
        <v>0</v>
      </c>
      <c r="J86" s="230">
        <f>'임금대장 양식'!J86</f>
        <v>0</v>
      </c>
      <c r="K86" s="231">
        <f>'임금대장 양식'!K86</f>
        <v>0</v>
      </c>
      <c r="L86" s="231">
        <f>'임금대장 양식'!L86</f>
        <v>0</v>
      </c>
      <c r="M86" s="232">
        <f t="shared" ref="M86:M149" si="421">H86+I86+J87+K87+L87</f>
        <v>0</v>
      </c>
      <c r="N86" s="227">
        <f t="shared" ref="N86:N149" si="422">IF(G86=0,0,G86*(H86+I86)-(R86+S86+T86+U86))</f>
        <v>0</v>
      </c>
      <c r="O86" s="233">
        <f t="shared" ref="O86:O149" si="423">G86*J87</f>
        <v>0</v>
      </c>
      <c r="P86" s="233">
        <f t="shared" ref="P86:P149" si="424">G86*K87</f>
        <v>0</v>
      </c>
      <c r="Q86" s="233">
        <f t="shared" ref="Q86:Q149" si="425">G86*L87</f>
        <v>0</v>
      </c>
      <c r="R86" s="233">
        <f>'임금대장 양식'!R86</f>
        <v>0</v>
      </c>
      <c r="S86" s="233">
        <f>'임금대장 양식'!S86</f>
        <v>0</v>
      </c>
      <c r="T86" s="233">
        <f>'임금대장 양식'!T86</f>
        <v>0</v>
      </c>
      <c r="U86" s="233">
        <f>'임금대장 양식'!U86</f>
        <v>0</v>
      </c>
    </row>
    <row r="87" spans="2:21" ht="21.5" customHeight="1">
      <c r="B87" s="234"/>
      <c r="C87" s="234">
        <v>0</v>
      </c>
      <c r="D87" s="210">
        <f>'임금대장 양식'!D87</f>
        <v>0</v>
      </c>
      <c r="E87" s="235"/>
      <c r="F87" s="236"/>
      <c r="G87" s="237"/>
      <c r="H87" s="238"/>
      <c r="I87" s="238"/>
      <c r="J87" s="239">
        <f t="shared" ref="J87:J150" si="426">ROUND(J86*(365/12/7)*IF($S$4="5인 이상",1.5,1),0)</f>
        <v>0</v>
      </c>
      <c r="K87" s="239">
        <f t="shared" ref="K87:K150" si="427">ROUND(K86*IF($S$4="5인 이상",1.5,1),0)</f>
        <v>0</v>
      </c>
      <c r="L87" s="239">
        <f t="shared" ref="L87:L150" si="428">ROUND(L86*IF($S$4="5인 이상",1.5,1)+L86*IF($S$4="5인 이상",0.5,1),0)</f>
        <v>0</v>
      </c>
      <c r="M87" s="240"/>
      <c r="N87" s="236"/>
      <c r="O87" s="241"/>
      <c r="P87" s="241"/>
      <c r="Q87" s="241"/>
      <c r="R87" s="241"/>
      <c r="S87" s="241"/>
      <c r="T87" s="241"/>
      <c r="U87" s="241"/>
    </row>
    <row r="88" spans="2:21" ht="21.5" customHeight="1">
      <c r="B88" s="225">
        <f>'임금대장 양식'!B88</f>
        <v>0</v>
      </c>
      <c r="C88" s="225" cm="1">
        <f t="array" ref="C88:C89">'임금대장 양식'!C88:C89</f>
        <v>0</v>
      </c>
      <c r="D88" s="225">
        <f>'임금대장 양식'!D88</f>
        <v>0</v>
      </c>
      <c r="E88" s="226">
        <f>'임금대장 양식'!E88</f>
        <v>0</v>
      </c>
      <c r="F88" s="227">
        <f>'임금대장 양식'!F88</f>
        <v>0</v>
      </c>
      <c r="G88" s="228">
        <f t="shared" ref="G88" si="429">IFERROR((F88)/M88,0)</f>
        <v>0</v>
      </c>
      <c r="H88" s="229">
        <f t="shared" ref="H88:H151" si="430">IF(F88=0,0,ROUND((8*5)*(365/12/7),0))</f>
        <v>0</v>
      </c>
      <c r="I88" s="229">
        <f t="shared" ref="I88:I151" si="431">IF(F88=0,0,ROUND(8*365/12/7,0))</f>
        <v>0</v>
      </c>
      <c r="J88" s="230">
        <f>'임금대장 양식'!J88</f>
        <v>0</v>
      </c>
      <c r="K88" s="231">
        <f>'임금대장 양식'!K88</f>
        <v>0</v>
      </c>
      <c r="L88" s="231">
        <f>'임금대장 양식'!L88</f>
        <v>0</v>
      </c>
      <c r="M88" s="232">
        <f t="shared" ref="M88:M151" si="432">H88+I88+J89+K89+L89</f>
        <v>0</v>
      </c>
      <c r="N88" s="227">
        <f t="shared" ref="N88:N151" si="433">IF(G88=0,0,G88*(H88+I88)-(R88+S88+T88+U88))</f>
        <v>0</v>
      </c>
      <c r="O88" s="233">
        <f t="shared" ref="O88:O151" si="434">G88*J89</f>
        <v>0</v>
      </c>
      <c r="P88" s="233">
        <f t="shared" ref="P88:P151" si="435">G88*K89</f>
        <v>0</v>
      </c>
      <c r="Q88" s="233">
        <f t="shared" ref="Q88:Q151" si="436">G88*L89</f>
        <v>0</v>
      </c>
      <c r="R88" s="233">
        <f>'임금대장 양식'!R88</f>
        <v>0</v>
      </c>
      <c r="S88" s="233">
        <f>'임금대장 양식'!S88</f>
        <v>0</v>
      </c>
      <c r="T88" s="233">
        <f>'임금대장 양식'!T88</f>
        <v>0</v>
      </c>
      <c r="U88" s="233">
        <f>'임금대장 양식'!U88</f>
        <v>0</v>
      </c>
    </row>
    <row r="89" spans="2:21" ht="21.5" customHeight="1">
      <c r="B89" s="234"/>
      <c r="C89" s="234">
        <v>0</v>
      </c>
      <c r="D89" s="210">
        <f>'임금대장 양식'!D89</f>
        <v>0</v>
      </c>
      <c r="E89" s="235"/>
      <c r="F89" s="236"/>
      <c r="G89" s="237"/>
      <c r="H89" s="238"/>
      <c r="I89" s="238"/>
      <c r="J89" s="239">
        <f t="shared" ref="J89:J152" si="437">ROUND(J88*(365/12/7)*IF($S$4="5인 이상",1.5,1),0)</f>
        <v>0</v>
      </c>
      <c r="K89" s="239">
        <f t="shared" ref="K89:K152" si="438">ROUND(K88*IF($S$4="5인 이상",1.5,1),0)</f>
        <v>0</v>
      </c>
      <c r="L89" s="239">
        <f t="shared" ref="L89:L152" si="439">ROUND(L88*IF($S$4="5인 이상",1.5,1)+L88*IF($S$4="5인 이상",0.5,1),0)</f>
        <v>0</v>
      </c>
      <c r="M89" s="240"/>
      <c r="N89" s="236"/>
      <c r="O89" s="241"/>
      <c r="P89" s="241"/>
      <c r="Q89" s="241"/>
      <c r="R89" s="241"/>
      <c r="S89" s="241"/>
      <c r="T89" s="241"/>
      <c r="U89" s="241"/>
    </row>
    <row r="90" spans="2:21" ht="21.5" customHeight="1">
      <c r="B90" s="225">
        <f>'임금대장 양식'!B90</f>
        <v>0</v>
      </c>
      <c r="C90" s="225" cm="1">
        <f t="array" ref="C90:C91">'임금대장 양식'!C90:C91</f>
        <v>0</v>
      </c>
      <c r="D90" s="225">
        <f>'임금대장 양식'!D90</f>
        <v>0</v>
      </c>
      <c r="E90" s="226">
        <f>'임금대장 양식'!E90</f>
        <v>0</v>
      </c>
      <c r="F90" s="227">
        <f>'임금대장 양식'!F90</f>
        <v>0</v>
      </c>
      <c r="G90" s="228">
        <f t="shared" ref="G90" si="440">IFERROR((F90)/M90,0)</f>
        <v>0</v>
      </c>
      <c r="H90" s="229">
        <f t="shared" ref="H90:H153" si="441">IF(F90=0,0,ROUND((8*5)*(365/12/7),0))</f>
        <v>0</v>
      </c>
      <c r="I90" s="229">
        <f t="shared" ref="I90:I153" si="442">IF(F90=0,0,ROUND(8*365/12/7,0))</f>
        <v>0</v>
      </c>
      <c r="J90" s="230">
        <f>'임금대장 양식'!J90</f>
        <v>0</v>
      </c>
      <c r="K90" s="231">
        <f>'임금대장 양식'!K90</f>
        <v>0</v>
      </c>
      <c r="L90" s="231">
        <f>'임금대장 양식'!L90</f>
        <v>0</v>
      </c>
      <c r="M90" s="232">
        <f t="shared" ref="M90:M153" si="443">H90+I90+J91+K91+L91</f>
        <v>0</v>
      </c>
      <c r="N90" s="227">
        <f t="shared" ref="N90:N153" si="444">IF(G90=0,0,G90*(H90+I90)-(R90+S90+T90+U90))</f>
        <v>0</v>
      </c>
      <c r="O90" s="233">
        <f t="shared" ref="O90:O153" si="445">G90*J91</f>
        <v>0</v>
      </c>
      <c r="P90" s="233">
        <f t="shared" ref="P90:P153" si="446">G90*K91</f>
        <v>0</v>
      </c>
      <c r="Q90" s="233">
        <f t="shared" ref="Q90:Q153" si="447">G90*L91</f>
        <v>0</v>
      </c>
      <c r="R90" s="233">
        <f>'임금대장 양식'!R90</f>
        <v>0</v>
      </c>
      <c r="S90" s="233">
        <f>'임금대장 양식'!S90</f>
        <v>0</v>
      </c>
      <c r="T90" s="233">
        <f>'임금대장 양식'!T90</f>
        <v>0</v>
      </c>
      <c r="U90" s="233">
        <f>'임금대장 양식'!U90</f>
        <v>0</v>
      </c>
    </row>
    <row r="91" spans="2:21" ht="21.5" customHeight="1">
      <c r="B91" s="234"/>
      <c r="C91" s="234">
        <v>0</v>
      </c>
      <c r="D91" s="210">
        <f>'임금대장 양식'!D91</f>
        <v>0</v>
      </c>
      <c r="E91" s="235"/>
      <c r="F91" s="236"/>
      <c r="G91" s="237"/>
      <c r="H91" s="238"/>
      <c r="I91" s="238"/>
      <c r="J91" s="239">
        <f t="shared" ref="J91:J154" si="448">ROUND(J90*(365/12/7)*IF($S$4="5인 이상",1.5,1),0)</f>
        <v>0</v>
      </c>
      <c r="K91" s="239">
        <f t="shared" ref="K91:K154" si="449">ROUND(K90*IF($S$4="5인 이상",1.5,1),0)</f>
        <v>0</v>
      </c>
      <c r="L91" s="239">
        <f t="shared" ref="L91:L154" si="450">ROUND(L90*IF($S$4="5인 이상",1.5,1)+L90*IF($S$4="5인 이상",0.5,1),0)</f>
        <v>0</v>
      </c>
      <c r="M91" s="240"/>
      <c r="N91" s="236"/>
      <c r="O91" s="241"/>
      <c r="P91" s="241"/>
      <c r="Q91" s="241"/>
      <c r="R91" s="241"/>
      <c r="S91" s="241"/>
      <c r="T91" s="241"/>
      <c r="U91" s="241"/>
    </row>
    <row r="92" spans="2:21" ht="21.5" customHeight="1">
      <c r="B92" s="225">
        <f>'임금대장 양식'!B92</f>
        <v>0</v>
      </c>
      <c r="C92" s="225" cm="1">
        <f t="array" ref="C92:C93">'임금대장 양식'!C92:C93</f>
        <v>0</v>
      </c>
      <c r="D92" s="225">
        <f>'임금대장 양식'!D92</f>
        <v>0</v>
      </c>
      <c r="E92" s="226">
        <f>'임금대장 양식'!E92</f>
        <v>0</v>
      </c>
      <c r="F92" s="227">
        <f>'임금대장 양식'!F92</f>
        <v>0</v>
      </c>
      <c r="G92" s="228">
        <f t="shared" ref="G92" si="451">IFERROR((F92)/M92,0)</f>
        <v>0</v>
      </c>
      <c r="H92" s="229">
        <f t="shared" ref="H92:H155" si="452">IF(F92=0,0,ROUND((8*5)*(365/12/7),0))</f>
        <v>0</v>
      </c>
      <c r="I92" s="229">
        <f t="shared" ref="I92:I155" si="453">IF(F92=0,0,ROUND(8*365/12/7,0))</f>
        <v>0</v>
      </c>
      <c r="J92" s="230">
        <f>'임금대장 양식'!J92</f>
        <v>0</v>
      </c>
      <c r="K92" s="231">
        <f>'임금대장 양식'!K92</f>
        <v>0</v>
      </c>
      <c r="L92" s="231">
        <f>'임금대장 양식'!L92</f>
        <v>0</v>
      </c>
      <c r="M92" s="232">
        <f t="shared" ref="M92:M155" si="454">H92+I92+J93+K93+L93</f>
        <v>0</v>
      </c>
      <c r="N92" s="227">
        <f t="shared" ref="N92:N155" si="455">IF(G92=0,0,G92*(H92+I92)-(R92+S92+T92+U92))</f>
        <v>0</v>
      </c>
      <c r="O92" s="233">
        <f t="shared" ref="O92:O155" si="456">G92*J93</f>
        <v>0</v>
      </c>
      <c r="P92" s="233">
        <f t="shared" ref="P92:P155" si="457">G92*K93</f>
        <v>0</v>
      </c>
      <c r="Q92" s="233">
        <f t="shared" ref="Q92:Q155" si="458">G92*L93</f>
        <v>0</v>
      </c>
      <c r="R92" s="233">
        <f>'임금대장 양식'!R92</f>
        <v>0</v>
      </c>
      <c r="S92" s="233">
        <f>'임금대장 양식'!S92</f>
        <v>0</v>
      </c>
      <c r="T92" s="233">
        <f>'임금대장 양식'!T92</f>
        <v>0</v>
      </c>
      <c r="U92" s="233">
        <f>'임금대장 양식'!U92</f>
        <v>0</v>
      </c>
    </row>
    <row r="93" spans="2:21" ht="21.5" customHeight="1">
      <c r="B93" s="234"/>
      <c r="C93" s="234">
        <v>0</v>
      </c>
      <c r="D93" s="210">
        <f>'임금대장 양식'!D93</f>
        <v>0</v>
      </c>
      <c r="E93" s="235"/>
      <c r="F93" s="236"/>
      <c r="G93" s="237"/>
      <c r="H93" s="238"/>
      <c r="I93" s="238"/>
      <c r="J93" s="239">
        <f t="shared" ref="J93:J156" si="459">ROUND(J92*(365/12/7)*IF($S$4="5인 이상",1.5,1),0)</f>
        <v>0</v>
      </c>
      <c r="K93" s="239">
        <f t="shared" ref="K93:K156" si="460">ROUND(K92*IF($S$4="5인 이상",1.5,1),0)</f>
        <v>0</v>
      </c>
      <c r="L93" s="239">
        <f t="shared" ref="L93:L156" si="461">ROUND(L92*IF($S$4="5인 이상",1.5,1)+L92*IF($S$4="5인 이상",0.5,1),0)</f>
        <v>0</v>
      </c>
      <c r="M93" s="240"/>
      <c r="N93" s="236"/>
      <c r="O93" s="241"/>
      <c r="P93" s="241"/>
      <c r="Q93" s="241"/>
      <c r="R93" s="241"/>
      <c r="S93" s="241"/>
      <c r="T93" s="241"/>
      <c r="U93" s="241"/>
    </row>
    <row r="94" spans="2:21" ht="21.5" customHeight="1">
      <c r="B94" s="225">
        <f>'임금대장 양식'!B94</f>
        <v>0</v>
      </c>
      <c r="C94" s="225" cm="1">
        <f t="array" ref="C94:C95">'임금대장 양식'!C94:C95</f>
        <v>0</v>
      </c>
      <c r="D94" s="225">
        <f>'임금대장 양식'!D94</f>
        <v>0</v>
      </c>
      <c r="E94" s="226">
        <f>'임금대장 양식'!E94</f>
        <v>0</v>
      </c>
      <c r="F94" s="227">
        <f>'임금대장 양식'!F94</f>
        <v>0</v>
      </c>
      <c r="G94" s="228">
        <f t="shared" ref="G94" si="462">IFERROR((F94)/M94,0)</f>
        <v>0</v>
      </c>
      <c r="H94" s="229">
        <f t="shared" ref="H94:H157" si="463">IF(F94=0,0,ROUND((8*5)*(365/12/7),0))</f>
        <v>0</v>
      </c>
      <c r="I94" s="229">
        <f t="shared" ref="I94:I157" si="464">IF(F94=0,0,ROUND(8*365/12/7,0))</f>
        <v>0</v>
      </c>
      <c r="J94" s="230">
        <f>'임금대장 양식'!J94</f>
        <v>0</v>
      </c>
      <c r="K94" s="231">
        <f>'임금대장 양식'!K94</f>
        <v>0</v>
      </c>
      <c r="L94" s="231">
        <f>'임금대장 양식'!L94</f>
        <v>0</v>
      </c>
      <c r="M94" s="232">
        <f t="shared" ref="M94:M157" si="465">H94+I94+J95+K95+L95</f>
        <v>0</v>
      </c>
      <c r="N94" s="227">
        <f t="shared" ref="N94:N157" si="466">IF(G94=0,0,G94*(H94+I94)-(R94+S94+T94+U94))</f>
        <v>0</v>
      </c>
      <c r="O94" s="233">
        <f t="shared" ref="O94:O157" si="467">G94*J95</f>
        <v>0</v>
      </c>
      <c r="P94" s="233">
        <f t="shared" ref="P94:P157" si="468">G94*K95</f>
        <v>0</v>
      </c>
      <c r="Q94" s="233">
        <f t="shared" ref="Q94:Q157" si="469">G94*L95</f>
        <v>0</v>
      </c>
      <c r="R94" s="233">
        <f>'임금대장 양식'!R94</f>
        <v>0</v>
      </c>
      <c r="S94" s="233">
        <f>'임금대장 양식'!S94</f>
        <v>0</v>
      </c>
      <c r="T94" s="233">
        <f>'임금대장 양식'!T94</f>
        <v>0</v>
      </c>
      <c r="U94" s="233">
        <f>'임금대장 양식'!U94</f>
        <v>0</v>
      </c>
    </row>
    <row r="95" spans="2:21" ht="21.5" customHeight="1">
      <c r="B95" s="234"/>
      <c r="C95" s="234">
        <v>0</v>
      </c>
      <c r="D95" s="210">
        <f>'임금대장 양식'!D95</f>
        <v>0</v>
      </c>
      <c r="E95" s="235"/>
      <c r="F95" s="236"/>
      <c r="G95" s="237"/>
      <c r="H95" s="238"/>
      <c r="I95" s="238"/>
      <c r="J95" s="239">
        <f t="shared" ref="J95:J158" si="470">ROUND(J94*(365/12/7)*IF($S$4="5인 이상",1.5,1),0)</f>
        <v>0</v>
      </c>
      <c r="K95" s="239">
        <f t="shared" ref="K95:K158" si="471">ROUND(K94*IF($S$4="5인 이상",1.5,1),0)</f>
        <v>0</v>
      </c>
      <c r="L95" s="239">
        <f t="shared" ref="L95:L158" si="472">ROUND(L94*IF($S$4="5인 이상",1.5,1)+L94*IF($S$4="5인 이상",0.5,1),0)</f>
        <v>0</v>
      </c>
      <c r="M95" s="240"/>
      <c r="N95" s="236"/>
      <c r="O95" s="241"/>
      <c r="P95" s="241"/>
      <c r="Q95" s="241"/>
      <c r="R95" s="241"/>
      <c r="S95" s="241"/>
      <c r="T95" s="241"/>
      <c r="U95" s="241"/>
    </row>
    <row r="96" spans="2:21" ht="21.5" customHeight="1">
      <c r="B96" s="225">
        <f>'임금대장 양식'!B96</f>
        <v>0</v>
      </c>
      <c r="C96" s="225" cm="1">
        <f t="array" ref="C96:C97">'임금대장 양식'!C96:C97</f>
        <v>0</v>
      </c>
      <c r="D96" s="225">
        <f>'임금대장 양식'!D96</f>
        <v>0</v>
      </c>
      <c r="E96" s="226">
        <f>'임금대장 양식'!E96</f>
        <v>0</v>
      </c>
      <c r="F96" s="227">
        <f>'임금대장 양식'!F96</f>
        <v>0</v>
      </c>
      <c r="G96" s="228">
        <f t="shared" ref="G96" si="473">IFERROR((F96)/M96,0)</f>
        <v>0</v>
      </c>
      <c r="H96" s="229">
        <f t="shared" ref="H96:H159" si="474">IF(F96=0,0,ROUND((8*5)*(365/12/7),0))</f>
        <v>0</v>
      </c>
      <c r="I96" s="229">
        <f t="shared" ref="I96:I159" si="475">IF(F96=0,0,ROUND(8*365/12/7,0))</f>
        <v>0</v>
      </c>
      <c r="J96" s="230">
        <f>'임금대장 양식'!J96</f>
        <v>0</v>
      </c>
      <c r="K96" s="231">
        <f>'임금대장 양식'!K96</f>
        <v>0</v>
      </c>
      <c r="L96" s="231">
        <f>'임금대장 양식'!L96</f>
        <v>0</v>
      </c>
      <c r="M96" s="232">
        <f t="shared" ref="M96:M159" si="476">H96+I96+J97+K97+L97</f>
        <v>0</v>
      </c>
      <c r="N96" s="227">
        <f t="shared" ref="N96:N159" si="477">IF(G96=0,0,G96*(H96+I96)-(R96+S96+T96+U96))</f>
        <v>0</v>
      </c>
      <c r="O96" s="233">
        <f t="shared" ref="O96:O159" si="478">G96*J97</f>
        <v>0</v>
      </c>
      <c r="P96" s="233">
        <f t="shared" ref="P96:P159" si="479">G96*K97</f>
        <v>0</v>
      </c>
      <c r="Q96" s="233">
        <f t="shared" ref="Q96:Q159" si="480">G96*L97</f>
        <v>0</v>
      </c>
      <c r="R96" s="233">
        <f>'임금대장 양식'!R96</f>
        <v>0</v>
      </c>
      <c r="S96" s="233">
        <f>'임금대장 양식'!S96</f>
        <v>0</v>
      </c>
      <c r="T96" s="233">
        <f>'임금대장 양식'!T96</f>
        <v>0</v>
      </c>
      <c r="U96" s="233">
        <f>'임금대장 양식'!U96</f>
        <v>0</v>
      </c>
    </row>
    <row r="97" spans="2:21" ht="21.5" customHeight="1">
      <c r="B97" s="234"/>
      <c r="C97" s="234">
        <v>0</v>
      </c>
      <c r="D97" s="210">
        <f>'임금대장 양식'!D97</f>
        <v>0</v>
      </c>
      <c r="E97" s="235"/>
      <c r="F97" s="236"/>
      <c r="G97" s="237"/>
      <c r="H97" s="238"/>
      <c r="I97" s="238"/>
      <c r="J97" s="239">
        <f t="shared" ref="J97:J160" si="481">ROUND(J96*(365/12/7)*IF($S$4="5인 이상",1.5,1),0)</f>
        <v>0</v>
      </c>
      <c r="K97" s="239">
        <f t="shared" ref="K97:K160" si="482">ROUND(K96*IF($S$4="5인 이상",1.5,1),0)</f>
        <v>0</v>
      </c>
      <c r="L97" s="239">
        <f t="shared" ref="L97:L160" si="483">ROUND(L96*IF($S$4="5인 이상",1.5,1)+L96*IF($S$4="5인 이상",0.5,1),0)</f>
        <v>0</v>
      </c>
      <c r="M97" s="240"/>
      <c r="N97" s="236"/>
      <c r="O97" s="241"/>
      <c r="P97" s="241"/>
      <c r="Q97" s="241"/>
      <c r="R97" s="241"/>
      <c r="S97" s="241"/>
      <c r="T97" s="241"/>
      <c r="U97" s="241"/>
    </row>
    <row r="98" spans="2:21" ht="21.5" customHeight="1">
      <c r="B98" s="225">
        <f>'임금대장 양식'!B98</f>
        <v>0</v>
      </c>
      <c r="C98" s="225" cm="1">
        <f t="array" ref="C98:C99">'임금대장 양식'!C98:C99</f>
        <v>0</v>
      </c>
      <c r="D98" s="225">
        <f>'임금대장 양식'!D98</f>
        <v>0</v>
      </c>
      <c r="E98" s="226">
        <f>'임금대장 양식'!E98</f>
        <v>0</v>
      </c>
      <c r="F98" s="227">
        <f>'임금대장 양식'!F98</f>
        <v>0</v>
      </c>
      <c r="G98" s="228">
        <f t="shared" ref="G98" si="484">IFERROR((F98)/M98,0)</f>
        <v>0</v>
      </c>
      <c r="H98" s="229">
        <f t="shared" ref="H98:H161" si="485">IF(F98=0,0,ROUND((8*5)*(365/12/7),0))</f>
        <v>0</v>
      </c>
      <c r="I98" s="229">
        <f t="shared" ref="I98:I161" si="486">IF(F98=0,0,ROUND(8*365/12/7,0))</f>
        <v>0</v>
      </c>
      <c r="J98" s="230">
        <f>'임금대장 양식'!J98</f>
        <v>0</v>
      </c>
      <c r="K98" s="231">
        <f>'임금대장 양식'!K98</f>
        <v>0</v>
      </c>
      <c r="L98" s="231">
        <f>'임금대장 양식'!L98</f>
        <v>0</v>
      </c>
      <c r="M98" s="232">
        <f t="shared" ref="M98:M161" si="487">H98+I98+J99+K99+L99</f>
        <v>0</v>
      </c>
      <c r="N98" s="227">
        <f t="shared" ref="N98:N161" si="488">IF(G98=0,0,G98*(H98+I98)-(R98+S98+T98+U98))</f>
        <v>0</v>
      </c>
      <c r="O98" s="233">
        <f t="shared" ref="O98:O161" si="489">G98*J99</f>
        <v>0</v>
      </c>
      <c r="P98" s="233">
        <f t="shared" ref="P98:P161" si="490">G98*K99</f>
        <v>0</v>
      </c>
      <c r="Q98" s="233">
        <f t="shared" ref="Q98:Q161" si="491">G98*L99</f>
        <v>0</v>
      </c>
      <c r="R98" s="233">
        <f>'임금대장 양식'!R98</f>
        <v>0</v>
      </c>
      <c r="S98" s="233">
        <f>'임금대장 양식'!S98</f>
        <v>0</v>
      </c>
      <c r="T98" s="233">
        <f>'임금대장 양식'!T98</f>
        <v>0</v>
      </c>
      <c r="U98" s="233">
        <f>'임금대장 양식'!U98</f>
        <v>0</v>
      </c>
    </row>
    <row r="99" spans="2:21" ht="21.5" customHeight="1">
      <c r="B99" s="234"/>
      <c r="C99" s="234">
        <v>0</v>
      </c>
      <c r="D99" s="210">
        <f>'임금대장 양식'!D99</f>
        <v>0</v>
      </c>
      <c r="E99" s="235"/>
      <c r="F99" s="236"/>
      <c r="G99" s="237"/>
      <c r="H99" s="238"/>
      <c r="I99" s="238"/>
      <c r="J99" s="239">
        <f t="shared" ref="J99:J162" si="492">ROUND(J98*(365/12/7)*IF($S$4="5인 이상",1.5,1),0)</f>
        <v>0</v>
      </c>
      <c r="K99" s="239">
        <f t="shared" ref="K99:K162" si="493">ROUND(K98*IF($S$4="5인 이상",1.5,1),0)</f>
        <v>0</v>
      </c>
      <c r="L99" s="239">
        <f t="shared" ref="L99:L162" si="494">ROUND(L98*IF($S$4="5인 이상",1.5,1)+L98*IF($S$4="5인 이상",0.5,1),0)</f>
        <v>0</v>
      </c>
      <c r="M99" s="240"/>
      <c r="N99" s="236"/>
      <c r="O99" s="241"/>
      <c r="P99" s="241"/>
      <c r="Q99" s="241"/>
      <c r="R99" s="241"/>
      <c r="S99" s="241"/>
      <c r="T99" s="241"/>
      <c r="U99" s="241"/>
    </row>
    <row r="100" spans="2:21" ht="21.5" customHeight="1">
      <c r="B100" s="225">
        <f>'임금대장 양식'!B100</f>
        <v>0</v>
      </c>
      <c r="C100" s="225" cm="1">
        <f t="array" ref="C100:C101">'임금대장 양식'!C100:C101</f>
        <v>0</v>
      </c>
      <c r="D100" s="225">
        <f>'임금대장 양식'!D100</f>
        <v>0</v>
      </c>
      <c r="E100" s="226">
        <f>'임금대장 양식'!E100</f>
        <v>0</v>
      </c>
      <c r="F100" s="227">
        <f>'임금대장 양식'!F100</f>
        <v>0</v>
      </c>
      <c r="G100" s="228">
        <f t="shared" ref="G100" si="495">IFERROR((F100)/M100,0)</f>
        <v>0</v>
      </c>
      <c r="H100" s="229">
        <f t="shared" ref="H100:H163" si="496">IF(F100=0,0,ROUND((8*5)*(365/12/7),0))</f>
        <v>0</v>
      </c>
      <c r="I100" s="229">
        <f t="shared" ref="I100:I163" si="497">IF(F100=0,0,ROUND(8*365/12/7,0))</f>
        <v>0</v>
      </c>
      <c r="J100" s="230">
        <f>'임금대장 양식'!J100</f>
        <v>0</v>
      </c>
      <c r="K100" s="231">
        <f>'임금대장 양식'!K100</f>
        <v>0</v>
      </c>
      <c r="L100" s="231">
        <f>'임금대장 양식'!L100</f>
        <v>0</v>
      </c>
      <c r="M100" s="232">
        <f t="shared" ref="M100:M163" si="498">H100+I100+J101+K101+L101</f>
        <v>0</v>
      </c>
      <c r="N100" s="227">
        <f t="shared" ref="N100:N163" si="499">IF(G100=0,0,G100*(H100+I100)-(R100+S100+T100+U100))</f>
        <v>0</v>
      </c>
      <c r="O100" s="233">
        <f t="shared" ref="O100:O163" si="500">G100*J101</f>
        <v>0</v>
      </c>
      <c r="P100" s="233">
        <f t="shared" ref="P100:P163" si="501">G100*K101</f>
        <v>0</v>
      </c>
      <c r="Q100" s="233">
        <f t="shared" ref="Q100:Q163" si="502">G100*L101</f>
        <v>0</v>
      </c>
      <c r="R100" s="233">
        <f>'임금대장 양식'!R100</f>
        <v>0</v>
      </c>
      <c r="S100" s="233">
        <f>'임금대장 양식'!S100</f>
        <v>0</v>
      </c>
      <c r="T100" s="233">
        <f>'임금대장 양식'!T100</f>
        <v>0</v>
      </c>
      <c r="U100" s="233">
        <f>'임금대장 양식'!U100</f>
        <v>0</v>
      </c>
    </row>
    <row r="101" spans="2:21" ht="21.5" customHeight="1">
      <c r="B101" s="234"/>
      <c r="C101" s="234">
        <v>0</v>
      </c>
      <c r="D101" s="210">
        <f>'임금대장 양식'!D101</f>
        <v>0</v>
      </c>
      <c r="E101" s="235"/>
      <c r="F101" s="236"/>
      <c r="G101" s="237"/>
      <c r="H101" s="238"/>
      <c r="I101" s="238"/>
      <c r="J101" s="239">
        <f t="shared" ref="J101:J164" si="503">ROUND(J100*(365/12/7)*IF($S$4="5인 이상",1.5,1),0)</f>
        <v>0</v>
      </c>
      <c r="K101" s="239">
        <f t="shared" ref="K101:K164" si="504">ROUND(K100*IF($S$4="5인 이상",1.5,1),0)</f>
        <v>0</v>
      </c>
      <c r="L101" s="239">
        <f t="shared" ref="L101:L164" si="505">ROUND(L100*IF($S$4="5인 이상",1.5,1)+L100*IF($S$4="5인 이상",0.5,1),0)</f>
        <v>0</v>
      </c>
      <c r="M101" s="240"/>
      <c r="N101" s="236"/>
      <c r="O101" s="241"/>
      <c r="P101" s="241"/>
      <c r="Q101" s="241"/>
      <c r="R101" s="241"/>
      <c r="S101" s="241"/>
      <c r="T101" s="241"/>
      <c r="U101" s="241"/>
    </row>
    <row r="102" spans="2:21" ht="21.5" customHeight="1">
      <c r="B102" s="225">
        <f>'임금대장 양식'!B102</f>
        <v>0</v>
      </c>
      <c r="C102" s="225" cm="1">
        <f t="array" ref="C102:C103">'임금대장 양식'!C102:C103</f>
        <v>0</v>
      </c>
      <c r="D102" s="225">
        <f>'임금대장 양식'!D102</f>
        <v>0</v>
      </c>
      <c r="E102" s="226">
        <f>'임금대장 양식'!E102</f>
        <v>0</v>
      </c>
      <c r="F102" s="227">
        <f>'임금대장 양식'!F102</f>
        <v>0</v>
      </c>
      <c r="G102" s="228">
        <f t="shared" ref="G102" si="506">IFERROR((F102)/M102,0)</f>
        <v>0</v>
      </c>
      <c r="H102" s="229">
        <f t="shared" ref="H102:H165" si="507">IF(F102=0,0,ROUND((8*5)*(365/12/7),0))</f>
        <v>0</v>
      </c>
      <c r="I102" s="229">
        <f t="shared" ref="I102:I165" si="508">IF(F102=0,0,ROUND(8*365/12/7,0))</f>
        <v>0</v>
      </c>
      <c r="J102" s="230">
        <f>'임금대장 양식'!J102</f>
        <v>0</v>
      </c>
      <c r="K102" s="231">
        <f>'임금대장 양식'!K102</f>
        <v>0</v>
      </c>
      <c r="L102" s="231">
        <f>'임금대장 양식'!L102</f>
        <v>0</v>
      </c>
      <c r="M102" s="232">
        <f t="shared" ref="M102:M165" si="509">H102+I102+J103+K103+L103</f>
        <v>0</v>
      </c>
      <c r="N102" s="227">
        <f t="shared" ref="N102:N165" si="510">IF(G102=0,0,G102*(H102+I102)-(R102+S102+T102+U102))</f>
        <v>0</v>
      </c>
      <c r="O102" s="233">
        <f t="shared" ref="O102:O165" si="511">G102*J103</f>
        <v>0</v>
      </c>
      <c r="P102" s="233">
        <f t="shared" ref="P102:P165" si="512">G102*K103</f>
        <v>0</v>
      </c>
      <c r="Q102" s="233">
        <f t="shared" ref="Q102:Q165" si="513">G102*L103</f>
        <v>0</v>
      </c>
      <c r="R102" s="233">
        <f>'임금대장 양식'!R102</f>
        <v>0</v>
      </c>
      <c r="S102" s="233">
        <f>'임금대장 양식'!S102</f>
        <v>0</v>
      </c>
      <c r="T102" s="233">
        <f>'임금대장 양식'!T102</f>
        <v>0</v>
      </c>
      <c r="U102" s="233">
        <f>'임금대장 양식'!U102</f>
        <v>0</v>
      </c>
    </row>
    <row r="103" spans="2:21" ht="21.5" customHeight="1">
      <c r="B103" s="234"/>
      <c r="C103" s="234">
        <v>0</v>
      </c>
      <c r="D103" s="210">
        <f>'임금대장 양식'!D103</f>
        <v>0</v>
      </c>
      <c r="E103" s="235"/>
      <c r="F103" s="236"/>
      <c r="G103" s="237"/>
      <c r="H103" s="238"/>
      <c r="I103" s="238"/>
      <c r="J103" s="239">
        <f t="shared" ref="J103:J166" si="514">ROUND(J102*(365/12/7)*IF($S$4="5인 이상",1.5,1),0)</f>
        <v>0</v>
      </c>
      <c r="K103" s="239">
        <f t="shared" ref="K103:K166" si="515">ROUND(K102*IF($S$4="5인 이상",1.5,1),0)</f>
        <v>0</v>
      </c>
      <c r="L103" s="239">
        <f t="shared" ref="L103:L166" si="516">ROUND(L102*IF($S$4="5인 이상",1.5,1)+L102*IF($S$4="5인 이상",0.5,1),0)</f>
        <v>0</v>
      </c>
      <c r="M103" s="240"/>
      <c r="N103" s="236"/>
      <c r="O103" s="241"/>
      <c r="P103" s="241"/>
      <c r="Q103" s="241"/>
      <c r="R103" s="241"/>
      <c r="S103" s="241"/>
      <c r="T103" s="241"/>
      <c r="U103" s="241"/>
    </row>
    <row r="104" spans="2:21" ht="21.5" customHeight="1">
      <c r="B104" s="225">
        <f>'임금대장 양식'!B104</f>
        <v>0</v>
      </c>
      <c r="C104" s="225" cm="1">
        <f t="array" ref="C104:C105">'임금대장 양식'!C104:C105</f>
        <v>0</v>
      </c>
      <c r="D104" s="225">
        <f>'임금대장 양식'!D104</f>
        <v>0</v>
      </c>
      <c r="E104" s="226">
        <f>'임금대장 양식'!E104</f>
        <v>0</v>
      </c>
      <c r="F104" s="227">
        <f>'임금대장 양식'!F104</f>
        <v>0</v>
      </c>
      <c r="G104" s="228">
        <f t="shared" ref="G104" si="517">IFERROR((F104)/M104,0)</f>
        <v>0</v>
      </c>
      <c r="H104" s="229">
        <f t="shared" ref="H104:H167" si="518">IF(F104=0,0,ROUND((8*5)*(365/12/7),0))</f>
        <v>0</v>
      </c>
      <c r="I104" s="229">
        <f t="shared" ref="I104:I167" si="519">IF(F104=0,0,ROUND(8*365/12/7,0))</f>
        <v>0</v>
      </c>
      <c r="J104" s="230">
        <f>'임금대장 양식'!J104</f>
        <v>0</v>
      </c>
      <c r="K104" s="231">
        <f>'임금대장 양식'!K104</f>
        <v>0</v>
      </c>
      <c r="L104" s="231">
        <f>'임금대장 양식'!L104</f>
        <v>0</v>
      </c>
      <c r="M104" s="232">
        <f t="shared" ref="M104:M167" si="520">H104+I104+J105+K105+L105</f>
        <v>0</v>
      </c>
      <c r="N104" s="227">
        <f t="shared" ref="N104:N167" si="521">IF(G104=0,0,G104*(H104+I104)-(R104+S104+T104+U104))</f>
        <v>0</v>
      </c>
      <c r="O104" s="233">
        <f t="shared" ref="O104:O167" si="522">G104*J105</f>
        <v>0</v>
      </c>
      <c r="P104" s="233">
        <f t="shared" ref="P104:P167" si="523">G104*K105</f>
        <v>0</v>
      </c>
      <c r="Q104" s="233">
        <f t="shared" ref="Q104:Q167" si="524">G104*L105</f>
        <v>0</v>
      </c>
      <c r="R104" s="233">
        <f>'임금대장 양식'!R104</f>
        <v>0</v>
      </c>
      <c r="S104" s="233">
        <f>'임금대장 양식'!S104</f>
        <v>0</v>
      </c>
      <c r="T104" s="233">
        <f>'임금대장 양식'!T104</f>
        <v>0</v>
      </c>
      <c r="U104" s="233">
        <f>'임금대장 양식'!U104</f>
        <v>0</v>
      </c>
    </row>
    <row r="105" spans="2:21" ht="21.5" customHeight="1">
      <c r="B105" s="234"/>
      <c r="C105" s="234">
        <v>0</v>
      </c>
      <c r="D105" s="210">
        <f>'임금대장 양식'!D105</f>
        <v>0</v>
      </c>
      <c r="E105" s="235"/>
      <c r="F105" s="236"/>
      <c r="G105" s="237"/>
      <c r="H105" s="238"/>
      <c r="I105" s="238"/>
      <c r="J105" s="239">
        <f t="shared" ref="J105:J168" si="525">ROUND(J104*(365/12/7)*IF($S$4="5인 이상",1.5,1),0)</f>
        <v>0</v>
      </c>
      <c r="K105" s="239">
        <f t="shared" ref="K105:K168" si="526">ROUND(K104*IF($S$4="5인 이상",1.5,1),0)</f>
        <v>0</v>
      </c>
      <c r="L105" s="239">
        <f t="shared" ref="L105:L168" si="527">ROUND(L104*IF($S$4="5인 이상",1.5,1)+L104*IF($S$4="5인 이상",0.5,1),0)</f>
        <v>0</v>
      </c>
      <c r="M105" s="240"/>
      <c r="N105" s="236"/>
      <c r="O105" s="241"/>
      <c r="P105" s="241"/>
      <c r="Q105" s="241"/>
      <c r="R105" s="241"/>
      <c r="S105" s="241"/>
      <c r="T105" s="241"/>
      <c r="U105" s="241"/>
    </row>
    <row r="106" spans="2:21" ht="21.5" customHeight="1">
      <c r="B106" s="225">
        <f>'임금대장 양식'!B106</f>
        <v>0</v>
      </c>
      <c r="C106" s="225" cm="1">
        <f t="array" ref="C106:C107">'임금대장 양식'!C106:C107</f>
        <v>0</v>
      </c>
      <c r="D106" s="225">
        <f>'임금대장 양식'!D106</f>
        <v>0</v>
      </c>
      <c r="E106" s="226">
        <f>'임금대장 양식'!E106</f>
        <v>0</v>
      </c>
      <c r="F106" s="227">
        <f>'임금대장 양식'!F106</f>
        <v>0</v>
      </c>
      <c r="G106" s="228">
        <f t="shared" ref="G106" si="528">IFERROR((F106)/M106,0)</f>
        <v>0</v>
      </c>
      <c r="H106" s="229">
        <f t="shared" ref="H106:H169" si="529">IF(F106=0,0,ROUND((8*5)*(365/12/7),0))</f>
        <v>0</v>
      </c>
      <c r="I106" s="229">
        <f t="shared" ref="I106:I169" si="530">IF(F106=0,0,ROUND(8*365/12/7,0))</f>
        <v>0</v>
      </c>
      <c r="J106" s="230">
        <f>'임금대장 양식'!J106</f>
        <v>0</v>
      </c>
      <c r="K106" s="231">
        <f>'임금대장 양식'!K106</f>
        <v>0</v>
      </c>
      <c r="L106" s="231">
        <f>'임금대장 양식'!L106</f>
        <v>0</v>
      </c>
      <c r="M106" s="232">
        <f t="shared" ref="M106:M169" si="531">H106+I106+J107+K107+L107</f>
        <v>0</v>
      </c>
      <c r="N106" s="227">
        <f t="shared" ref="N106:N169" si="532">IF(G106=0,0,G106*(H106+I106)-(R106+S106+T106+U106))</f>
        <v>0</v>
      </c>
      <c r="O106" s="233">
        <f t="shared" ref="O106:O169" si="533">G106*J107</f>
        <v>0</v>
      </c>
      <c r="P106" s="233">
        <f t="shared" ref="P106:P169" si="534">G106*K107</f>
        <v>0</v>
      </c>
      <c r="Q106" s="233">
        <f t="shared" ref="Q106:Q169" si="535">G106*L107</f>
        <v>0</v>
      </c>
      <c r="R106" s="233">
        <f>'임금대장 양식'!R106</f>
        <v>0</v>
      </c>
      <c r="S106" s="233">
        <f>'임금대장 양식'!S106</f>
        <v>0</v>
      </c>
      <c r="T106" s="233">
        <f>'임금대장 양식'!T106</f>
        <v>0</v>
      </c>
      <c r="U106" s="233">
        <f>'임금대장 양식'!U106</f>
        <v>0</v>
      </c>
    </row>
    <row r="107" spans="2:21" ht="21.5" customHeight="1">
      <c r="B107" s="234"/>
      <c r="C107" s="234">
        <v>0</v>
      </c>
      <c r="D107" s="210">
        <f>'임금대장 양식'!D107</f>
        <v>0</v>
      </c>
      <c r="E107" s="235"/>
      <c r="F107" s="236"/>
      <c r="G107" s="237"/>
      <c r="H107" s="238"/>
      <c r="I107" s="238"/>
      <c r="J107" s="239">
        <f t="shared" ref="J107:J170" si="536">ROUND(J106*(365/12/7)*IF($S$4="5인 이상",1.5,1),0)</f>
        <v>0</v>
      </c>
      <c r="K107" s="239">
        <f t="shared" ref="K107:K170" si="537">ROUND(K106*IF($S$4="5인 이상",1.5,1),0)</f>
        <v>0</v>
      </c>
      <c r="L107" s="239">
        <f t="shared" ref="L107:L170" si="538">ROUND(L106*IF($S$4="5인 이상",1.5,1)+L106*IF($S$4="5인 이상",0.5,1),0)</f>
        <v>0</v>
      </c>
      <c r="M107" s="240"/>
      <c r="N107" s="236"/>
      <c r="O107" s="241"/>
      <c r="P107" s="241"/>
      <c r="Q107" s="241"/>
      <c r="R107" s="241"/>
      <c r="S107" s="241"/>
      <c r="T107" s="241"/>
      <c r="U107" s="241"/>
    </row>
    <row r="108" spans="2:21" ht="21.5" customHeight="1">
      <c r="B108" s="225">
        <f>'임금대장 양식'!B108</f>
        <v>0</v>
      </c>
      <c r="C108" s="225" cm="1">
        <f t="array" ref="C108:C109">'임금대장 양식'!C108:C109</f>
        <v>0</v>
      </c>
      <c r="D108" s="225">
        <f>'임금대장 양식'!D108</f>
        <v>0</v>
      </c>
      <c r="E108" s="226">
        <f>'임금대장 양식'!E108</f>
        <v>0</v>
      </c>
      <c r="F108" s="227">
        <f>'임금대장 양식'!F108</f>
        <v>0</v>
      </c>
      <c r="G108" s="228">
        <f t="shared" ref="G108" si="539">IFERROR((F108)/M108,0)</f>
        <v>0</v>
      </c>
      <c r="H108" s="229">
        <f t="shared" ref="H108:H171" si="540">IF(F108=0,0,ROUND((8*5)*(365/12/7),0))</f>
        <v>0</v>
      </c>
      <c r="I108" s="229">
        <f t="shared" ref="I108:I171" si="541">IF(F108=0,0,ROUND(8*365/12/7,0))</f>
        <v>0</v>
      </c>
      <c r="J108" s="230">
        <f>'임금대장 양식'!J108</f>
        <v>0</v>
      </c>
      <c r="K108" s="231">
        <f>'임금대장 양식'!K108</f>
        <v>0</v>
      </c>
      <c r="L108" s="231">
        <f>'임금대장 양식'!L108</f>
        <v>0</v>
      </c>
      <c r="M108" s="232">
        <f t="shared" ref="M108:M171" si="542">H108+I108+J109+K109+L109</f>
        <v>0</v>
      </c>
      <c r="N108" s="227">
        <f t="shared" ref="N108:N171" si="543">IF(G108=0,0,G108*(H108+I108)-(R108+S108+T108+U108))</f>
        <v>0</v>
      </c>
      <c r="O108" s="233">
        <f t="shared" ref="O108:O171" si="544">G108*J109</f>
        <v>0</v>
      </c>
      <c r="P108" s="233">
        <f t="shared" ref="P108:P171" si="545">G108*K109</f>
        <v>0</v>
      </c>
      <c r="Q108" s="233">
        <f t="shared" ref="Q108:Q171" si="546">G108*L109</f>
        <v>0</v>
      </c>
      <c r="R108" s="233">
        <f>'임금대장 양식'!R108</f>
        <v>0</v>
      </c>
      <c r="S108" s="233">
        <f>'임금대장 양식'!S108</f>
        <v>0</v>
      </c>
      <c r="T108" s="233">
        <f>'임금대장 양식'!T108</f>
        <v>0</v>
      </c>
      <c r="U108" s="233">
        <f>'임금대장 양식'!U108</f>
        <v>0</v>
      </c>
    </row>
    <row r="109" spans="2:21" ht="21.5" customHeight="1">
      <c r="B109" s="234"/>
      <c r="C109" s="234">
        <v>0</v>
      </c>
      <c r="D109" s="210">
        <f>'임금대장 양식'!D109</f>
        <v>0</v>
      </c>
      <c r="E109" s="235"/>
      <c r="F109" s="236"/>
      <c r="G109" s="237"/>
      <c r="H109" s="238"/>
      <c r="I109" s="238"/>
      <c r="J109" s="239">
        <f t="shared" ref="J109:J172" si="547">ROUND(J108*(365/12/7)*IF($S$4="5인 이상",1.5,1),0)</f>
        <v>0</v>
      </c>
      <c r="K109" s="239">
        <f t="shared" ref="K109:K172" si="548">ROUND(K108*IF($S$4="5인 이상",1.5,1),0)</f>
        <v>0</v>
      </c>
      <c r="L109" s="239">
        <f t="shared" ref="L109:L172" si="549">ROUND(L108*IF($S$4="5인 이상",1.5,1)+L108*IF($S$4="5인 이상",0.5,1),0)</f>
        <v>0</v>
      </c>
      <c r="M109" s="240"/>
      <c r="N109" s="236"/>
      <c r="O109" s="241"/>
      <c r="P109" s="241"/>
      <c r="Q109" s="241"/>
      <c r="R109" s="241"/>
      <c r="S109" s="241"/>
      <c r="T109" s="241"/>
      <c r="U109" s="241"/>
    </row>
    <row r="110" spans="2:21" ht="21.5" customHeight="1">
      <c r="B110" s="225">
        <f>'임금대장 양식'!B110</f>
        <v>0</v>
      </c>
      <c r="C110" s="225" cm="1">
        <f t="array" ref="C110:C111">'임금대장 양식'!C110:C111</f>
        <v>0</v>
      </c>
      <c r="D110" s="225">
        <f>'임금대장 양식'!D110</f>
        <v>0</v>
      </c>
      <c r="E110" s="226">
        <f>'임금대장 양식'!E110</f>
        <v>0</v>
      </c>
      <c r="F110" s="227">
        <f>'임금대장 양식'!F110</f>
        <v>0</v>
      </c>
      <c r="G110" s="228">
        <f t="shared" ref="G110" si="550">IFERROR((F110)/M110,0)</f>
        <v>0</v>
      </c>
      <c r="H110" s="229">
        <f t="shared" ref="H110:H173" si="551">IF(F110=0,0,ROUND((8*5)*(365/12/7),0))</f>
        <v>0</v>
      </c>
      <c r="I110" s="229">
        <f t="shared" ref="I110:I173" si="552">IF(F110=0,0,ROUND(8*365/12/7,0))</f>
        <v>0</v>
      </c>
      <c r="J110" s="230">
        <f>'임금대장 양식'!J110</f>
        <v>0</v>
      </c>
      <c r="K110" s="231">
        <f>'임금대장 양식'!K110</f>
        <v>0</v>
      </c>
      <c r="L110" s="231">
        <f>'임금대장 양식'!L110</f>
        <v>0</v>
      </c>
      <c r="M110" s="232">
        <f t="shared" ref="M110:M173" si="553">H110+I110+J111+K111+L111</f>
        <v>0</v>
      </c>
      <c r="N110" s="227">
        <f t="shared" ref="N110:N173" si="554">IF(G110=0,0,G110*(H110+I110)-(R110+S110+T110+U110))</f>
        <v>0</v>
      </c>
      <c r="O110" s="233">
        <f t="shared" ref="O110:O173" si="555">G110*J111</f>
        <v>0</v>
      </c>
      <c r="P110" s="233">
        <f t="shared" ref="P110:P173" si="556">G110*K111</f>
        <v>0</v>
      </c>
      <c r="Q110" s="233">
        <f t="shared" ref="Q110:Q173" si="557">G110*L111</f>
        <v>0</v>
      </c>
      <c r="R110" s="233">
        <f>'임금대장 양식'!R110</f>
        <v>0</v>
      </c>
      <c r="S110" s="233">
        <f>'임금대장 양식'!S110</f>
        <v>0</v>
      </c>
      <c r="T110" s="233">
        <f>'임금대장 양식'!T110</f>
        <v>0</v>
      </c>
      <c r="U110" s="233">
        <f>'임금대장 양식'!U110</f>
        <v>0</v>
      </c>
    </row>
    <row r="111" spans="2:21" ht="21.5" customHeight="1">
      <c r="B111" s="234"/>
      <c r="C111" s="234">
        <v>0</v>
      </c>
      <c r="D111" s="210">
        <f>'임금대장 양식'!D111</f>
        <v>0</v>
      </c>
      <c r="E111" s="235"/>
      <c r="F111" s="236"/>
      <c r="G111" s="237"/>
      <c r="H111" s="238"/>
      <c r="I111" s="238"/>
      <c r="J111" s="239">
        <f t="shared" ref="J111:J174" si="558">ROUND(J110*(365/12/7)*IF($S$4="5인 이상",1.5,1),0)</f>
        <v>0</v>
      </c>
      <c r="K111" s="239">
        <f t="shared" ref="K111:K174" si="559">ROUND(K110*IF($S$4="5인 이상",1.5,1),0)</f>
        <v>0</v>
      </c>
      <c r="L111" s="239">
        <f t="shared" ref="L111:L174" si="560">ROUND(L110*IF($S$4="5인 이상",1.5,1)+L110*IF($S$4="5인 이상",0.5,1),0)</f>
        <v>0</v>
      </c>
      <c r="M111" s="240"/>
      <c r="N111" s="236"/>
      <c r="O111" s="241"/>
      <c r="P111" s="241"/>
      <c r="Q111" s="241"/>
      <c r="R111" s="241"/>
      <c r="S111" s="241"/>
      <c r="T111" s="241"/>
      <c r="U111" s="241"/>
    </row>
    <row r="112" spans="2:21" ht="21.5" customHeight="1">
      <c r="B112" s="225">
        <f>'임금대장 양식'!B112</f>
        <v>0</v>
      </c>
      <c r="C112" s="225" cm="1">
        <f t="array" ref="C112:C113">'임금대장 양식'!C112:C113</f>
        <v>0</v>
      </c>
      <c r="D112" s="225">
        <f>'임금대장 양식'!D112</f>
        <v>0</v>
      </c>
      <c r="E112" s="226">
        <f>'임금대장 양식'!E112</f>
        <v>0</v>
      </c>
      <c r="F112" s="227">
        <f>'임금대장 양식'!F112</f>
        <v>0</v>
      </c>
      <c r="G112" s="228">
        <f t="shared" ref="G112" si="561">IFERROR((F112)/M112,0)</f>
        <v>0</v>
      </c>
      <c r="H112" s="229">
        <f t="shared" ref="H112:H175" si="562">IF(F112=0,0,ROUND((8*5)*(365/12/7),0))</f>
        <v>0</v>
      </c>
      <c r="I112" s="229">
        <f t="shared" ref="I112:I175" si="563">IF(F112=0,0,ROUND(8*365/12/7,0))</f>
        <v>0</v>
      </c>
      <c r="J112" s="230">
        <f>'임금대장 양식'!J112</f>
        <v>0</v>
      </c>
      <c r="K112" s="231">
        <f>'임금대장 양식'!K112</f>
        <v>0</v>
      </c>
      <c r="L112" s="231">
        <f>'임금대장 양식'!L112</f>
        <v>0</v>
      </c>
      <c r="M112" s="232">
        <f t="shared" ref="M112:M175" si="564">H112+I112+J113+K113+L113</f>
        <v>0</v>
      </c>
      <c r="N112" s="227">
        <f t="shared" ref="N112:N175" si="565">IF(G112=0,0,G112*(H112+I112)-(R112+S112+T112+U112))</f>
        <v>0</v>
      </c>
      <c r="O112" s="233">
        <f t="shared" ref="O112:O175" si="566">G112*J113</f>
        <v>0</v>
      </c>
      <c r="P112" s="233">
        <f t="shared" ref="P112:P175" si="567">G112*K113</f>
        <v>0</v>
      </c>
      <c r="Q112" s="233">
        <f t="shared" ref="Q112:Q175" si="568">G112*L113</f>
        <v>0</v>
      </c>
      <c r="R112" s="233">
        <f>'임금대장 양식'!R112</f>
        <v>0</v>
      </c>
      <c r="S112" s="233">
        <f>'임금대장 양식'!S112</f>
        <v>0</v>
      </c>
      <c r="T112" s="233">
        <f>'임금대장 양식'!T112</f>
        <v>0</v>
      </c>
      <c r="U112" s="233">
        <f>'임금대장 양식'!U112</f>
        <v>0</v>
      </c>
    </row>
    <row r="113" spans="2:21" ht="21.5" customHeight="1">
      <c r="B113" s="234"/>
      <c r="C113" s="234">
        <v>0</v>
      </c>
      <c r="D113" s="210">
        <f>'임금대장 양식'!D113</f>
        <v>0</v>
      </c>
      <c r="E113" s="235"/>
      <c r="F113" s="236"/>
      <c r="G113" s="237"/>
      <c r="H113" s="238"/>
      <c r="I113" s="238"/>
      <c r="J113" s="239">
        <f t="shared" ref="J113:J176" si="569">ROUND(J112*(365/12/7)*IF($S$4="5인 이상",1.5,1),0)</f>
        <v>0</v>
      </c>
      <c r="K113" s="239">
        <f t="shared" ref="K113:K176" si="570">ROUND(K112*IF($S$4="5인 이상",1.5,1),0)</f>
        <v>0</v>
      </c>
      <c r="L113" s="239">
        <f t="shared" ref="L113:L176" si="571">ROUND(L112*IF($S$4="5인 이상",1.5,1)+L112*IF($S$4="5인 이상",0.5,1),0)</f>
        <v>0</v>
      </c>
      <c r="M113" s="240"/>
      <c r="N113" s="236"/>
      <c r="O113" s="241"/>
      <c r="P113" s="241"/>
      <c r="Q113" s="241"/>
      <c r="R113" s="241"/>
      <c r="S113" s="241"/>
      <c r="T113" s="241"/>
      <c r="U113" s="241"/>
    </row>
    <row r="114" spans="2:21" ht="21.5" customHeight="1">
      <c r="B114" s="225">
        <f>'임금대장 양식'!B114</f>
        <v>0</v>
      </c>
      <c r="C114" s="225" cm="1">
        <f t="array" ref="C114:C115">'임금대장 양식'!C114:C115</f>
        <v>0</v>
      </c>
      <c r="D114" s="225">
        <f>'임금대장 양식'!D114</f>
        <v>0</v>
      </c>
      <c r="E114" s="226">
        <f>'임금대장 양식'!E114</f>
        <v>0</v>
      </c>
      <c r="F114" s="227">
        <f>'임금대장 양식'!F114</f>
        <v>0</v>
      </c>
      <c r="G114" s="228">
        <f t="shared" ref="G114" si="572">IFERROR((F114)/M114,0)</f>
        <v>0</v>
      </c>
      <c r="H114" s="229">
        <f t="shared" ref="H114:H177" si="573">IF(F114=0,0,ROUND((8*5)*(365/12/7),0))</f>
        <v>0</v>
      </c>
      <c r="I114" s="229">
        <f t="shared" ref="I114:I177" si="574">IF(F114=0,0,ROUND(8*365/12/7,0))</f>
        <v>0</v>
      </c>
      <c r="J114" s="230">
        <f>'임금대장 양식'!J114</f>
        <v>0</v>
      </c>
      <c r="K114" s="231">
        <f>'임금대장 양식'!K114</f>
        <v>0</v>
      </c>
      <c r="L114" s="231">
        <f>'임금대장 양식'!L114</f>
        <v>0</v>
      </c>
      <c r="M114" s="232">
        <f t="shared" ref="M114:M177" si="575">H114+I114+J115+K115+L115</f>
        <v>0</v>
      </c>
      <c r="N114" s="227">
        <f t="shared" ref="N114:N177" si="576">IF(G114=0,0,G114*(H114+I114)-(R114+S114+T114+U114))</f>
        <v>0</v>
      </c>
      <c r="O114" s="233">
        <f t="shared" ref="O114:O177" si="577">G114*J115</f>
        <v>0</v>
      </c>
      <c r="P114" s="233">
        <f t="shared" ref="P114:P177" si="578">G114*K115</f>
        <v>0</v>
      </c>
      <c r="Q114" s="233">
        <f t="shared" ref="Q114:Q177" si="579">G114*L115</f>
        <v>0</v>
      </c>
      <c r="R114" s="233">
        <f>'임금대장 양식'!R114</f>
        <v>0</v>
      </c>
      <c r="S114" s="233">
        <f>'임금대장 양식'!S114</f>
        <v>0</v>
      </c>
      <c r="T114" s="233">
        <f>'임금대장 양식'!T114</f>
        <v>0</v>
      </c>
      <c r="U114" s="233">
        <f>'임금대장 양식'!U114</f>
        <v>0</v>
      </c>
    </row>
    <row r="115" spans="2:21" ht="21.5" customHeight="1">
      <c r="B115" s="234"/>
      <c r="C115" s="234">
        <v>0</v>
      </c>
      <c r="D115" s="210">
        <f>'임금대장 양식'!D115</f>
        <v>0</v>
      </c>
      <c r="E115" s="235"/>
      <c r="F115" s="236"/>
      <c r="G115" s="237"/>
      <c r="H115" s="238"/>
      <c r="I115" s="238"/>
      <c r="J115" s="239">
        <f t="shared" ref="J115:J178" si="580">ROUND(J114*(365/12/7)*IF($S$4="5인 이상",1.5,1),0)</f>
        <v>0</v>
      </c>
      <c r="K115" s="239">
        <f t="shared" ref="K115:K178" si="581">ROUND(K114*IF($S$4="5인 이상",1.5,1),0)</f>
        <v>0</v>
      </c>
      <c r="L115" s="239">
        <f t="shared" ref="L115:L178" si="582">ROUND(L114*IF($S$4="5인 이상",1.5,1)+L114*IF($S$4="5인 이상",0.5,1),0)</f>
        <v>0</v>
      </c>
      <c r="M115" s="240"/>
      <c r="N115" s="236"/>
      <c r="O115" s="241"/>
      <c r="P115" s="241"/>
      <c r="Q115" s="241"/>
      <c r="R115" s="241"/>
      <c r="S115" s="241"/>
      <c r="T115" s="241"/>
      <c r="U115" s="241"/>
    </row>
    <row r="116" spans="2:21" ht="21.5" customHeight="1">
      <c r="B116" s="225">
        <f>'임금대장 양식'!B116</f>
        <v>0</v>
      </c>
      <c r="C116" s="225" cm="1">
        <f t="array" ref="C116:C117">'임금대장 양식'!C116:C117</f>
        <v>0</v>
      </c>
      <c r="D116" s="225">
        <f>'임금대장 양식'!D116</f>
        <v>0</v>
      </c>
      <c r="E116" s="226">
        <f>'임금대장 양식'!E116</f>
        <v>0</v>
      </c>
      <c r="F116" s="227">
        <f>'임금대장 양식'!F116</f>
        <v>0</v>
      </c>
      <c r="G116" s="228">
        <f t="shared" ref="G116" si="583">IFERROR((F116)/M116,0)</f>
        <v>0</v>
      </c>
      <c r="H116" s="229">
        <f t="shared" ref="H116:H179" si="584">IF(F116=0,0,ROUND((8*5)*(365/12/7),0))</f>
        <v>0</v>
      </c>
      <c r="I116" s="229">
        <f t="shared" ref="I116:I179" si="585">IF(F116=0,0,ROUND(8*365/12/7,0))</f>
        <v>0</v>
      </c>
      <c r="J116" s="230">
        <f>'임금대장 양식'!J116</f>
        <v>0</v>
      </c>
      <c r="K116" s="231">
        <f>'임금대장 양식'!K116</f>
        <v>0</v>
      </c>
      <c r="L116" s="231">
        <f>'임금대장 양식'!L116</f>
        <v>0</v>
      </c>
      <c r="M116" s="232">
        <f t="shared" ref="M116:M179" si="586">H116+I116+J117+K117+L117</f>
        <v>0</v>
      </c>
      <c r="N116" s="227">
        <f t="shared" ref="N116:N179" si="587">IF(G116=0,0,G116*(H116+I116)-(R116+S116+T116+U116))</f>
        <v>0</v>
      </c>
      <c r="O116" s="233">
        <f t="shared" ref="O116:O179" si="588">G116*J117</f>
        <v>0</v>
      </c>
      <c r="P116" s="233">
        <f t="shared" ref="P116:P179" si="589">G116*K117</f>
        <v>0</v>
      </c>
      <c r="Q116" s="233">
        <f t="shared" ref="Q116:Q179" si="590">G116*L117</f>
        <v>0</v>
      </c>
      <c r="R116" s="233">
        <f>'임금대장 양식'!R116</f>
        <v>0</v>
      </c>
      <c r="S116" s="233">
        <f>'임금대장 양식'!S116</f>
        <v>0</v>
      </c>
      <c r="T116" s="233">
        <f>'임금대장 양식'!T116</f>
        <v>0</v>
      </c>
      <c r="U116" s="233">
        <f>'임금대장 양식'!U116</f>
        <v>0</v>
      </c>
    </row>
    <row r="117" spans="2:21" ht="21.5" customHeight="1">
      <c r="B117" s="234"/>
      <c r="C117" s="234">
        <v>0</v>
      </c>
      <c r="D117" s="210">
        <f>'임금대장 양식'!D117</f>
        <v>0</v>
      </c>
      <c r="E117" s="235"/>
      <c r="F117" s="236"/>
      <c r="G117" s="237"/>
      <c r="H117" s="238"/>
      <c r="I117" s="238"/>
      <c r="J117" s="239">
        <f t="shared" ref="J117:J180" si="591">ROUND(J116*(365/12/7)*IF($S$4="5인 이상",1.5,1),0)</f>
        <v>0</v>
      </c>
      <c r="K117" s="239">
        <f t="shared" ref="K117:K180" si="592">ROUND(K116*IF($S$4="5인 이상",1.5,1),0)</f>
        <v>0</v>
      </c>
      <c r="L117" s="239">
        <f t="shared" ref="L117:L180" si="593">ROUND(L116*IF($S$4="5인 이상",1.5,1)+L116*IF($S$4="5인 이상",0.5,1),0)</f>
        <v>0</v>
      </c>
      <c r="M117" s="240"/>
      <c r="N117" s="236"/>
      <c r="O117" s="241"/>
      <c r="P117" s="241"/>
      <c r="Q117" s="241"/>
      <c r="R117" s="241"/>
      <c r="S117" s="241"/>
      <c r="T117" s="241"/>
      <c r="U117" s="241"/>
    </row>
    <row r="118" spans="2:21" ht="21.5" customHeight="1">
      <c r="B118" s="225">
        <f>'임금대장 양식'!B118</f>
        <v>0</v>
      </c>
      <c r="C118" s="225" cm="1">
        <f t="array" ref="C118:C119">'임금대장 양식'!C118:C119</f>
        <v>0</v>
      </c>
      <c r="D118" s="225">
        <f>'임금대장 양식'!D118</f>
        <v>0</v>
      </c>
      <c r="E118" s="226">
        <f>'임금대장 양식'!E118</f>
        <v>0</v>
      </c>
      <c r="F118" s="227">
        <f>'임금대장 양식'!F118</f>
        <v>0</v>
      </c>
      <c r="G118" s="228">
        <f t="shared" ref="G118" si="594">IFERROR((F118)/M118,0)</f>
        <v>0</v>
      </c>
      <c r="H118" s="229">
        <f t="shared" ref="H118:H181" si="595">IF(F118=0,0,ROUND((8*5)*(365/12/7),0))</f>
        <v>0</v>
      </c>
      <c r="I118" s="229">
        <f t="shared" ref="I118:I181" si="596">IF(F118=0,0,ROUND(8*365/12/7,0))</f>
        <v>0</v>
      </c>
      <c r="J118" s="230">
        <f>'임금대장 양식'!J118</f>
        <v>0</v>
      </c>
      <c r="K118" s="231">
        <f>'임금대장 양식'!K118</f>
        <v>0</v>
      </c>
      <c r="L118" s="231">
        <f>'임금대장 양식'!L118</f>
        <v>0</v>
      </c>
      <c r="M118" s="232">
        <f t="shared" ref="M118:M181" si="597">H118+I118+J119+K119+L119</f>
        <v>0</v>
      </c>
      <c r="N118" s="227">
        <f t="shared" ref="N118:N181" si="598">IF(G118=0,0,G118*(H118+I118)-(R118+S118+T118+U118))</f>
        <v>0</v>
      </c>
      <c r="O118" s="233">
        <f t="shared" ref="O118:O181" si="599">G118*J119</f>
        <v>0</v>
      </c>
      <c r="P118" s="233">
        <f t="shared" ref="P118:P181" si="600">G118*K119</f>
        <v>0</v>
      </c>
      <c r="Q118" s="233">
        <f t="shared" ref="Q118:Q181" si="601">G118*L119</f>
        <v>0</v>
      </c>
      <c r="R118" s="233">
        <f>'임금대장 양식'!R118</f>
        <v>0</v>
      </c>
      <c r="S118" s="233">
        <f>'임금대장 양식'!S118</f>
        <v>0</v>
      </c>
      <c r="T118" s="233">
        <f>'임금대장 양식'!T118</f>
        <v>0</v>
      </c>
      <c r="U118" s="233">
        <f>'임금대장 양식'!U118</f>
        <v>0</v>
      </c>
    </row>
    <row r="119" spans="2:21" ht="21.5" customHeight="1">
      <c r="B119" s="234"/>
      <c r="C119" s="234">
        <v>0</v>
      </c>
      <c r="D119" s="210">
        <f>'임금대장 양식'!D119</f>
        <v>0</v>
      </c>
      <c r="E119" s="235"/>
      <c r="F119" s="236"/>
      <c r="G119" s="237"/>
      <c r="H119" s="238"/>
      <c r="I119" s="238"/>
      <c r="J119" s="239">
        <f t="shared" ref="J119:J182" si="602">ROUND(J118*(365/12/7)*IF($S$4="5인 이상",1.5,1),0)</f>
        <v>0</v>
      </c>
      <c r="K119" s="239">
        <f t="shared" ref="K119:K182" si="603">ROUND(K118*IF($S$4="5인 이상",1.5,1),0)</f>
        <v>0</v>
      </c>
      <c r="L119" s="239">
        <f t="shared" ref="L119:L182" si="604">ROUND(L118*IF($S$4="5인 이상",1.5,1)+L118*IF($S$4="5인 이상",0.5,1),0)</f>
        <v>0</v>
      </c>
      <c r="M119" s="240"/>
      <c r="N119" s="236"/>
      <c r="O119" s="241"/>
      <c r="P119" s="241"/>
      <c r="Q119" s="241"/>
      <c r="R119" s="241"/>
      <c r="S119" s="241"/>
      <c r="T119" s="241"/>
      <c r="U119" s="241"/>
    </row>
    <row r="120" spans="2:21" ht="21.5" customHeight="1">
      <c r="B120" s="225">
        <f>'임금대장 양식'!B120</f>
        <v>0</v>
      </c>
      <c r="C120" s="225" cm="1">
        <f t="array" ref="C120:C121">'임금대장 양식'!C120:C121</f>
        <v>0</v>
      </c>
      <c r="D120" s="225">
        <f>'임금대장 양식'!D120</f>
        <v>0</v>
      </c>
      <c r="E120" s="226">
        <f>'임금대장 양식'!E120</f>
        <v>0</v>
      </c>
      <c r="F120" s="227">
        <f>'임금대장 양식'!F120</f>
        <v>0</v>
      </c>
      <c r="G120" s="228">
        <f t="shared" ref="G120" si="605">IFERROR((F120)/M120,0)</f>
        <v>0</v>
      </c>
      <c r="H120" s="229">
        <f t="shared" ref="H120:H183" si="606">IF(F120=0,0,ROUND((8*5)*(365/12/7),0))</f>
        <v>0</v>
      </c>
      <c r="I120" s="229">
        <f t="shared" ref="I120:I183" si="607">IF(F120=0,0,ROUND(8*365/12/7,0))</f>
        <v>0</v>
      </c>
      <c r="J120" s="230">
        <f>'임금대장 양식'!J120</f>
        <v>0</v>
      </c>
      <c r="K120" s="231">
        <f>'임금대장 양식'!K120</f>
        <v>0</v>
      </c>
      <c r="L120" s="231">
        <f>'임금대장 양식'!L120</f>
        <v>0</v>
      </c>
      <c r="M120" s="232">
        <f t="shared" ref="M120:M183" si="608">H120+I120+J121+K121+L121</f>
        <v>0</v>
      </c>
      <c r="N120" s="227">
        <f t="shared" ref="N120:N183" si="609">IF(G120=0,0,G120*(H120+I120)-(R120+S120+T120+U120))</f>
        <v>0</v>
      </c>
      <c r="O120" s="233">
        <f t="shared" ref="O120:O183" si="610">G120*J121</f>
        <v>0</v>
      </c>
      <c r="P120" s="233">
        <f t="shared" ref="P120:P183" si="611">G120*K121</f>
        <v>0</v>
      </c>
      <c r="Q120" s="233">
        <f t="shared" ref="Q120:Q183" si="612">G120*L121</f>
        <v>0</v>
      </c>
      <c r="R120" s="233">
        <f>'임금대장 양식'!R120</f>
        <v>0</v>
      </c>
      <c r="S120" s="233">
        <f>'임금대장 양식'!S120</f>
        <v>0</v>
      </c>
      <c r="T120" s="233">
        <f>'임금대장 양식'!T120</f>
        <v>0</v>
      </c>
      <c r="U120" s="233">
        <f>'임금대장 양식'!U120</f>
        <v>0</v>
      </c>
    </row>
    <row r="121" spans="2:21" ht="21.5" customHeight="1">
      <c r="B121" s="234"/>
      <c r="C121" s="234">
        <v>0</v>
      </c>
      <c r="D121" s="210">
        <f>'임금대장 양식'!D121</f>
        <v>0</v>
      </c>
      <c r="E121" s="235"/>
      <c r="F121" s="236"/>
      <c r="G121" s="237"/>
      <c r="H121" s="238"/>
      <c r="I121" s="238"/>
      <c r="J121" s="239">
        <f t="shared" ref="J121:J184" si="613">ROUND(J120*(365/12/7)*IF($S$4="5인 이상",1.5,1),0)</f>
        <v>0</v>
      </c>
      <c r="K121" s="239">
        <f t="shared" ref="K121:K184" si="614">ROUND(K120*IF($S$4="5인 이상",1.5,1),0)</f>
        <v>0</v>
      </c>
      <c r="L121" s="239">
        <f t="shared" ref="L121:L184" si="615">ROUND(L120*IF($S$4="5인 이상",1.5,1)+L120*IF($S$4="5인 이상",0.5,1),0)</f>
        <v>0</v>
      </c>
      <c r="M121" s="240"/>
      <c r="N121" s="236"/>
      <c r="O121" s="241"/>
      <c r="P121" s="241"/>
      <c r="Q121" s="241"/>
      <c r="R121" s="241"/>
      <c r="S121" s="241"/>
      <c r="T121" s="241"/>
      <c r="U121" s="241"/>
    </row>
    <row r="122" spans="2:21" ht="21.5" customHeight="1">
      <c r="B122" s="225">
        <f>'임금대장 양식'!B122</f>
        <v>0</v>
      </c>
      <c r="C122" s="225" cm="1">
        <f t="array" ref="C122:C123">'임금대장 양식'!C122:C123</f>
        <v>0</v>
      </c>
      <c r="D122" s="225">
        <f>'임금대장 양식'!D122</f>
        <v>0</v>
      </c>
      <c r="E122" s="226">
        <f>'임금대장 양식'!E122</f>
        <v>0</v>
      </c>
      <c r="F122" s="227">
        <f>'임금대장 양식'!F122</f>
        <v>0</v>
      </c>
      <c r="G122" s="228">
        <f t="shared" ref="G122" si="616">IFERROR((F122)/M122,0)</f>
        <v>0</v>
      </c>
      <c r="H122" s="229">
        <f t="shared" ref="H122:H185" si="617">IF(F122=0,0,ROUND((8*5)*(365/12/7),0))</f>
        <v>0</v>
      </c>
      <c r="I122" s="229">
        <f t="shared" ref="I122:I185" si="618">IF(F122=0,0,ROUND(8*365/12/7,0))</f>
        <v>0</v>
      </c>
      <c r="J122" s="230">
        <f>'임금대장 양식'!J122</f>
        <v>0</v>
      </c>
      <c r="K122" s="231">
        <f>'임금대장 양식'!K122</f>
        <v>0</v>
      </c>
      <c r="L122" s="231">
        <f>'임금대장 양식'!L122</f>
        <v>0</v>
      </c>
      <c r="M122" s="232">
        <f t="shared" ref="M122:M185" si="619">H122+I122+J123+K123+L123</f>
        <v>0</v>
      </c>
      <c r="N122" s="227">
        <f t="shared" ref="N122:N185" si="620">IF(G122=0,0,G122*(H122+I122)-(R122+S122+T122+U122))</f>
        <v>0</v>
      </c>
      <c r="O122" s="233">
        <f t="shared" ref="O122:O185" si="621">G122*J123</f>
        <v>0</v>
      </c>
      <c r="P122" s="233">
        <f t="shared" ref="P122:P185" si="622">G122*K123</f>
        <v>0</v>
      </c>
      <c r="Q122" s="233">
        <f t="shared" ref="Q122:Q185" si="623">G122*L123</f>
        <v>0</v>
      </c>
      <c r="R122" s="233">
        <f>'임금대장 양식'!R122</f>
        <v>0</v>
      </c>
      <c r="S122" s="233">
        <f>'임금대장 양식'!S122</f>
        <v>0</v>
      </c>
      <c r="T122" s="233">
        <f>'임금대장 양식'!T122</f>
        <v>0</v>
      </c>
      <c r="U122" s="233">
        <f>'임금대장 양식'!U122</f>
        <v>0</v>
      </c>
    </row>
    <row r="123" spans="2:21" ht="21.5" customHeight="1">
      <c r="B123" s="234"/>
      <c r="C123" s="234">
        <v>0</v>
      </c>
      <c r="D123" s="210">
        <f>'임금대장 양식'!D123</f>
        <v>0</v>
      </c>
      <c r="E123" s="235"/>
      <c r="F123" s="236"/>
      <c r="G123" s="237"/>
      <c r="H123" s="238"/>
      <c r="I123" s="238"/>
      <c r="J123" s="239">
        <f t="shared" ref="J123:J186" si="624">ROUND(J122*(365/12/7)*IF($S$4="5인 이상",1.5,1),0)</f>
        <v>0</v>
      </c>
      <c r="K123" s="239">
        <f t="shared" ref="K123:K186" si="625">ROUND(K122*IF($S$4="5인 이상",1.5,1),0)</f>
        <v>0</v>
      </c>
      <c r="L123" s="239">
        <f t="shared" ref="L123:L186" si="626">ROUND(L122*IF($S$4="5인 이상",1.5,1)+L122*IF($S$4="5인 이상",0.5,1),0)</f>
        <v>0</v>
      </c>
      <c r="M123" s="240"/>
      <c r="N123" s="236"/>
      <c r="O123" s="241"/>
      <c r="P123" s="241"/>
      <c r="Q123" s="241"/>
      <c r="R123" s="241"/>
      <c r="S123" s="241"/>
      <c r="T123" s="241"/>
      <c r="U123" s="241"/>
    </row>
    <row r="124" spans="2:21" ht="21.5" customHeight="1">
      <c r="B124" s="225">
        <f>'임금대장 양식'!B124</f>
        <v>0</v>
      </c>
      <c r="C124" s="225" cm="1">
        <f t="array" ref="C124:C125">'임금대장 양식'!C124:C125</f>
        <v>0</v>
      </c>
      <c r="D124" s="225">
        <f>'임금대장 양식'!D124</f>
        <v>0</v>
      </c>
      <c r="E124" s="226">
        <f>'임금대장 양식'!E124</f>
        <v>0</v>
      </c>
      <c r="F124" s="227">
        <f>'임금대장 양식'!F124</f>
        <v>0</v>
      </c>
      <c r="G124" s="228">
        <f t="shared" ref="G124" si="627">IFERROR((F124)/M124,0)</f>
        <v>0</v>
      </c>
      <c r="H124" s="229">
        <f t="shared" ref="H124:H187" si="628">IF(F124=0,0,ROUND((8*5)*(365/12/7),0))</f>
        <v>0</v>
      </c>
      <c r="I124" s="229">
        <f t="shared" ref="I124:I187" si="629">IF(F124=0,0,ROUND(8*365/12/7,0))</f>
        <v>0</v>
      </c>
      <c r="J124" s="230">
        <f>'임금대장 양식'!J124</f>
        <v>0</v>
      </c>
      <c r="K124" s="231">
        <f>'임금대장 양식'!K124</f>
        <v>0</v>
      </c>
      <c r="L124" s="231">
        <f>'임금대장 양식'!L124</f>
        <v>0</v>
      </c>
      <c r="M124" s="232">
        <f t="shared" ref="M124:M187" si="630">H124+I124+J125+K125+L125</f>
        <v>0</v>
      </c>
      <c r="N124" s="227">
        <f t="shared" ref="N124:N187" si="631">IF(G124=0,0,G124*(H124+I124)-(R124+S124+T124+U124))</f>
        <v>0</v>
      </c>
      <c r="O124" s="233">
        <f t="shared" ref="O124:O187" si="632">G124*J125</f>
        <v>0</v>
      </c>
      <c r="P124" s="233">
        <f t="shared" ref="P124:P187" si="633">G124*K125</f>
        <v>0</v>
      </c>
      <c r="Q124" s="233">
        <f t="shared" ref="Q124:Q187" si="634">G124*L125</f>
        <v>0</v>
      </c>
      <c r="R124" s="233">
        <f>'임금대장 양식'!R124</f>
        <v>0</v>
      </c>
      <c r="S124" s="233">
        <f>'임금대장 양식'!S124</f>
        <v>0</v>
      </c>
      <c r="T124" s="233">
        <f>'임금대장 양식'!T124</f>
        <v>0</v>
      </c>
      <c r="U124" s="233">
        <f>'임금대장 양식'!U124</f>
        <v>0</v>
      </c>
    </row>
    <row r="125" spans="2:21" ht="21.5" customHeight="1">
      <c r="B125" s="234"/>
      <c r="C125" s="234">
        <v>0</v>
      </c>
      <c r="D125" s="210">
        <f>'임금대장 양식'!D125</f>
        <v>0</v>
      </c>
      <c r="E125" s="235"/>
      <c r="F125" s="236"/>
      <c r="G125" s="237"/>
      <c r="H125" s="238"/>
      <c r="I125" s="238"/>
      <c r="J125" s="239">
        <f t="shared" ref="J125:J188" si="635">ROUND(J124*(365/12/7)*IF($S$4="5인 이상",1.5,1),0)</f>
        <v>0</v>
      </c>
      <c r="K125" s="239">
        <f t="shared" ref="K125:K188" si="636">ROUND(K124*IF($S$4="5인 이상",1.5,1),0)</f>
        <v>0</v>
      </c>
      <c r="L125" s="239">
        <f t="shared" ref="L125:L188" si="637">ROUND(L124*IF($S$4="5인 이상",1.5,1)+L124*IF($S$4="5인 이상",0.5,1),0)</f>
        <v>0</v>
      </c>
      <c r="M125" s="240"/>
      <c r="N125" s="236"/>
      <c r="O125" s="241"/>
      <c r="P125" s="241"/>
      <c r="Q125" s="241"/>
      <c r="R125" s="241"/>
      <c r="S125" s="241"/>
      <c r="T125" s="241"/>
      <c r="U125" s="241"/>
    </row>
    <row r="126" spans="2:21" ht="21.5" customHeight="1">
      <c r="B126" s="225">
        <f>'임금대장 양식'!B126</f>
        <v>0</v>
      </c>
      <c r="C126" s="225" cm="1">
        <f t="array" ref="C126:C127">'임금대장 양식'!C126:C127</f>
        <v>0</v>
      </c>
      <c r="D126" s="225">
        <f>'임금대장 양식'!D126</f>
        <v>0</v>
      </c>
      <c r="E126" s="226">
        <f>'임금대장 양식'!E126</f>
        <v>0</v>
      </c>
      <c r="F126" s="227">
        <f>'임금대장 양식'!F126</f>
        <v>0</v>
      </c>
      <c r="G126" s="228">
        <f t="shared" ref="G126" si="638">IFERROR((F126)/M126,0)</f>
        <v>0</v>
      </c>
      <c r="H126" s="229">
        <f t="shared" ref="H126:H189" si="639">IF(F126=0,0,ROUND((8*5)*(365/12/7),0))</f>
        <v>0</v>
      </c>
      <c r="I126" s="229">
        <f t="shared" ref="I126:I189" si="640">IF(F126=0,0,ROUND(8*365/12/7,0))</f>
        <v>0</v>
      </c>
      <c r="J126" s="230">
        <f>'임금대장 양식'!J126</f>
        <v>0</v>
      </c>
      <c r="K126" s="231">
        <f>'임금대장 양식'!K126</f>
        <v>0</v>
      </c>
      <c r="L126" s="231">
        <f>'임금대장 양식'!L126</f>
        <v>0</v>
      </c>
      <c r="M126" s="232">
        <f t="shared" ref="M126:M189" si="641">H126+I126+J127+K127+L127</f>
        <v>0</v>
      </c>
      <c r="N126" s="227">
        <f t="shared" ref="N126:N189" si="642">IF(G126=0,0,G126*(H126+I126)-(R126+S126+T126+U126))</f>
        <v>0</v>
      </c>
      <c r="O126" s="233">
        <f t="shared" ref="O126:O189" si="643">G126*J127</f>
        <v>0</v>
      </c>
      <c r="P126" s="233">
        <f t="shared" ref="P126:P189" si="644">G126*K127</f>
        <v>0</v>
      </c>
      <c r="Q126" s="233">
        <f t="shared" ref="Q126:Q189" si="645">G126*L127</f>
        <v>0</v>
      </c>
      <c r="R126" s="233">
        <f>'임금대장 양식'!R126</f>
        <v>0</v>
      </c>
      <c r="S126" s="233">
        <f>'임금대장 양식'!S126</f>
        <v>0</v>
      </c>
      <c r="T126" s="233">
        <f>'임금대장 양식'!T126</f>
        <v>0</v>
      </c>
      <c r="U126" s="233">
        <f>'임금대장 양식'!U126</f>
        <v>0</v>
      </c>
    </row>
    <row r="127" spans="2:21" ht="21.5" customHeight="1">
      <c r="B127" s="234"/>
      <c r="C127" s="234">
        <v>0</v>
      </c>
      <c r="D127" s="210">
        <f>'임금대장 양식'!D127</f>
        <v>0</v>
      </c>
      <c r="E127" s="235"/>
      <c r="F127" s="236"/>
      <c r="G127" s="237"/>
      <c r="H127" s="238"/>
      <c r="I127" s="238"/>
      <c r="J127" s="239">
        <f t="shared" ref="J127:J190" si="646">ROUND(J126*(365/12/7)*IF($S$4="5인 이상",1.5,1),0)</f>
        <v>0</v>
      </c>
      <c r="K127" s="239">
        <f t="shared" ref="K127:K190" si="647">ROUND(K126*IF($S$4="5인 이상",1.5,1),0)</f>
        <v>0</v>
      </c>
      <c r="L127" s="239">
        <f t="shared" ref="L127:L190" si="648">ROUND(L126*IF($S$4="5인 이상",1.5,1)+L126*IF($S$4="5인 이상",0.5,1),0)</f>
        <v>0</v>
      </c>
      <c r="M127" s="240"/>
      <c r="N127" s="236"/>
      <c r="O127" s="241"/>
      <c r="P127" s="241"/>
      <c r="Q127" s="241"/>
      <c r="R127" s="241"/>
      <c r="S127" s="241"/>
      <c r="T127" s="241"/>
      <c r="U127" s="241"/>
    </row>
    <row r="128" spans="2:21" ht="21.5" customHeight="1">
      <c r="B128" s="225">
        <f>'임금대장 양식'!B128</f>
        <v>0</v>
      </c>
      <c r="C128" s="225" cm="1">
        <f t="array" ref="C128:C129">'임금대장 양식'!C128:C129</f>
        <v>0</v>
      </c>
      <c r="D128" s="225">
        <f>'임금대장 양식'!D128</f>
        <v>0</v>
      </c>
      <c r="E128" s="226">
        <f>'임금대장 양식'!E128</f>
        <v>0</v>
      </c>
      <c r="F128" s="227">
        <f>'임금대장 양식'!F128</f>
        <v>0</v>
      </c>
      <c r="G128" s="228">
        <f t="shared" ref="G128" si="649">IFERROR((F128)/M128,0)</f>
        <v>0</v>
      </c>
      <c r="H128" s="229">
        <f t="shared" ref="H128:H191" si="650">IF(F128=0,0,ROUND((8*5)*(365/12/7),0))</f>
        <v>0</v>
      </c>
      <c r="I128" s="229">
        <f t="shared" ref="I128:I191" si="651">IF(F128=0,0,ROUND(8*365/12/7,0))</f>
        <v>0</v>
      </c>
      <c r="J128" s="230">
        <f>'임금대장 양식'!J128</f>
        <v>0</v>
      </c>
      <c r="K128" s="231">
        <f>'임금대장 양식'!K128</f>
        <v>0</v>
      </c>
      <c r="L128" s="231">
        <f>'임금대장 양식'!L128</f>
        <v>0</v>
      </c>
      <c r="M128" s="232">
        <f t="shared" ref="M128:M191" si="652">H128+I128+J129+K129+L129</f>
        <v>0</v>
      </c>
      <c r="N128" s="227">
        <f t="shared" ref="N128:N191" si="653">IF(G128=0,0,G128*(H128+I128)-(R128+S128+T128+U128))</f>
        <v>0</v>
      </c>
      <c r="O128" s="233">
        <f t="shared" ref="O128:O191" si="654">G128*J129</f>
        <v>0</v>
      </c>
      <c r="P128" s="233">
        <f t="shared" ref="P128:P191" si="655">G128*K129</f>
        <v>0</v>
      </c>
      <c r="Q128" s="233">
        <f t="shared" ref="Q128:Q191" si="656">G128*L129</f>
        <v>0</v>
      </c>
      <c r="R128" s="233">
        <f>'임금대장 양식'!R128</f>
        <v>0</v>
      </c>
      <c r="S128" s="233">
        <f>'임금대장 양식'!S128</f>
        <v>0</v>
      </c>
      <c r="T128" s="233">
        <f>'임금대장 양식'!T128</f>
        <v>0</v>
      </c>
      <c r="U128" s="233">
        <f>'임금대장 양식'!U128</f>
        <v>0</v>
      </c>
    </row>
    <row r="129" spans="2:21" ht="21.5" customHeight="1">
      <c r="B129" s="234"/>
      <c r="C129" s="234">
        <v>0</v>
      </c>
      <c r="D129" s="210">
        <f>'임금대장 양식'!D129</f>
        <v>0</v>
      </c>
      <c r="E129" s="235"/>
      <c r="F129" s="236"/>
      <c r="G129" s="237"/>
      <c r="H129" s="238"/>
      <c r="I129" s="238"/>
      <c r="J129" s="239">
        <f t="shared" ref="J129:J192" si="657">ROUND(J128*(365/12/7)*IF($S$4="5인 이상",1.5,1),0)</f>
        <v>0</v>
      </c>
      <c r="K129" s="239">
        <f t="shared" ref="K129:K192" si="658">ROUND(K128*IF($S$4="5인 이상",1.5,1),0)</f>
        <v>0</v>
      </c>
      <c r="L129" s="239">
        <f t="shared" ref="L129:L192" si="659">ROUND(L128*IF($S$4="5인 이상",1.5,1)+L128*IF($S$4="5인 이상",0.5,1),0)</f>
        <v>0</v>
      </c>
      <c r="M129" s="240"/>
      <c r="N129" s="236"/>
      <c r="O129" s="241"/>
      <c r="P129" s="241"/>
      <c r="Q129" s="241"/>
      <c r="R129" s="241"/>
      <c r="S129" s="241"/>
      <c r="T129" s="241"/>
      <c r="U129" s="241"/>
    </row>
    <row r="130" spans="2:21" ht="21.5" customHeight="1">
      <c r="B130" s="225">
        <f>'임금대장 양식'!B130</f>
        <v>0</v>
      </c>
      <c r="C130" s="225" cm="1">
        <f t="array" ref="C130:C131">'임금대장 양식'!C130:C131</f>
        <v>0</v>
      </c>
      <c r="D130" s="225">
        <f>'임금대장 양식'!D130</f>
        <v>0</v>
      </c>
      <c r="E130" s="226">
        <f>'임금대장 양식'!E130</f>
        <v>0</v>
      </c>
      <c r="F130" s="227">
        <f>'임금대장 양식'!F130</f>
        <v>0</v>
      </c>
      <c r="G130" s="228">
        <f t="shared" ref="G130" si="660">IFERROR((F130)/M130,0)</f>
        <v>0</v>
      </c>
      <c r="H130" s="229">
        <f t="shared" ref="H130:H193" si="661">IF(F130=0,0,ROUND((8*5)*(365/12/7),0))</f>
        <v>0</v>
      </c>
      <c r="I130" s="229">
        <f t="shared" ref="I130:I193" si="662">IF(F130=0,0,ROUND(8*365/12/7,0))</f>
        <v>0</v>
      </c>
      <c r="J130" s="230">
        <f>'임금대장 양식'!J130</f>
        <v>0</v>
      </c>
      <c r="K130" s="231">
        <f>'임금대장 양식'!K130</f>
        <v>0</v>
      </c>
      <c r="L130" s="231">
        <f>'임금대장 양식'!L130</f>
        <v>0</v>
      </c>
      <c r="M130" s="232">
        <f t="shared" ref="M130:M193" si="663">H130+I130+J131+K131+L131</f>
        <v>0</v>
      </c>
      <c r="N130" s="227">
        <f t="shared" ref="N130:N193" si="664">IF(G130=0,0,G130*(H130+I130)-(R130+S130+T130+U130))</f>
        <v>0</v>
      </c>
      <c r="O130" s="233">
        <f t="shared" ref="O130:O193" si="665">G130*J131</f>
        <v>0</v>
      </c>
      <c r="P130" s="233">
        <f t="shared" ref="P130:P193" si="666">G130*K131</f>
        <v>0</v>
      </c>
      <c r="Q130" s="233">
        <f t="shared" ref="Q130:Q193" si="667">G130*L131</f>
        <v>0</v>
      </c>
      <c r="R130" s="233">
        <f>'임금대장 양식'!R130</f>
        <v>0</v>
      </c>
      <c r="S130" s="233">
        <f>'임금대장 양식'!S130</f>
        <v>0</v>
      </c>
      <c r="T130" s="233">
        <f>'임금대장 양식'!T130</f>
        <v>0</v>
      </c>
      <c r="U130" s="233">
        <f>'임금대장 양식'!U130</f>
        <v>0</v>
      </c>
    </row>
    <row r="131" spans="2:21" ht="21.5" customHeight="1">
      <c r="B131" s="234"/>
      <c r="C131" s="234">
        <v>0</v>
      </c>
      <c r="D131" s="210">
        <f>'임금대장 양식'!D131</f>
        <v>0</v>
      </c>
      <c r="E131" s="235"/>
      <c r="F131" s="236"/>
      <c r="G131" s="237"/>
      <c r="H131" s="238"/>
      <c r="I131" s="238"/>
      <c r="J131" s="239">
        <f t="shared" ref="J131:J194" si="668">ROUND(J130*(365/12/7)*IF($S$4="5인 이상",1.5,1),0)</f>
        <v>0</v>
      </c>
      <c r="K131" s="239">
        <f t="shared" ref="K131:K194" si="669">ROUND(K130*IF($S$4="5인 이상",1.5,1),0)</f>
        <v>0</v>
      </c>
      <c r="L131" s="239">
        <f t="shared" ref="L131:L194" si="670">ROUND(L130*IF($S$4="5인 이상",1.5,1)+L130*IF($S$4="5인 이상",0.5,1),0)</f>
        <v>0</v>
      </c>
      <c r="M131" s="240"/>
      <c r="N131" s="236"/>
      <c r="O131" s="241"/>
      <c r="P131" s="241"/>
      <c r="Q131" s="241"/>
      <c r="R131" s="241"/>
      <c r="S131" s="241"/>
      <c r="T131" s="241"/>
      <c r="U131" s="241"/>
    </row>
    <row r="132" spans="2:21" ht="21.5" customHeight="1">
      <c r="B132" s="225">
        <f>'임금대장 양식'!B132</f>
        <v>0</v>
      </c>
      <c r="C132" s="225" cm="1">
        <f t="array" ref="C132:C133">'임금대장 양식'!C132:C133</f>
        <v>0</v>
      </c>
      <c r="D132" s="225">
        <f>'임금대장 양식'!D132</f>
        <v>0</v>
      </c>
      <c r="E132" s="226">
        <f>'임금대장 양식'!E132</f>
        <v>0</v>
      </c>
      <c r="F132" s="227">
        <f>'임금대장 양식'!F132</f>
        <v>0</v>
      </c>
      <c r="G132" s="228">
        <f t="shared" ref="G132" si="671">IFERROR((F132)/M132,0)</f>
        <v>0</v>
      </c>
      <c r="H132" s="229">
        <f t="shared" ref="H132:H195" si="672">IF(F132=0,0,ROUND((8*5)*(365/12/7),0))</f>
        <v>0</v>
      </c>
      <c r="I132" s="229">
        <f t="shared" ref="I132:I195" si="673">IF(F132=0,0,ROUND(8*365/12/7,0))</f>
        <v>0</v>
      </c>
      <c r="J132" s="230">
        <f>'임금대장 양식'!J132</f>
        <v>0</v>
      </c>
      <c r="K132" s="231">
        <f>'임금대장 양식'!K132</f>
        <v>0</v>
      </c>
      <c r="L132" s="231">
        <f>'임금대장 양식'!L132</f>
        <v>0</v>
      </c>
      <c r="M132" s="232">
        <f t="shared" ref="M132:M195" si="674">H132+I132+J133+K133+L133</f>
        <v>0</v>
      </c>
      <c r="N132" s="227">
        <f t="shared" ref="N132:N195" si="675">IF(G132=0,0,G132*(H132+I132)-(R132+S132+T132+U132))</f>
        <v>0</v>
      </c>
      <c r="O132" s="233">
        <f t="shared" ref="O132:O195" si="676">G132*J133</f>
        <v>0</v>
      </c>
      <c r="P132" s="233">
        <f t="shared" ref="P132:P195" si="677">G132*K133</f>
        <v>0</v>
      </c>
      <c r="Q132" s="233">
        <f t="shared" ref="Q132:Q195" si="678">G132*L133</f>
        <v>0</v>
      </c>
      <c r="R132" s="233">
        <f>'임금대장 양식'!R132</f>
        <v>0</v>
      </c>
      <c r="S132" s="233">
        <f>'임금대장 양식'!S132</f>
        <v>0</v>
      </c>
      <c r="T132" s="233">
        <f>'임금대장 양식'!T132</f>
        <v>0</v>
      </c>
      <c r="U132" s="233">
        <f>'임금대장 양식'!U132</f>
        <v>0</v>
      </c>
    </row>
    <row r="133" spans="2:21" ht="21.5" customHeight="1">
      <c r="B133" s="234"/>
      <c r="C133" s="234">
        <v>0</v>
      </c>
      <c r="D133" s="210">
        <f>'임금대장 양식'!D133</f>
        <v>0</v>
      </c>
      <c r="E133" s="235"/>
      <c r="F133" s="236"/>
      <c r="G133" s="237"/>
      <c r="H133" s="238"/>
      <c r="I133" s="238"/>
      <c r="J133" s="239">
        <f t="shared" ref="J133:J196" si="679">ROUND(J132*(365/12/7)*IF($S$4="5인 이상",1.5,1),0)</f>
        <v>0</v>
      </c>
      <c r="K133" s="239">
        <f t="shared" ref="K133:K196" si="680">ROUND(K132*IF($S$4="5인 이상",1.5,1),0)</f>
        <v>0</v>
      </c>
      <c r="L133" s="239">
        <f t="shared" ref="L133:L196" si="681">ROUND(L132*IF($S$4="5인 이상",1.5,1)+L132*IF($S$4="5인 이상",0.5,1),0)</f>
        <v>0</v>
      </c>
      <c r="M133" s="240"/>
      <c r="N133" s="236"/>
      <c r="O133" s="241"/>
      <c r="P133" s="241"/>
      <c r="Q133" s="241"/>
      <c r="R133" s="241"/>
      <c r="S133" s="241"/>
      <c r="T133" s="241"/>
      <c r="U133" s="241"/>
    </row>
    <row r="134" spans="2:21" ht="21.5" customHeight="1">
      <c r="B134" s="225">
        <f>'임금대장 양식'!B134</f>
        <v>0</v>
      </c>
      <c r="C134" s="225" cm="1">
        <f t="array" ref="C134:C135">'임금대장 양식'!C134:C135</f>
        <v>0</v>
      </c>
      <c r="D134" s="225">
        <f>'임금대장 양식'!D134</f>
        <v>0</v>
      </c>
      <c r="E134" s="226">
        <f>'임금대장 양식'!E134</f>
        <v>0</v>
      </c>
      <c r="F134" s="227">
        <f>'임금대장 양식'!F134</f>
        <v>0</v>
      </c>
      <c r="G134" s="228">
        <f t="shared" ref="G134" si="682">IFERROR((F134)/M134,0)</f>
        <v>0</v>
      </c>
      <c r="H134" s="229">
        <f t="shared" ref="H134:H197" si="683">IF(F134=0,0,ROUND((8*5)*(365/12/7),0))</f>
        <v>0</v>
      </c>
      <c r="I134" s="229">
        <f t="shared" ref="I134:I197" si="684">IF(F134=0,0,ROUND(8*365/12/7,0))</f>
        <v>0</v>
      </c>
      <c r="J134" s="230">
        <f>'임금대장 양식'!J134</f>
        <v>0</v>
      </c>
      <c r="K134" s="231">
        <f>'임금대장 양식'!K134</f>
        <v>0</v>
      </c>
      <c r="L134" s="231">
        <f>'임금대장 양식'!L134</f>
        <v>0</v>
      </c>
      <c r="M134" s="232">
        <f t="shared" ref="M134:M197" si="685">H134+I134+J135+K135+L135</f>
        <v>0</v>
      </c>
      <c r="N134" s="227">
        <f t="shared" ref="N134:N197" si="686">IF(G134=0,0,G134*(H134+I134)-(R134+S134+T134+U134))</f>
        <v>0</v>
      </c>
      <c r="O134" s="233">
        <f t="shared" ref="O134:O197" si="687">G134*J135</f>
        <v>0</v>
      </c>
      <c r="P134" s="233">
        <f t="shared" ref="P134:P197" si="688">G134*K135</f>
        <v>0</v>
      </c>
      <c r="Q134" s="233">
        <f t="shared" ref="Q134:Q197" si="689">G134*L135</f>
        <v>0</v>
      </c>
      <c r="R134" s="233">
        <f>'임금대장 양식'!R134</f>
        <v>0</v>
      </c>
      <c r="S134" s="233">
        <f>'임금대장 양식'!S134</f>
        <v>0</v>
      </c>
      <c r="T134" s="233">
        <f>'임금대장 양식'!T134</f>
        <v>0</v>
      </c>
      <c r="U134" s="233">
        <f>'임금대장 양식'!U134</f>
        <v>0</v>
      </c>
    </row>
    <row r="135" spans="2:21" ht="21.5" customHeight="1">
      <c r="B135" s="234"/>
      <c r="C135" s="234">
        <v>0</v>
      </c>
      <c r="D135" s="210">
        <f>'임금대장 양식'!D135</f>
        <v>0</v>
      </c>
      <c r="E135" s="235"/>
      <c r="F135" s="236"/>
      <c r="G135" s="237"/>
      <c r="H135" s="238"/>
      <c r="I135" s="238"/>
      <c r="J135" s="239">
        <f t="shared" ref="J135:J198" si="690">ROUND(J134*(365/12/7)*IF($S$4="5인 이상",1.5,1),0)</f>
        <v>0</v>
      </c>
      <c r="K135" s="239">
        <f t="shared" ref="K135:K198" si="691">ROUND(K134*IF($S$4="5인 이상",1.5,1),0)</f>
        <v>0</v>
      </c>
      <c r="L135" s="239">
        <f t="shared" ref="L135:L198" si="692">ROUND(L134*IF($S$4="5인 이상",1.5,1)+L134*IF($S$4="5인 이상",0.5,1),0)</f>
        <v>0</v>
      </c>
      <c r="M135" s="240"/>
      <c r="N135" s="236"/>
      <c r="O135" s="241"/>
      <c r="P135" s="241"/>
      <c r="Q135" s="241"/>
      <c r="R135" s="241"/>
      <c r="S135" s="241"/>
      <c r="T135" s="241"/>
      <c r="U135" s="241"/>
    </row>
    <row r="136" spans="2:21" ht="21.5" customHeight="1">
      <c r="B136" s="225">
        <f>'임금대장 양식'!B136</f>
        <v>0</v>
      </c>
      <c r="C136" s="225" cm="1">
        <f t="array" ref="C136:C137">'임금대장 양식'!C136:C137</f>
        <v>0</v>
      </c>
      <c r="D136" s="225">
        <f>'임금대장 양식'!D136</f>
        <v>0</v>
      </c>
      <c r="E136" s="226">
        <f>'임금대장 양식'!E136</f>
        <v>0</v>
      </c>
      <c r="F136" s="227">
        <f>'임금대장 양식'!F136</f>
        <v>0</v>
      </c>
      <c r="G136" s="228">
        <f t="shared" ref="G136" si="693">IFERROR((F136)/M136,0)</f>
        <v>0</v>
      </c>
      <c r="H136" s="229">
        <f t="shared" ref="H136:H199" si="694">IF(F136=0,0,ROUND((8*5)*(365/12/7),0))</f>
        <v>0</v>
      </c>
      <c r="I136" s="229">
        <f t="shared" ref="I136:I199" si="695">IF(F136=0,0,ROUND(8*365/12/7,0))</f>
        <v>0</v>
      </c>
      <c r="J136" s="230">
        <f>'임금대장 양식'!J136</f>
        <v>0</v>
      </c>
      <c r="K136" s="231">
        <f>'임금대장 양식'!K136</f>
        <v>0</v>
      </c>
      <c r="L136" s="231">
        <f>'임금대장 양식'!L136</f>
        <v>0</v>
      </c>
      <c r="M136" s="232">
        <f t="shared" ref="M136:M199" si="696">H136+I136+J137+K137+L137</f>
        <v>0</v>
      </c>
      <c r="N136" s="227">
        <f t="shared" ref="N136:N199" si="697">IF(G136=0,0,G136*(H136+I136)-(R136+S136+T136+U136))</f>
        <v>0</v>
      </c>
      <c r="O136" s="233">
        <f t="shared" ref="O136:O199" si="698">G136*J137</f>
        <v>0</v>
      </c>
      <c r="P136" s="233">
        <f t="shared" ref="P136:P199" si="699">G136*K137</f>
        <v>0</v>
      </c>
      <c r="Q136" s="233">
        <f t="shared" ref="Q136:Q199" si="700">G136*L137</f>
        <v>0</v>
      </c>
      <c r="R136" s="233">
        <f>'임금대장 양식'!R136</f>
        <v>0</v>
      </c>
      <c r="S136" s="233">
        <f>'임금대장 양식'!S136</f>
        <v>0</v>
      </c>
      <c r="T136" s="233">
        <f>'임금대장 양식'!T136</f>
        <v>0</v>
      </c>
      <c r="U136" s="233">
        <f>'임금대장 양식'!U136</f>
        <v>0</v>
      </c>
    </row>
    <row r="137" spans="2:21" ht="21.5" customHeight="1">
      <c r="B137" s="234"/>
      <c r="C137" s="234">
        <v>0</v>
      </c>
      <c r="D137" s="210">
        <f>'임금대장 양식'!D137</f>
        <v>0</v>
      </c>
      <c r="E137" s="235"/>
      <c r="F137" s="236"/>
      <c r="G137" s="237"/>
      <c r="H137" s="238"/>
      <c r="I137" s="238"/>
      <c r="J137" s="239">
        <f t="shared" ref="J137:J200" si="701">ROUND(J136*(365/12/7)*IF($S$4="5인 이상",1.5,1),0)</f>
        <v>0</v>
      </c>
      <c r="K137" s="239">
        <f t="shared" ref="K137:K200" si="702">ROUND(K136*IF($S$4="5인 이상",1.5,1),0)</f>
        <v>0</v>
      </c>
      <c r="L137" s="239">
        <f t="shared" ref="L137:L200" si="703">ROUND(L136*IF($S$4="5인 이상",1.5,1)+L136*IF($S$4="5인 이상",0.5,1),0)</f>
        <v>0</v>
      </c>
      <c r="M137" s="240"/>
      <c r="N137" s="236"/>
      <c r="O137" s="241"/>
      <c r="P137" s="241"/>
      <c r="Q137" s="241"/>
      <c r="R137" s="241"/>
      <c r="S137" s="241"/>
      <c r="T137" s="241"/>
      <c r="U137" s="241"/>
    </row>
    <row r="138" spans="2:21" ht="21.5" customHeight="1">
      <c r="B138" s="225">
        <f>'임금대장 양식'!B138</f>
        <v>0</v>
      </c>
      <c r="C138" s="225" cm="1">
        <f t="array" ref="C138:C139">'임금대장 양식'!C138:C139</f>
        <v>0</v>
      </c>
      <c r="D138" s="225">
        <f>'임금대장 양식'!D138</f>
        <v>0</v>
      </c>
      <c r="E138" s="226">
        <f>'임금대장 양식'!E138</f>
        <v>0</v>
      </c>
      <c r="F138" s="227">
        <f>'임금대장 양식'!F138</f>
        <v>0</v>
      </c>
      <c r="G138" s="228">
        <f t="shared" ref="G138" si="704">IFERROR((F138)/M138,0)</f>
        <v>0</v>
      </c>
      <c r="H138" s="229">
        <f t="shared" ref="H138:H201" si="705">IF(F138=0,0,ROUND((8*5)*(365/12/7),0))</f>
        <v>0</v>
      </c>
      <c r="I138" s="229">
        <f t="shared" ref="I138:I201" si="706">IF(F138=0,0,ROUND(8*365/12/7,0))</f>
        <v>0</v>
      </c>
      <c r="J138" s="230">
        <f>'임금대장 양식'!J138</f>
        <v>0</v>
      </c>
      <c r="K138" s="231">
        <f>'임금대장 양식'!K138</f>
        <v>0</v>
      </c>
      <c r="L138" s="231">
        <f>'임금대장 양식'!L138</f>
        <v>0</v>
      </c>
      <c r="M138" s="232">
        <f t="shared" ref="M138:M201" si="707">H138+I138+J139+K139+L139</f>
        <v>0</v>
      </c>
      <c r="N138" s="227">
        <f t="shared" ref="N138:N201" si="708">IF(G138=0,0,G138*(H138+I138)-(R138+S138+T138+U138))</f>
        <v>0</v>
      </c>
      <c r="O138" s="233">
        <f t="shared" ref="O138:O201" si="709">G138*J139</f>
        <v>0</v>
      </c>
      <c r="P138" s="233">
        <f t="shared" ref="P138:P201" si="710">G138*K139</f>
        <v>0</v>
      </c>
      <c r="Q138" s="233">
        <f t="shared" ref="Q138:Q201" si="711">G138*L139</f>
        <v>0</v>
      </c>
      <c r="R138" s="233">
        <f>'임금대장 양식'!R138</f>
        <v>0</v>
      </c>
      <c r="S138" s="233">
        <f>'임금대장 양식'!S138</f>
        <v>0</v>
      </c>
      <c r="T138" s="233">
        <f>'임금대장 양식'!T138</f>
        <v>0</v>
      </c>
      <c r="U138" s="233">
        <f>'임금대장 양식'!U138</f>
        <v>0</v>
      </c>
    </row>
    <row r="139" spans="2:21" ht="21.5" customHeight="1">
      <c r="B139" s="234"/>
      <c r="C139" s="234">
        <v>0</v>
      </c>
      <c r="D139" s="210">
        <f>'임금대장 양식'!D139</f>
        <v>0</v>
      </c>
      <c r="E139" s="235"/>
      <c r="F139" s="236"/>
      <c r="G139" s="237"/>
      <c r="H139" s="238"/>
      <c r="I139" s="238"/>
      <c r="J139" s="239">
        <f t="shared" ref="J139:J202" si="712">ROUND(J138*(365/12/7)*IF($S$4="5인 이상",1.5,1),0)</f>
        <v>0</v>
      </c>
      <c r="K139" s="239">
        <f t="shared" ref="K139:K202" si="713">ROUND(K138*IF($S$4="5인 이상",1.5,1),0)</f>
        <v>0</v>
      </c>
      <c r="L139" s="239">
        <f t="shared" ref="L139:L202" si="714">ROUND(L138*IF($S$4="5인 이상",1.5,1)+L138*IF($S$4="5인 이상",0.5,1),0)</f>
        <v>0</v>
      </c>
      <c r="M139" s="240"/>
      <c r="N139" s="236"/>
      <c r="O139" s="241"/>
      <c r="P139" s="241"/>
      <c r="Q139" s="241"/>
      <c r="R139" s="241"/>
      <c r="S139" s="241"/>
      <c r="T139" s="241"/>
      <c r="U139" s="241"/>
    </row>
    <row r="140" spans="2:21" ht="21.5" customHeight="1">
      <c r="B140" s="225">
        <f>'임금대장 양식'!B140</f>
        <v>0</v>
      </c>
      <c r="C140" s="225" cm="1">
        <f t="array" ref="C140:C141">'임금대장 양식'!C140:C141</f>
        <v>0</v>
      </c>
      <c r="D140" s="225">
        <f>'임금대장 양식'!D140</f>
        <v>0</v>
      </c>
      <c r="E140" s="226">
        <f>'임금대장 양식'!E140</f>
        <v>0</v>
      </c>
      <c r="F140" s="227">
        <f>'임금대장 양식'!F140</f>
        <v>0</v>
      </c>
      <c r="G140" s="228">
        <f t="shared" ref="G140" si="715">IFERROR((F140)/M140,0)</f>
        <v>0</v>
      </c>
      <c r="H140" s="229">
        <f t="shared" ref="H140:H203" si="716">IF(F140=0,0,ROUND((8*5)*(365/12/7),0))</f>
        <v>0</v>
      </c>
      <c r="I140" s="229">
        <f t="shared" ref="I140:I203" si="717">IF(F140=0,0,ROUND(8*365/12/7,0))</f>
        <v>0</v>
      </c>
      <c r="J140" s="230">
        <f>'임금대장 양식'!J140</f>
        <v>0</v>
      </c>
      <c r="K140" s="231">
        <f>'임금대장 양식'!K140</f>
        <v>0</v>
      </c>
      <c r="L140" s="231">
        <f>'임금대장 양식'!L140</f>
        <v>0</v>
      </c>
      <c r="M140" s="232">
        <f t="shared" ref="M140:M203" si="718">H140+I140+J141+K141+L141</f>
        <v>0</v>
      </c>
      <c r="N140" s="227">
        <f t="shared" ref="N140:N203" si="719">IF(G140=0,0,G140*(H140+I140)-(R140+S140+T140+U140))</f>
        <v>0</v>
      </c>
      <c r="O140" s="233">
        <f t="shared" ref="O140:O203" si="720">G140*J141</f>
        <v>0</v>
      </c>
      <c r="P140" s="233">
        <f t="shared" ref="P140:P203" si="721">G140*K141</f>
        <v>0</v>
      </c>
      <c r="Q140" s="233">
        <f t="shared" ref="Q140:Q203" si="722">G140*L141</f>
        <v>0</v>
      </c>
      <c r="R140" s="233">
        <f>'임금대장 양식'!R140</f>
        <v>0</v>
      </c>
      <c r="S140" s="233">
        <f>'임금대장 양식'!S140</f>
        <v>0</v>
      </c>
      <c r="T140" s="233">
        <f>'임금대장 양식'!T140</f>
        <v>0</v>
      </c>
      <c r="U140" s="233">
        <f>'임금대장 양식'!U140</f>
        <v>0</v>
      </c>
    </row>
    <row r="141" spans="2:21" ht="21.5" customHeight="1">
      <c r="B141" s="234"/>
      <c r="C141" s="234">
        <v>0</v>
      </c>
      <c r="D141" s="210">
        <f>'임금대장 양식'!D141</f>
        <v>0</v>
      </c>
      <c r="E141" s="235"/>
      <c r="F141" s="236"/>
      <c r="G141" s="237"/>
      <c r="H141" s="238"/>
      <c r="I141" s="238"/>
      <c r="J141" s="239">
        <f t="shared" ref="J141:J204" si="723">ROUND(J140*(365/12/7)*IF($S$4="5인 이상",1.5,1),0)</f>
        <v>0</v>
      </c>
      <c r="K141" s="239">
        <f t="shared" ref="K141:K204" si="724">ROUND(K140*IF($S$4="5인 이상",1.5,1),0)</f>
        <v>0</v>
      </c>
      <c r="L141" s="239">
        <f t="shared" ref="L141:L204" si="725">ROUND(L140*IF($S$4="5인 이상",1.5,1)+L140*IF($S$4="5인 이상",0.5,1),0)</f>
        <v>0</v>
      </c>
      <c r="M141" s="240"/>
      <c r="N141" s="236"/>
      <c r="O141" s="241"/>
      <c r="P141" s="241"/>
      <c r="Q141" s="241"/>
      <c r="R141" s="241"/>
      <c r="S141" s="241"/>
      <c r="T141" s="241"/>
      <c r="U141" s="241"/>
    </row>
    <row r="142" spans="2:21" ht="21.5" customHeight="1">
      <c r="B142" s="225">
        <f>'임금대장 양식'!B142</f>
        <v>0</v>
      </c>
      <c r="C142" s="225" cm="1">
        <f t="array" ref="C142:C143">'임금대장 양식'!C142:C143</f>
        <v>0</v>
      </c>
      <c r="D142" s="225">
        <f>'임금대장 양식'!D142</f>
        <v>0</v>
      </c>
      <c r="E142" s="226">
        <f>'임금대장 양식'!E142</f>
        <v>0</v>
      </c>
      <c r="F142" s="227">
        <f>'임금대장 양식'!F142</f>
        <v>0</v>
      </c>
      <c r="G142" s="228">
        <f t="shared" ref="G142" si="726">IFERROR((F142)/M142,0)</f>
        <v>0</v>
      </c>
      <c r="H142" s="229">
        <f t="shared" ref="H142:H205" si="727">IF(F142=0,0,ROUND((8*5)*(365/12/7),0))</f>
        <v>0</v>
      </c>
      <c r="I142" s="229">
        <f t="shared" ref="I142:I205" si="728">IF(F142=0,0,ROUND(8*365/12/7,0))</f>
        <v>0</v>
      </c>
      <c r="J142" s="230">
        <f>'임금대장 양식'!J142</f>
        <v>0</v>
      </c>
      <c r="K142" s="231">
        <f>'임금대장 양식'!K142</f>
        <v>0</v>
      </c>
      <c r="L142" s="231">
        <f>'임금대장 양식'!L142</f>
        <v>0</v>
      </c>
      <c r="M142" s="232">
        <f t="shared" ref="M142:M205" si="729">H142+I142+J143+K143+L143</f>
        <v>0</v>
      </c>
      <c r="N142" s="227">
        <f t="shared" ref="N142:N205" si="730">IF(G142=0,0,G142*(H142+I142)-(R142+S142+T142+U142))</f>
        <v>0</v>
      </c>
      <c r="O142" s="233">
        <f t="shared" ref="O142:O205" si="731">G142*J143</f>
        <v>0</v>
      </c>
      <c r="P142" s="233">
        <f t="shared" ref="P142:P205" si="732">G142*K143</f>
        <v>0</v>
      </c>
      <c r="Q142" s="233">
        <f t="shared" ref="Q142:Q205" si="733">G142*L143</f>
        <v>0</v>
      </c>
      <c r="R142" s="233">
        <f>'임금대장 양식'!R142</f>
        <v>0</v>
      </c>
      <c r="S142" s="233">
        <f>'임금대장 양식'!S142</f>
        <v>0</v>
      </c>
      <c r="T142" s="233">
        <f>'임금대장 양식'!T142</f>
        <v>0</v>
      </c>
      <c r="U142" s="233">
        <f>'임금대장 양식'!U142</f>
        <v>0</v>
      </c>
    </row>
    <row r="143" spans="2:21" ht="21.5" customHeight="1">
      <c r="B143" s="234"/>
      <c r="C143" s="234">
        <v>0</v>
      </c>
      <c r="D143" s="210">
        <f>'임금대장 양식'!D143</f>
        <v>0</v>
      </c>
      <c r="E143" s="235"/>
      <c r="F143" s="236"/>
      <c r="G143" s="237"/>
      <c r="H143" s="238"/>
      <c r="I143" s="238"/>
      <c r="J143" s="239">
        <f t="shared" ref="J143:J206" si="734">ROUND(J142*(365/12/7)*IF($S$4="5인 이상",1.5,1),0)</f>
        <v>0</v>
      </c>
      <c r="K143" s="239">
        <f t="shared" ref="K143:K206" si="735">ROUND(K142*IF($S$4="5인 이상",1.5,1),0)</f>
        <v>0</v>
      </c>
      <c r="L143" s="239">
        <f t="shared" ref="L143:L206" si="736">ROUND(L142*IF($S$4="5인 이상",1.5,1)+L142*IF($S$4="5인 이상",0.5,1),0)</f>
        <v>0</v>
      </c>
      <c r="M143" s="240"/>
      <c r="N143" s="236"/>
      <c r="O143" s="241"/>
      <c r="P143" s="241"/>
      <c r="Q143" s="241"/>
      <c r="R143" s="241"/>
      <c r="S143" s="241"/>
      <c r="T143" s="241"/>
      <c r="U143" s="241"/>
    </row>
    <row r="144" spans="2:21" ht="21.5" customHeight="1">
      <c r="B144" s="225">
        <f>'임금대장 양식'!B144</f>
        <v>0</v>
      </c>
      <c r="C144" s="225" cm="1">
        <f t="array" ref="C144:C145">'임금대장 양식'!C144:C145</f>
        <v>0</v>
      </c>
      <c r="D144" s="225">
        <f>'임금대장 양식'!D144</f>
        <v>0</v>
      </c>
      <c r="E144" s="226">
        <f>'임금대장 양식'!E144</f>
        <v>0</v>
      </c>
      <c r="F144" s="227">
        <f>'임금대장 양식'!F144</f>
        <v>0</v>
      </c>
      <c r="G144" s="228">
        <f t="shared" ref="G144" si="737">IFERROR((F144)/M144,0)</f>
        <v>0</v>
      </c>
      <c r="H144" s="229">
        <f t="shared" ref="H144:H207" si="738">IF(F144=0,0,ROUND((8*5)*(365/12/7),0))</f>
        <v>0</v>
      </c>
      <c r="I144" s="229">
        <f t="shared" ref="I144:I207" si="739">IF(F144=0,0,ROUND(8*365/12/7,0))</f>
        <v>0</v>
      </c>
      <c r="J144" s="230">
        <f>'임금대장 양식'!J144</f>
        <v>0</v>
      </c>
      <c r="K144" s="231">
        <f>'임금대장 양식'!K144</f>
        <v>0</v>
      </c>
      <c r="L144" s="231">
        <f>'임금대장 양식'!L144</f>
        <v>0</v>
      </c>
      <c r="M144" s="232">
        <f t="shared" ref="M144:M207" si="740">H144+I144+J145+K145+L145</f>
        <v>0</v>
      </c>
      <c r="N144" s="227">
        <f t="shared" ref="N144:N207" si="741">IF(G144=0,0,G144*(H144+I144)-(R144+S144+T144+U144))</f>
        <v>0</v>
      </c>
      <c r="O144" s="233">
        <f t="shared" ref="O144:O207" si="742">G144*J145</f>
        <v>0</v>
      </c>
      <c r="P144" s="233">
        <f t="shared" ref="P144:P207" si="743">G144*K145</f>
        <v>0</v>
      </c>
      <c r="Q144" s="233">
        <f t="shared" ref="Q144:Q207" si="744">G144*L145</f>
        <v>0</v>
      </c>
      <c r="R144" s="233">
        <f>'임금대장 양식'!R144</f>
        <v>0</v>
      </c>
      <c r="S144" s="233">
        <f>'임금대장 양식'!S144</f>
        <v>0</v>
      </c>
      <c r="T144" s="233">
        <f>'임금대장 양식'!T144</f>
        <v>0</v>
      </c>
      <c r="U144" s="233">
        <f>'임금대장 양식'!U144</f>
        <v>0</v>
      </c>
    </row>
    <row r="145" spans="2:21" ht="21.5" customHeight="1">
      <c r="B145" s="234"/>
      <c r="C145" s="234">
        <v>0</v>
      </c>
      <c r="D145" s="210">
        <f>'임금대장 양식'!D145</f>
        <v>0</v>
      </c>
      <c r="E145" s="235"/>
      <c r="F145" s="236"/>
      <c r="G145" s="237"/>
      <c r="H145" s="238"/>
      <c r="I145" s="238"/>
      <c r="J145" s="239">
        <f t="shared" ref="J145:J208" si="745">ROUND(J144*(365/12/7)*IF($S$4="5인 이상",1.5,1),0)</f>
        <v>0</v>
      </c>
      <c r="K145" s="239">
        <f t="shared" ref="K145:K208" si="746">ROUND(K144*IF($S$4="5인 이상",1.5,1),0)</f>
        <v>0</v>
      </c>
      <c r="L145" s="239">
        <f t="shared" ref="L145:L208" si="747">ROUND(L144*IF($S$4="5인 이상",1.5,1)+L144*IF($S$4="5인 이상",0.5,1),0)</f>
        <v>0</v>
      </c>
      <c r="M145" s="240"/>
      <c r="N145" s="236"/>
      <c r="O145" s="241"/>
      <c r="P145" s="241"/>
      <c r="Q145" s="241"/>
      <c r="R145" s="241"/>
      <c r="S145" s="241"/>
      <c r="T145" s="241"/>
      <c r="U145" s="241"/>
    </row>
    <row r="146" spans="2:21" ht="21.5" customHeight="1">
      <c r="B146" s="225">
        <f>'임금대장 양식'!B146</f>
        <v>0</v>
      </c>
      <c r="C146" s="225" cm="1">
        <f t="array" ref="C146:C147">'임금대장 양식'!C146:C147</f>
        <v>0</v>
      </c>
      <c r="D146" s="225">
        <f>'임금대장 양식'!D146</f>
        <v>0</v>
      </c>
      <c r="E146" s="226">
        <f>'임금대장 양식'!E146</f>
        <v>0</v>
      </c>
      <c r="F146" s="227">
        <f>'임금대장 양식'!F146</f>
        <v>0</v>
      </c>
      <c r="G146" s="228">
        <f t="shared" ref="G146" si="748">IFERROR((F146)/M146,0)</f>
        <v>0</v>
      </c>
      <c r="H146" s="229">
        <f t="shared" ref="H146:H209" si="749">IF(F146=0,0,ROUND((8*5)*(365/12/7),0))</f>
        <v>0</v>
      </c>
      <c r="I146" s="229">
        <f t="shared" ref="I146:I209" si="750">IF(F146=0,0,ROUND(8*365/12/7,0))</f>
        <v>0</v>
      </c>
      <c r="J146" s="230">
        <f>'임금대장 양식'!J146</f>
        <v>0</v>
      </c>
      <c r="K146" s="231">
        <f>'임금대장 양식'!K146</f>
        <v>0</v>
      </c>
      <c r="L146" s="231">
        <f>'임금대장 양식'!L146</f>
        <v>0</v>
      </c>
      <c r="M146" s="232">
        <f t="shared" ref="M146:M209" si="751">H146+I146+J147+K147+L147</f>
        <v>0</v>
      </c>
      <c r="N146" s="227">
        <f t="shared" ref="N146:N209" si="752">IF(G146=0,0,G146*(H146+I146)-(R146+S146+T146+U146))</f>
        <v>0</v>
      </c>
      <c r="O146" s="233">
        <f t="shared" ref="O146:O209" si="753">G146*J147</f>
        <v>0</v>
      </c>
      <c r="P146" s="233">
        <f t="shared" ref="P146:P209" si="754">G146*K147</f>
        <v>0</v>
      </c>
      <c r="Q146" s="233">
        <f t="shared" ref="Q146:Q209" si="755">G146*L147</f>
        <v>0</v>
      </c>
      <c r="R146" s="233">
        <f>'임금대장 양식'!R146</f>
        <v>0</v>
      </c>
      <c r="S146" s="233">
        <f>'임금대장 양식'!S146</f>
        <v>0</v>
      </c>
      <c r="T146" s="233">
        <f>'임금대장 양식'!T146</f>
        <v>0</v>
      </c>
      <c r="U146" s="233">
        <f>'임금대장 양식'!U146</f>
        <v>0</v>
      </c>
    </row>
    <row r="147" spans="2:21" ht="21.5" customHeight="1">
      <c r="B147" s="234"/>
      <c r="C147" s="234">
        <v>0</v>
      </c>
      <c r="D147" s="210">
        <f>'임금대장 양식'!D147</f>
        <v>0</v>
      </c>
      <c r="E147" s="235"/>
      <c r="F147" s="236"/>
      <c r="G147" s="237"/>
      <c r="H147" s="238"/>
      <c r="I147" s="238"/>
      <c r="J147" s="239">
        <f t="shared" ref="J147:J210" si="756">ROUND(J146*(365/12/7)*IF($S$4="5인 이상",1.5,1),0)</f>
        <v>0</v>
      </c>
      <c r="K147" s="239">
        <f t="shared" ref="K147:K210" si="757">ROUND(K146*IF($S$4="5인 이상",1.5,1),0)</f>
        <v>0</v>
      </c>
      <c r="L147" s="239">
        <f t="shared" ref="L147:L210" si="758">ROUND(L146*IF($S$4="5인 이상",1.5,1)+L146*IF($S$4="5인 이상",0.5,1),0)</f>
        <v>0</v>
      </c>
      <c r="M147" s="240"/>
      <c r="N147" s="236"/>
      <c r="O147" s="241"/>
      <c r="P147" s="241"/>
      <c r="Q147" s="241"/>
      <c r="R147" s="241"/>
      <c r="S147" s="241"/>
      <c r="T147" s="241"/>
      <c r="U147" s="241"/>
    </row>
    <row r="148" spans="2:21" ht="21.5" customHeight="1">
      <c r="B148" s="225">
        <f>'임금대장 양식'!B148</f>
        <v>0</v>
      </c>
      <c r="C148" s="225" cm="1">
        <f t="array" ref="C148:C149">'임금대장 양식'!C148:C149</f>
        <v>0</v>
      </c>
      <c r="D148" s="225">
        <f>'임금대장 양식'!D148</f>
        <v>0</v>
      </c>
      <c r="E148" s="226">
        <f>'임금대장 양식'!E148</f>
        <v>0</v>
      </c>
      <c r="F148" s="227">
        <f>'임금대장 양식'!F148</f>
        <v>0</v>
      </c>
      <c r="G148" s="228">
        <f t="shared" ref="G148" si="759">IFERROR((F148)/M148,0)</f>
        <v>0</v>
      </c>
      <c r="H148" s="229">
        <f t="shared" ref="H148:H211" si="760">IF(F148=0,0,ROUND((8*5)*(365/12/7),0))</f>
        <v>0</v>
      </c>
      <c r="I148" s="229">
        <f t="shared" ref="I148:I211" si="761">IF(F148=0,0,ROUND(8*365/12/7,0))</f>
        <v>0</v>
      </c>
      <c r="J148" s="230">
        <f>'임금대장 양식'!J148</f>
        <v>0</v>
      </c>
      <c r="K148" s="231">
        <f>'임금대장 양식'!K148</f>
        <v>0</v>
      </c>
      <c r="L148" s="231">
        <f>'임금대장 양식'!L148</f>
        <v>0</v>
      </c>
      <c r="M148" s="232">
        <f t="shared" ref="M148:M211" si="762">H148+I148+J149+K149+L149</f>
        <v>0</v>
      </c>
      <c r="N148" s="227">
        <f t="shared" ref="N148:N211" si="763">IF(G148=0,0,G148*(H148+I148)-(R148+S148+T148+U148))</f>
        <v>0</v>
      </c>
      <c r="O148" s="233">
        <f t="shared" ref="O148:O211" si="764">G148*J149</f>
        <v>0</v>
      </c>
      <c r="P148" s="233">
        <f t="shared" ref="P148:P211" si="765">G148*K149</f>
        <v>0</v>
      </c>
      <c r="Q148" s="233">
        <f t="shared" ref="Q148:Q211" si="766">G148*L149</f>
        <v>0</v>
      </c>
      <c r="R148" s="233">
        <f>'임금대장 양식'!R148</f>
        <v>0</v>
      </c>
      <c r="S148" s="233">
        <f>'임금대장 양식'!S148</f>
        <v>0</v>
      </c>
      <c r="T148" s="233">
        <f>'임금대장 양식'!T148</f>
        <v>0</v>
      </c>
      <c r="U148" s="233">
        <f>'임금대장 양식'!U148</f>
        <v>0</v>
      </c>
    </row>
    <row r="149" spans="2:21" ht="21.5" customHeight="1">
      <c r="B149" s="234"/>
      <c r="C149" s="234">
        <v>0</v>
      </c>
      <c r="D149" s="210">
        <f>'임금대장 양식'!D149</f>
        <v>0</v>
      </c>
      <c r="E149" s="235"/>
      <c r="F149" s="236"/>
      <c r="G149" s="237"/>
      <c r="H149" s="238"/>
      <c r="I149" s="238"/>
      <c r="J149" s="239">
        <f t="shared" ref="J149:J212" si="767">ROUND(J148*(365/12/7)*IF($S$4="5인 이상",1.5,1),0)</f>
        <v>0</v>
      </c>
      <c r="K149" s="239">
        <f t="shared" ref="K149:K212" si="768">ROUND(K148*IF($S$4="5인 이상",1.5,1),0)</f>
        <v>0</v>
      </c>
      <c r="L149" s="239">
        <f t="shared" ref="L149:L212" si="769">ROUND(L148*IF($S$4="5인 이상",1.5,1)+L148*IF($S$4="5인 이상",0.5,1),0)</f>
        <v>0</v>
      </c>
      <c r="M149" s="240"/>
      <c r="N149" s="236"/>
      <c r="O149" s="241"/>
      <c r="P149" s="241"/>
      <c r="Q149" s="241"/>
      <c r="R149" s="241"/>
      <c r="S149" s="241"/>
      <c r="T149" s="241"/>
      <c r="U149" s="241"/>
    </row>
    <row r="150" spans="2:21" ht="21.5" customHeight="1">
      <c r="B150" s="225">
        <f>'임금대장 양식'!B150</f>
        <v>0</v>
      </c>
      <c r="C150" s="225" cm="1">
        <f t="array" ref="C150:C151">'임금대장 양식'!C150:C151</f>
        <v>0</v>
      </c>
      <c r="D150" s="225">
        <f>'임금대장 양식'!D150</f>
        <v>0</v>
      </c>
      <c r="E150" s="226">
        <f>'임금대장 양식'!E150</f>
        <v>0</v>
      </c>
      <c r="F150" s="227">
        <f>'임금대장 양식'!F150</f>
        <v>0</v>
      </c>
      <c r="G150" s="228">
        <f t="shared" ref="G150" si="770">IFERROR((F150)/M150,0)</f>
        <v>0</v>
      </c>
      <c r="H150" s="229">
        <f t="shared" ref="H150:H213" si="771">IF(F150=0,0,ROUND((8*5)*(365/12/7),0))</f>
        <v>0</v>
      </c>
      <c r="I150" s="229">
        <f t="shared" ref="I150:I213" si="772">IF(F150=0,0,ROUND(8*365/12/7,0))</f>
        <v>0</v>
      </c>
      <c r="J150" s="230">
        <f>'임금대장 양식'!J150</f>
        <v>0</v>
      </c>
      <c r="K150" s="231">
        <f>'임금대장 양식'!K150</f>
        <v>0</v>
      </c>
      <c r="L150" s="231">
        <f>'임금대장 양식'!L150</f>
        <v>0</v>
      </c>
      <c r="M150" s="232">
        <f t="shared" ref="M150:M213" si="773">H150+I150+J151+K151+L151</f>
        <v>0</v>
      </c>
      <c r="N150" s="227">
        <f t="shared" ref="N150:N213" si="774">IF(G150=0,0,G150*(H150+I150)-(R150+S150+T150+U150))</f>
        <v>0</v>
      </c>
      <c r="O150" s="233">
        <f t="shared" ref="O150:O213" si="775">G150*J151</f>
        <v>0</v>
      </c>
      <c r="P150" s="233">
        <f t="shared" ref="P150:P213" si="776">G150*K151</f>
        <v>0</v>
      </c>
      <c r="Q150" s="233">
        <f t="shared" ref="Q150:Q213" si="777">G150*L151</f>
        <v>0</v>
      </c>
      <c r="R150" s="233">
        <f>'임금대장 양식'!R150</f>
        <v>0</v>
      </c>
      <c r="S150" s="233">
        <f>'임금대장 양식'!S150</f>
        <v>0</v>
      </c>
      <c r="T150" s="233">
        <f>'임금대장 양식'!T150</f>
        <v>0</v>
      </c>
      <c r="U150" s="233">
        <f>'임금대장 양식'!U150</f>
        <v>0</v>
      </c>
    </row>
    <row r="151" spans="2:21" ht="21.5" customHeight="1">
      <c r="B151" s="234"/>
      <c r="C151" s="234">
        <v>0</v>
      </c>
      <c r="D151" s="210">
        <f>'임금대장 양식'!D151</f>
        <v>0</v>
      </c>
      <c r="E151" s="235"/>
      <c r="F151" s="236"/>
      <c r="G151" s="237"/>
      <c r="H151" s="238"/>
      <c r="I151" s="238"/>
      <c r="J151" s="239">
        <f t="shared" ref="J151:J214" si="778">ROUND(J150*(365/12/7)*IF($S$4="5인 이상",1.5,1),0)</f>
        <v>0</v>
      </c>
      <c r="K151" s="239">
        <f t="shared" ref="K151:K214" si="779">ROUND(K150*IF($S$4="5인 이상",1.5,1),0)</f>
        <v>0</v>
      </c>
      <c r="L151" s="239">
        <f t="shared" ref="L151:L214" si="780">ROUND(L150*IF($S$4="5인 이상",1.5,1)+L150*IF($S$4="5인 이상",0.5,1),0)</f>
        <v>0</v>
      </c>
      <c r="M151" s="240"/>
      <c r="N151" s="236"/>
      <c r="O151" s="241"/>
      <c r="P151" s="241"/>
      <c r="Q151" s="241"/>
      <c r="R151" s="241"/>
      <c r="S151" s="241"/>
      <c r="T151" s="241"/>
      <c r="U151" s="241"/>
    </row>
    <row r="152" spans="2:21" ht="21.5" customHeight="1">
      <c r="B152" s="225">
        <f>'임금대장 양식'!B152</f>
        <v>0</v>
      </c>
      <c r="C152" s="225" cm="1">
        <f t="array" ref="C152:C153">'임금대장 양식'!C152:C153</f>
        <v>0</v>
      </c>
      <c r="D152" s="225">
        <f>'임금대장 양식'!D152</f>
        <v>0</v>
      </c>
      <c r="E152" s="226">
        <f>'임금대장 양식'!E152</f>
        <v>0</v>
      </c>
      <c r="F152" s="227">
        <f>'임금대장 양식'!F152</f>
        <v>0</v>
      </c>
      <c r="G152" s="228">
        <f t="shared" ref="G152" si="781">IFERROR((F152)/M152,0)</f>
        <v>0</v>
      </c>
      <c r="H152" s="229">
        <f t="shared" ref="H152:H215" si="782">IF(F152=0,0,ROUND((8*5)*(365/12/7),0))</f>
        <v>0</v>
      </c>
      <c r="I152" s="229">
        <f t="shared" ref="I152:I215" si="783">IF(F152=0,0,ROUND(8*365/12/7,0))</f>
        <v>0</v>
      </c>
      <c r="J152" s="230">
        <f>'임금대장 양식'!J152</f>
        <v>0</v>
      </c>
      <c r="K152" s="231">
        <f>'임금대장 양식'!K152</f>
        <v>0</v>
      </c>
      <c r="L152" s="231">
        <f>'임금대장 양식'!L152</f>
        <v>0</v>
      </c>
      <c r="M152" s="232">
        <f t="shared" ref="M152:M215" si="784">H152+I152+J153+K153+L153</f>
        <v>0</v>
      </c>
      <c r="N152" s="227">
        <f t="shared" ref="N152:N215" si="785">IF(G152=0,0,G152*(H152+I152)-(R152+S152+T152+U152))</f>
        <v>0</v>
      </c>
      <c r="O152" s="233">
        <f t="shared" ref="O152:O215" si="786">G152*J153</f>
        <v>0</v>
      </c>
      <c r="P152" s="233">
        <f t="shared" ref="P152:P215" si="787">G152*K153</f>
        <v>0</v>
      </c>
      <c r="Q152" s="233">
        <f t="shared" ref="Q152:Q215" si="788">G152*L153</f>
        <v>0</v>
      </c>
      <c r="R152" s="233">
        <f>'임금대장 양식'!R152</f>
        <v>0</v>
      </c>
      <c r="S152" s="233">
        <f>'임금대장 양식'!S152</f>
        <v>0</v>
      </c>
      <c r="T152" s="233">
        <f>'임금대장 양식'!T152</f>
        <v>0</v>
      </c>
      <c r="U152" s="233">
        <f>'임금대장 양식'!U152</f>
        <v>0</v>
      </c>
    </row>
    <row r="153" spans="2:21" ht="21.5" customHeight="1">
      <c r="B153" s="234"/>
      <c r="C153" s="234">
        <v>0</v>
      </c>
      <c r="D153" s="210">
        <f>'임금대장 양식'!D153</f>
        <v>0</v>
      </c>
      <c r="E153" s="235"/>
      <c r="F153" s="236"/>
      <c r="G153" s="237"/>
      <c r="H153" s="238"/>
      <c r="I153" s="238"/>
      <c r="J153" s="239">
        <f t="shared" ref="J153:J216" si="789">ROUND(J152*(365/12/7)*IF($S$4="5인 이상",1.5,1),0)</f>
        <v>0</v>
      </c>
      <c r="K153" s="239">
        <f t="shared" ref="K153:K216" si="790">ROUND(K152*IF($S$4="5인 이상",1.5,1),0)</f>
        <v>0</v>
      </c>
      <c r="L153" s="239">
        <f t="shared" ref="L153:L216" si="791">ROUND(L152*IF($S$4="5인 이상",1.5,1)+L152*IF($S$4="5인 이상",0.5,1),0)</f>
        <v>0</v>
      </c>
      <c r="M153" s="240"/>
      <c r="N153" s="236"/>
      <c r="O153" s="241"/>
      <c r="P153" s="241"/>
      <c r="Q153" s="241"/>
      <c r="R153" s="241"/>
      <c r="S153" s="241"/>
      <c r="T153" s="241"/>
      <c r="U153" s="241"/>
    </row>
    <row r="154" spans="2:21" ht="21.5" customHeight="1">
      <c r="B154" s="225">
        <f>'임금대장 양식'!B154</f>
        <v>0</v>
      </c>
      <c r="C154" s="225" cm="1">
        <f t="array" ref="C154:C155">'임금대장 양식'!C154:C155</f>
        <v>0</v>
      </c>
      <c r="D154" s="225">
        <f>'임금대장 양식'!D154</f>
        <v>0</v>
      </c>
      <c r="E154" s="226">
        <f>'임금대장 양식'!E154</f>
        <v>0</v>
      </c>
      <c r="F154" s="227">
        <f>'임금대장 양식'!F154</f>
        <v>0</v>
      </c>
      <c r="G154" s="228">
        <f t="shared" ref="G154" si="792">IFERROR((F154)/M154,0)</f>
        <v>0</v>
      </c>
      <c r="H154" s="229">
        <f t="shared" ref="H154:H217" si="793">IF(F154=0,0,ROUND((8*5)*(365/12/7),0))</f>
        <v>0</v>
      </c>
      <c r="I154" s="229">
        <f t="shared" ref="I154:I217" si="794">IF(F154=0,0,ROUND(8*365/12/7,0))</f>
        <v>0</v>
      </c>
      <c r="J154" s="230">
        <f>'임금대장 양식'!J154</f>
        <v>0</v>
      </c>
      <c r="K154" s="231">
        <f>'임금대장 양식'!K154</f>
        <v>0</v>
      </c>
      <c r="L154" s="231">
        <f>'임금대장 양식'!L154</f>
        <v>0</v>
      </c>
      <c r="M154" s="232">
        <f t="shared" ref="M154:M217" si="795">H154+I154+J155+K155+L155</f>
        <v>0</v>
      </c>
      <c r="N154" s="227">
        <f t="shared" ref="N154:N217" si="796">IF(G154=0,0,G154*(H154+I154)-(R154+S154+T154+U154))</f>
        <v>0</v>
      </c>
      <c r="O154" s="233">
        <f t="shared" ref="O154:O217" si="797">G154*J155</f>
        <v>0</v>
      </c>
      <c r="P154" s="233">
        <f t="shared" ref="P154:P217" si="798">G154*K155</f>
        <v>0</v>
      </c>
      <c r="Q154" s="233">
        <f t="shared" ref="Q154:Q217" si="799">G154*L155</f>
        <v>0</v>
      </c>
      <c r="R154" s="233">
        <f>'임금대장 양식'!R154</f>
        <v>0</v>
      </c>
      <c r="S154" s="233">
        <f>'임금대장 양식'!S154</f>
        <v>0</v>
      </c>
      <c r="T154" s="233">
        <f>'임금대장 양식'!T154</f>
        <v>0</v>
      </c>
      <c r="U154" s="233">
        <f>'임금대장 양식'!U154</f>
        <v>0</v>
      </c>
    </row>
    <row r="155" spans="2:21" ht="21.5" customHeight="1">
      <c r="B155" s="234"/>
      <c r="C155" s="234">
        <v>0</v>
      </c>
      <c r="D155" s="210">
        <f>'임금대장 양식'!D155</f>
        <v>0</v>
      </c>
      <c r="E155" s="235"/>
      <c r="F155" s="236"/>
      <c r="G155" s="237"/>
      <c r="H155" s="238"/>
      <c r="I155" s="238"/>
      <c r="J155" s="239">
        <f t="shared" ref="J155:J218" si="800">ROUND(J154*(365/12/7)*IF($S$4="5인 이상",1.5,1),0)</f>
        <v>0</v>
      </c>
      <c r="K155" s="239">
        <f t="shared" ref="K155:K218" si="801">ROUND(K154*IF($S$4="5인 이상",1.5,1),0)</f>
        <v>0</v>
      </c>
      <c r="L155" s="239">
        <f t="shared" ref="L155:L218" si="802">ROUND(L154*IF($S$4="5인 이상",1.5,1)+L154*IF($S$4="5인 이상",0.5,1),0)</f>
        <v>0</v>
      </c>
      <c r="M155" s="240"/>
      <c r="N155" s="236"/>
      <c r="O155" s="241"/>
      <c r="P155" s="241"/>
      <c r="Q155" s="241"/>
      <c r="R155" s="241"/>
      <c r="S155" s="241"/>
      <c r="T155" s="241"/>
      <c r="U155" s="241"/>
    </row>
    <row r="156" spans="2:21" ht="21.5" customHeight="1">
      <c r="B156" s="225">
        <f>'임금대장 양식'!B156</f>
        <v>0</v>
      </c>
      <c r="C156" s="225" cm="1">
        <f t="array" ref="C156:C157">'임금대장 양식'!C156:C157</f>
        <v>0</v>
      </c>
      <c r="D156" s="225">
        <f>'임금대장 양식'!D156</f>
        <v>0</v>
      </c>
      <c r="E156" s="226">
        <f>'임금대장 양식'!E156</f>
        <v>0</v>
      </c>
      <c r="F156" s="227">
        <f>'임금대장 양식'!F156</f>
        <v>0</v>
      </c>
      <c r="G156" s="228">
        <f t="shared" ref="G156" si="803">IFERROR((F156)/M156,0)</f>
        <v>0</v>
      </c>
      <c r="H156" s="229">
        <f t="shared" ref="H156:H219" si="804">IF(F156=0,0,ROUND((8*5)*(365/12/7),0))</f>
        <v>0</v>
      </c>
      <c r="I156" s="229">
        <f t="shared" ref="I156:I219" si="805">IF(F156=0,0,ROUND(8*365/12/7,0))</f>
        <v>0</v>
      </c>
      <c r="J156" s="230">
        <f>'임금대장 양식'!J156</f>
        <v>0</v>
      </c>
      <c r="K156" s="231">
        <f>'임금대장 양식'!K156</f>
        <v>0</v>
      </c>
      <c r="L156" s="231">
        <f>'임금대장 양식'!L156</f>
        <v>0</v>
      </c>
      <c r="M156" s="232">
        <f t="shared" ref="M156:M219" si="806">H156+I156+J157+K157+L157</f>
        <v>0</v>
      </c>
      <c r="N156" s="227">
        <f t="shared" ref="N156:N219" si="807">IF(G156=0,0,G156*(H156+I156)-(R156+S156+T156+U156))</f>
        <v>0</v>
      </c>
      <c r="O156" s="233">
        <f t="shared" ref="O156:O219" si="808">G156*J157</f>
        <v>0</v>
      </c>
      <c r="P156" s="233">
        <f t="shared" ref="P156:P219" si="809">G156*K157</f>
        <v>0</v>
      </c>
      <c r="Q156" s="233">
        <f t="shared" ref="Q156:Q219" si="810">G156*L157</f>
        <v>0</v>
      </c>
      <c r="R156" s="233">
        <f>'임금대장 양식'!R156</f>
        <v>0</v>
      </c>
      <c r="S156" s="233">
        <f>'임금대장 양식'!S156</f>
        <v>0</v>
      </c>
      <c r="T156" s="233">
        <f>'임금대장 양식'!T156</f>
        <v>0</v>
      </c>
      <c r="U156" s="233">
        <f>'임금대장 양식'!U156</f>
        <v>0</v>
      </c>
    </row>
    <row r="157" spans="2:21" ht="21.5" customHeight="1">
      <c r="B157" s="234"/>
      <c r="C157" s="234">
        <v>0</v>
      </c>
      <c r="D157" s="210">
        <f>'임금대장 양식'!D157</f>
        <v>0</v>
      </c>
      <c r="E157" s="235"/>
      <c r="F157" s="236"/>
      <c r="G157" s="237"/>
      <c r="H157" s="238"/>
      <c r="I157" s="238"/>
      <c r="J157" s="239">
        <f t="shared" ref="J157:J220" si="811">ROUND(J156*(365/12/7)*IF($S$4="5인 이상",1.5,1),0)</f>
        <v>0</v>
      </c>
      <c r="K157" s="239">
        <f t="shared" ref="K157:K220" si="812">ROUND(K156*IF($S$4="5인 이상",1.5,1),0)</f>
        <v>0</v>
      </c>
      <c r="L157" s="239">
        <f t="shared" ref="L157:L220" si="813">ROUND(L156*IF($S$4="5인 이상",1.5,1)+L156*IF($S$4="5인 이상",0.5,1),0)</f>
        <v>0</v>
      </c>
      <c r="M157" s="240"/>
      <c r="N157" s="236"/>
      <c r="O157" s="241"/>
      <c r="P157" s="241"/>
      <c r="Q157" s="241"/>
      <c r="R157" s="241"/>
      <c r="S157" s="241"/>
      <c r="T157" s="241"/>
      <c r="U157" s="241"/>
    </row>
    <row r="158" spans="2:21" ht="21.5" customHeight="1">
      <c r="B158" s="225">
        <f>'임금대장 양식'!B158</f>
        <v>0</v>
      </c>
      <c r="C158" s="225" cm="1">
        <f t="array" ref="C158:C159">'임금대장 양식'!C158:C159</f>
        <v>0</v>
      </c>
      <c r="D158" s="225">
        <f>'임금대장 양식'!D158</f>
        <v>0</v>
      </c>
      <c r="E158" s="226">
        <f>'임금대장 양식'!E158</f>
        <v>0</v>
      </c>
      <c r="F158" s="227">
        <f>'임금대장 양식'!F158</f>
        <v>0</v>
      </c>
      <c r="G158" s="228">
        <f t="shared" ref="G158" si="814">IFERROR((F158)/M158,0)</f>
        <v>0</v>
      </c>
      <c r="H158" s="229">
        <f t="shared" ref="H158:H221" si="815">IF(F158=0,0,ROUND((8*5)*(365/12/7),0))</f>
        <v>0</v>
      </c>
      <c r="I158" s="229">
        <f t="shared" ref="I158:I221" si="816">IF(F158=0,0,ROUND(8*365/12/7,0))</f>
        <v>0</v>
      </c>
      <c r="J158" s="230">
        <f>'임금대장 양식'!J158</f>
        <v>0</v>
      </c>
      <c r="K158" s="231">
        <f>'임금대장 양식'!K158</f>
        <v>0</v>
      </c>
      <c r="L158" s="231">
        <f>'임금대장 양식'!L158</f>
        <v>0</v>
      </c>
      <c r="M158" s="232">
        <f t="shared" ref="M158:M221" si="817">H158+I158+J159+K159+L159</f>
        <v>0</v>
      </c>
      <c r="N158" s="227">
        <f t="shared" ref="N158:N221" si="818">IF(G158=0,0,G158*(H158+I158)-(R158+S158+T158+U158))</f>
        <v>0</v>
      </c>
      <c r="O158" s="233">
        <f t="shared" ref="O158:O221" si="819">G158*J159</f>
        <v>0</v>
      </c>
      <c r="P158" s="233">
        <f t="shared" ref="P158:P221" si="820">G158*K159</f>
        <v>0</v>
      </c>
      <c r="Q158" s="233">
        <f t="shared" ref="Q158:Q221" si="821">G158*L159</f>
        <v>0</v>
      </c>
      <c r="R158" s="233">
        <f>'임금대장 양식'!R158</f>
        <v>0</v>
      </c>
      <c r="S158" s="233">
        <f>'임금대장 양식'!S158</f>
        <v>0</v>
      </c>
      <c r="T158" s="233">
        <f>'임금대장 양식'!T158</f>
        <v>0</v>
      </c>
      <c r="U158" s="233">
        <f>'임금대장 양식'!U158</f>
        <v>0</v>
      </c>
    </row>
    <row r="159" spans="2:21" ht="21.5" customHeight="1">
      <c r="B159" s="234"/>
      <c r="C159" s="234">
        <v>0</v>
      </c>
      <c r="D159" s="210">
        <f>'임금대장 양식'!D159</f>
        <v>0</v>
      </c>
      <c r="E159" s="235"/>
      <c r="F159" s="236"/>
      <c r="G159" s="237"/>
      <c r="H159" s="238"/>
      <c r="I159" s="238"/>
      <c r="J159" s="239">
        <f t="shared" ref="J159:J222" si="822">ROUND(J158*(365/12/7)*IF($S$4="5인 이상",1.5,1),0)</f>
        <v>0</v>
      </c>
      <c r="K159" s="239">
        <f t="shared" ref="K159:K222" si="823">ROUND(K158*IF($S$4="5인 이상",1.5,1),0)</f>
        <v>0</v>
      </c>
      <c r="L159" s="239">
        <f t="shared" ref="L159:L222" si="824">ROUND(L158*IF($S$4="5인 이상",1.5,1)+L158*IF($S$4="5인 이상",0.5,1),0)</f>
        <v>0</v>
      </c>
      <c r="M159" s="240"/>
      <c r="N159" s="236"/>
      <c r="O159" s="241"/>
      <c r="P159" s="241"/>
      <c r="Q159" s="241"/>
      <c r="R159" s="241"/>
      <c r="S159" s="241"/>
      <c r="T159" s="241"/>
      <c r="U159" s="241"/>
    </row>
    <row r="160" spans="2:21" ht="21.5" customHeight="1">
      <c r="B160" s="225">
        <f>'임금대장 양식'!B160</f>
        <v>0</v>
      </c>
      <c r="C160" s="225" cm="1">
        <f t="array" ref="C160:C161">'임금대장 양식'!C160:C161</f>
        <v>0</v>
      </c>
      <c r="D160" s="225">
        <f>'임금대장 양식'!D160</f>
        <v>0</v>
      </c>
      <c r="E160" s="226">
        <f>'임금대장 양식'!E160</f>
        <v>0</v>
      </c>
      <c r="F160" s="227">
        <f>'임금대장 양식'!F160</f>
        <v>0</v>
      </c>
      <c r="G160" s="228">
        <f t="shared" ref="G160" si="825">IFERROR((F160)/M160,0)</f>
        <v>0</v>
      </c>
      <c r="H160" s="229">
        <f t="shared" ref="H160:H223" si="826">IF(F160=0,0,ROUND((8*5)*(365/12/7),0))</f>
        <v>0</v>
      </c>
      <c r="I160" s="229">
        <f t="shared" ref="I160:I223" si="827">IF(F160=0,0,ROUND(8*365/12/7,0))</f>
        <v>0</v>
      </c>
      <c r="J160" s="230">
        <f>'임금대장 양식'!J160</f>
        <v>0</v>
      </c>
      <c r="K160" s="231">
        <f>'임금대장 양식'!K160</f>
        <v>0</v>
      </c>
      <c r="L160" s="231">
        <f>'임금대장 양식'!L160</f>
        <v>0</v>
      </c>
      <c r="M160" s="232">
        <f t="shared" ref="M160:M223" si="828">H160+I160+J161+K161+L161</f>
        <v>0</v>
      </c>
      <c r="N160" s="227">
        <f t="shared" ref="N160:N223" si="829">IF(G160=0,0,G160*(H160+I160)-(R160+S160+T160+U160))</f>
        <v>0</v>
      </c>
      <c r="O160" s="233">
        <f t="shared" ref="O160:O223" si="830">G160*J161</f>
        <v>0</v>
      </c>
      <c r="P160" s="233">
        <f t="shared" ref="P160:P223" si="831">G160*K161</f>
        <v>0</v>
      </c>
      <c r="Q160" s="233">
        <f t="shared" ref="Q160:Q223" si="832">G160*L161</f>
        <v>0</v>
      </c>
      <c r="R160" s="233">
        <f>'임금대장 양식'!R160</f>
        <v>0</v>
      </c>
      <c r="S160" s="233">
        <f>'임금대장 양식'!S160</f>
        <v>0</v>
      </c>
      <c r="T160" s="233">
        <f>'임금대장 양식'!T160</f>
        <v>0</v>
      </c>
      <c r="U160" s="233">
        <f>'임금대장 양식'!U160</f>
        <v>0</v>
      </c>
    </row>
    <row r="161" spans="2:21" ht="21.5" customHeight="1">
      <c r="B161" s="234"/>
      <c r="C161" s="234">
        <v>0</v>
      </c>
      <c r="D161" s="210">
        <f>'임금대장 양식'!D161</f>
        <v>0</v>
      </c>
      <c r="E161" s="235"/>
      <c r="F161" s="236"/>
      <c r="G161" s="237"/>
      <c r="H161" s="238"/>
      <c r="I161" s="238"/>
      <c r="J161" s="239">
        <f t="shared" ref="J161:J224" si="833">ROUND(J160*(365/12/7)*IF($S$4="5인 이상",1.5,1),0)</f>
        <v>0</v>
      </c>
      <c r="K161" s="239">
        <f t="shared" ref="K161:K224" si="834">ROUND(K160*IF($S$4="5인 이상",1.5,1),0)</f>
        <v>0</v>
      </c>
      <c r="L161" s="239">
        <f t="shared" ref="L161:L224" si="835">ROUND(L160*IF($S$4="5인 이상",1.5,1)+L160*IF($S$4="5인 이상",0.5,1),0)</f>
        <v>0</v>
      </c>
      <c r="M161" s="240"/>
      <c r="N161" s="236"/>
      <c r="O161" s="241"/>
      <c r="P161" s="241"/>
      <c r="Q161" s="241"/>
      <c r="R161" s="241"/>
      <c r="S161" s="241"/>
      <c r="T161" s="241"/>
      <c r="U161" s="241"/>
    </row>
    <row r="162" spans="2:21" ht="21.5" customHeight="1">
      <c r="B162" s="225">
        <f>'임금대장 양식'!B162</f>
        <v>0</v>
      </c>
      <c r="C162" s="225" cm="1">
        <f t="array" ref="C162:C163">'임금대장 양식'!C162:C163</f>
        <v>0</v>
      </c>
      <c r="D162" s="225">
        <f>'임금대장 양식'!D162</f>
        <v>0</v>
      </c>
      <c r="E162" s="226">
        <f>'임금대장 양식'!E162</f>
        <v>0</v>
      </c>
      <c r="F162" s="227">
        <f>'임금대장 양식'!F162</f>
        <v>0</v>
      </c>
      <c r="G162" s="228">
        <f t="shared" ref="G162" si="836">IFERROR((F162)/M162,0)</f>
        <v>0</v>
      </c>
      <c r="H162" s="229">
        <f t="shared" ref="H162:H225" si="837">IF(F162=0,0,ROUND((8*5)*(365/12/7),0))</f>
        <v>0</v>
      </c>
      <c r="I162" s="229">
        <f t="shared" ref="I162:I225" si="838">IF(F162=0,0,ROUND(8*365/12/7,0))</f>
        <v>0</v>
      </c>
      <c r="J162" s="230">
        <f>'임금대장 양식'!J162</f>
        <v>0</v>
      </c>
      <c r="K162" s="231">
        <f>'임금대장 양식'!K162</f>
        <v>0</v>
      </c>
      <c r="L162" s="231">
        <f>'임금대장 양식'!L162</f>
        <v>0</v>
      </c>
      <c r="M162" s="232">
        <f t="shared" ref="M162:M225" si="839">H162+I162+J163+K163+L163</f>
        <v>0</v>
      </c>
      <c r="N162" s="227">
        <f t="shared" ref="N162:N225" si="840">IF(G162=0,0,G162*(H162+I162)-(R162+S162+T162+U162))</f>
        <v>0</v>
      </c>
      <c r="O162" s="233">
        <f t="shared" ref="O162:O225" si="841">G162*J163</f>
        <v>0</v>
      </c>
      <c r="P162" s="233">
        <f t="shared" ref="P162:P225" si="842">G162*K163</f>
        <v>0</v>
      </c>
      <c r="Q162" s="233">
        <f t="shared" ref="Q162:Q225" si="843">G162*L163</f>
        <v>0</v>
      </c>
      <c r="R162" s="233">
        <f>'임금대장 양식'!R162</f>
        <v>0</v>
      </c>
      <c r="S162" s="233">
        <f>'임금대장 양식'!S162</f>
        <v>0</v>
      </c>
      <c r="T162" s="233">
        <f>'임금대장 양식'!T162</f>
        <v>0</v>
      </c>
      <c r="U162" s="233">
        <f>'임금대장 양식'!U162</f>
        <v>0</v>
      </c>
    </row>
    <row r="163" spans="2:21" ht="21.5" customHeight="1">
      <c r="B163" s="234"/>
      <c r="C163" s="234">
        <v>0</v>
      </c>
      <c r="D163" s="210">
        <f>'임금대장 양식'!D163</f>
        <v>0</v>
      </c>
      <c r="E163" s="235"/>
      <c r="F163" s="236"/>
      <c r="G163" s="237"/>
      <c r="H163" s="238"/>
      <c r="I163" s="238"/>
      <c r="J163" s="239">
        <f t="shared" ref="J163:J226" si="844">ROUND(J162*(365/12/7)*IF($S$4="5인 이상",1.5,1),0)</f>
        <v>0</v>
      </c>
      <c r="K163" s="239">
        <f t="shared" ref="K163:K226" si="845">ROUND(K162*IF($S$4="5인 이상",1.5,1),0)</f>
        <v>0</v>
      </c>
      <c r="L163" s="239">
        <f t="shared" ref="L163:L226" si="846">ROUND(L162*IF($S$4="5인 이상",1.5,1)+L162*IF($S$4="5인 이상",0.5,1),0)</f>
        <v>0</v>
      </c>
      <c r="M163" s="240"/>
      <c r="N163" s="236"/>
      <c r="O163" s="241"/>
      <c r="P163" s="241"/>
      <c r="Q163" s="241"/>
      <c r="R163" s="241"/>
      <c r="S163" s="241"/>
      <c r="T163" s="241"/>
      <c r="U163" s="241"/>
    </row>
    <row r="164" spans="2:21" ht="21.5" customHeight="1">
      <c r="B164" s="225">
        <f>'임금대장 양식'!B164</f>
        <v>0</v>
      </c>
      <c r="C164" s="225" cm="1">
        <f t="array" ref="C164:C165">'임금대장 양식'!C164:C165</f>
        <v>0</v>
      </c>
      <c r="D164" s="225">
        <f>'임금대장 양식'!D164</f>
        <v>0</v>
      </c>
      <c r="E164" s="226">
        <f>'임금대장 양식'!E164</f>
        <v>0</v>
      </c>
      <c r="F164" s="227">
        <f>'임금대장 양식'!F164</f>
        <v>0</v>
      </c>
      <c r="G164" s="228">
        <f t="shared" ref="G164" si="847">IFERROR((F164)/M164,0)</f>
        <v>0</v>
      </c>
      <c r="H164" s="229">
        <f t="shared" ref="H164:H227" si="848">IF(F164=0,0,ROUND((8*5)*(365/12/7),0))</f>
        <v>0</v>
      </c>
      <c r="I164" s="229">
        <f t="shared" ref="I164:I227" si="849">IF(F164=0,0,ROUND(8*365/12/7,0))</f>
        <v>0</v>
      </c>
      <c r="J164" s="230">
        <f>'임금대장 양식'!J164</f>
        <v>0</v>
      </c>
      <c r="K164" s="231">
        <f>'임금대장 양식'!K164</f>
        <v>0</v>
      </c>
      <c r="L164" s="231">
        <f>'임금대장 양식'!L164</f>
        <v>0</v>
      </c>
      <c r="M164" s="232">
        <f t="shared" ref="M164:M227" si="850">H164+I164+J165+K165+L165</f>
        <v>0</v>
      </c>
      <c r="N164" s="227">
        <f t="shared" ref="N164:N227" si="851">IF(G164=0,0,G164*(H164+I164)-(R164+S164+T164+U164))</f>
        <v>0</v>
      </c>
      <c r="O164" s="233">
        <f t="shared" ref="O164:O227" si="852">G164*J165</f>
        <v>0</v>
      </c>
      <c r="P164" s="233">
        <f t="shared" ref="P164:P227" si="853">G164*K165</f>
        <v>0</v>
      </c>
      <c r="Q164" s="233">
        <f t="shared" ref="Q164:Q227" si="854">G164*L165</f>
        <v>0</v>
      </c>
      <c r="R164" s="233">
        <f>'임금대장 양식'!R164</f>
        <v>0</v>
      </c>
      <c r="S164" s="233">
        <f>'임금대장 양식'!S164</f>
        <v>0</v>
      </c>
      <c r="T164" s="233">
        <f>'임금대장 양식'!T164</f>
        <v>0</v>
      </c>
      <c r="U164" s="233">
        <f>'임금대장 양식'!U164</f>
        <v>0</v>
      </c>
    </row>
    <row r="165" spans="2:21" ht="21.5" customHeight="1">
      <c r="B165" s="234"/>
      <c r="C165" s="234">
        <v>0</v>
      </c>
      <c r="D165" s="210">
        <f>'임금대장 양식'!D165</f>
        <v>0</v>
      </c>
      <c r="E165" s="235"/>
      <c r="F165" s="236"/>
      <c r="G165" s="237"/>
      <c r="H165" s="238"/>
      <c r="I165" s="238"/>
      <c r="J165" s="239">
        <f t="shared" ref="J165:J228" si="855">ROUND(J164*(365/12/7)*IF($S$4="5인 이상",1.5,1),0)</f>
        <v>0</v>
      </c>
      <c r="K165" s="239">
        <f t="shared" ref="K165:K228" si="856">ROUND(K164*IF($S$4="5인 이상",1.5,1),0)</f>
        <v>0</v>
      </c>
      <c r="L165" s="239">
        <f t="shared" ref="L165:L228" si="857">ROUND(L164*IF($S$4="5인 이상",1.5,1)+L164*IF($S$4="5인 이상",0.5,1),0)</f>
        <v>0</v>
      </c>
      <c r="M165" s="240"/>
      <c r="N165" s="236"/>
      <c r="O165" s="241"/>
      <c r="P165" s="241"/>
      <c r="Q165" s="241"/>
      <c r="R165" s="241"/>
      <c r="S165" s="241"/>
      <c r="T165" s="241"/>
      <c r="U165" s="241"/>
    </row>
    <row r="166" spans="2:21" ht="21.5" customHeight="1">
      <c r="B166" s="225">
        <f>'임금대장 양식'!B166</f>
        <v>0</v>
      </c>
      <c r="C166" s="225" cm="1">
        <f t="array" ref="C166:C167">'임금대장 양식'!C166:C167</f>
        <v>0</v>
      </c>
      <c r="D166" s="225">
        <f>'임금대장 양식'!D166</f>
        <v>0</v>
      </c>
      <c r="E166" s="226">
        <f>'임금대장 양식'!E166</f>
        <v>0</v>
      </c>
      <c r="F166" s="227">
        <f>'임금대장 양식'!F166</f>
        <v>0</v>
      </c>
      <c r="G166" s="228">
        <f t="shared" ref="G166" si="858">IFERROR((F166)/M166,0)</f>
        <v>0</v>
      </c>
      <c r="H166" s="229">
        <f t="shared" ref="H166:H229" si="859">IF(F166=0,0,ROUND((8*5)*(365/12/7),0))</f>
        <v>0</v>
      </c>
      <c r="I166" s="229">
        <f t="shared" ref="I166:I229" si="860">IF(F166=0,0,ROUND(8*365/12/7,0))</f>
        <v>0</v>
      </c>
      <c r="J166" s="230">
        <f>'임금대장 양식'!J166</f>
        <v>0</v>
      </c>
      <c r="K166" s="231">
        <f>'임금대장 양식'!K166</f>
        <v>0</v>
      </c>
      <c r="L166" s="231">
        <f>'임금대장 양식'!L166</f>
        <v>0</v>
      </c>
      <c r="M166" s="232">
        <f t="shared" ref="M166:M229" si="861">H166+I166+J167+K167+L167</f>
        <v>0</v>
      </c>
      <c r="N166" s="227">
        <f t="shared" ref="N166:N229" si="862">IF(G166=0,0,G166*(H166+I166)-(R166+S166+T166+U166))</f>
        <v>0</v>
      </c>
      <c r="O166" s="233">
        <f t="shared" ref="O166:O229" si="863">G166*J167</f>
        <v>0</v>
      </c>
      <c r="P166" s="233">
        <f t="shared" ref="P166:P229" si="864">G166*K167</f>
        <v>0</v>
      </c>
      <c r="Q166" s="233">
        <f t="shared" ref="Q166:Q229" si="865">G166*L167</f>
        <v>0</v>
      </c>
      <c r="R166" s="233">
        <f>'임금대장 양식'!R166</f>
        <v>0</v>
      </c>
      <c r="S166" s="233">
        <f>'임금대장 양식'!S166</f>
        <v>0</v>
      </c>
      <c r="T166" s="233">
        <f>'임금대장 양식'!T166</f>
        <v>0</v>
      </c>
      <c r="U166" s="233">
        <f>'임금대장 양식'!U166</f>
        <v>0</v>
      </c>
    </row>
    <row r="167" spans="2:21" ht="21.5" customHeight="1">
      <c r="B167" s="234"/>
      <c r="C167" s="234">
        <v>0</v>
      </c>
      <c r="D167" s="210">
        <f>'임금대장 양식'!D167</f>
        <v>0</v>
      </c>
      <c r="E167" s="235"/>
      <c r="F167" s="236"/>
      <c r="G167" s="237"/>
      <c r="H167" s="238"/>
      <c r="I167" s="238"/>
      <c r="J167" s="239">
        <f t="shared" ref="J167:J230" si="866">ROUND(J166*(365/12/7)*IF($S$4="5인 이상",1.5,1),0)</f>
        <v>0</v>
      </c>
      <c r="K167" s="239">
        <f t="shared" ref="K167:K230" si="867">ROUND(K166*IF($S$4="5인 이상",1.5,1),0)</f>
        <v>0</v>
      </c>
      <c r="L167" s="239">
        <f t="shared" ref="L167:L230" si="868">ROUND(L166*IF($S$4="5인 이상",1.5,1)+L166*IF($S$4="5인 이상",0.5,1),0)</f>
        <v>0</v>
      </c>
      <c r="M167" s="240"/>
      <c r="N167" s="236"/>
      <c r="O167" s="241"/>
      <c r="P167" s="241"/>
      <c r="Q167" s="241"/>
      <c r="R167" s="241"/>
      <c r="S167" s="241"/>
      <c r="T167" s="241"/>
      <c r="U167" s="241"/>
    </row>
    <row r="168" spans="2:21" ht="21.5" customHeight="1">
      <c r="B168" s="225">
        <f>'임금대장 양식'!B168</f>
        <v>0</v>
      </c>
      <c r="C168" s="225" cm="1">
        <f t="array" ref="C168:C169">'임금대장 양식'!C168:C169</f>
        <v>0</v>
      </c>
      <c r="D168" s="225">
        <f>'임금대장 양식'!D168</f>
        <v>0</v>
      </c>
      <c r="E168" s="226">
        <f>'임금대장 양식'!E168</f>
        <v>0</v>
      </c>
      <c r="F168" s="227">
        <f>'임금대장 양식'!F168</f>
        <v>0</v>
      </c>
      <c r="G168" s="228">
        <f t="shared" ref="G168" si="869">IFERROR((F168)/M168,0)</f>
        <v>0</v>
      </c>
      <c r="H168" s="229">
        <f t="shared" ref="H168:H231" si="870">IF(F168=0,0,ROUND((8*5)*(365/12/7),0))</f>
        <v>0</v>
      </c>
      <c r="I168" s="229">
        <f t="shared" ref="I168:I231" si="871">IF(F168=0,0,ROUND(8*365/12/7,0))</f>
        <v>0</v>
      </c>
      <c r="J168" s="230">
        <f>'임금대장 양식'!J168</f>
        <v>0</v>
      </c>
      <c r="K168" s="231">
        <f>'임금대장 양식'!K168</f>
        <v>0</v>
      </c>
      <c r="L168" s="231">
        <f>'임금대장 양식'!L168</f>
        <v>0</v>
      </c>
      <c r="M168" s="232">
        <f t="shared" ref="M168:M231" si="872">H168+I168+J169+K169+L169</f>
        <v>0</v>
      </c>
      <c r="N168" s="227">
        <f t="shared" ref="N168:N231" si="873">IF(G168=0,0,G168*(H168+I168)-(R168+S168+T168+U168))</f>
        <v>0</v>
      </c>
      <c r="O168" s="233">
        <f t="shared" ref="O168:O231" si="874">G168*J169</f>
        <v>0</v>
      </c>
      <c r="P168" s="233">
        <f t="shared" ref="P168:P231" si="875">G168*K169</f>
        <v>0</v>
      </c>
      <c r="Q168" s="233">
        <f t="shared" ref="Q168:Q231" si="876">G168*L169</f>
        <v>0</v>
      </c>
      <c r="R168" s="233">
        <f>'임금대장 양식'!R168</f>
        <v>0</v>
      </c>
      <c r="S168" s="233">
        <f>'임금대장 양식'!S168</f>
        <v>0</v>
      </c>
      <c r="T168" s="233">
        <f>'임금대장 양식'!T168</f>
        <v>0</v>
      </c>
      <c r="U168" s="233">
        <f>'임금대장 양식'!U168</f>
        <v>0</v>
      </c>
    </row>
    <row r="169" spans="2:21" ht="21.5" customHeight="1">
      <c r="B169" s="234"/>
      <c r="C169" s="234">
        <v>0</v>
      </c>
      <c r="D169" s="210">
        <f>'임금대장 양식'!D169</f>
        <v>0</v>
      </c>
      <c r="E169" s="235"/>
      <c r="F169" s="236"/>
      <c r="G169" s="237"/>
      <c r="H169" s="238"/>
      <c r="I169" s="238"/>
      <c r="J169" s="239">
        <f t="shared" ref="J169:J232" si="877">ROUND(J168*(365/12/7)*IF($S$4="5인 이상",1.5,1),0)</f>
        <v>0</v>
      </c>
      <c r="K169" s="239">
        <f t="shared" ref="K169:K232" si="878">ROUND(K168*IF($S$4="5인 이상",1.5,1),0)</f>
        <v>0</v>
      </c>
      <c r="L169" s="239">
        <f t="shared" ref="L169:L232" si="879">ROUND(L168*IF($S$4="5인 이상",1.5,1)+L168*IF($S$4="5인 이상",0.5,1),0)</f>
        <v>0</v>
      </c>
      <c r="M169" s="240"/>
      <c r="N169" s="236"/>
      <c r="O169" s="241"/>
      <c r="P169" s="241"/>
      <c r="Q169" s="241"/>
      <c r="R169" s="241"/>
      <c r="S169" s="241"/>
      <c r="T169" s="241"/>
      <c r="U169" s="241"/>
    </row>
    <row r="170" spans="2:21" ht="21.5" customHeight="1">
      <c r="B170" s="225">
        <f>'임금대장 양식'!B170</f>
        <v>0</v>
      </c>
      <c r="C170" s="225" cm="1">
        <f t="array" ref="C170:C171">'임금대장 양식'!C170:C171</f>
        <v>0</v>
      </c>
      <c r="D170" s="225">
        <f>'임금대장 양식'!D170</f>
        <v>0</v>
      </c>
      <c r="E170" s="226">
        <f>'임금대장 양식'!E170</f>
        <v>0</v>
      </c>
      <c r="F170" s="227">
        <f>'임금대장 양식'!F170</f>
        <v>0</v>
      </c>
      <c r="G170" s="228">
        <f t="shared" ref="G170" si="880">IFERROR((F170)/M170,0)</f>
        <v>0</v>
      </c>
      <c r="H170" s="229">
        <f t="shared" ref="H170:H233" si="881">IF(F170=0,0,ROUND((8*5)*(365/12/7),0))</f>
        <v>0</v>
      </c>
      <c r="I170" s="229">
        <f t="shared" ref="I170:I233" si="882">IF(F170=0,0,ROUND(8*365/12/7,0))</f>
        <v>0</v>
      </c>
      <c r="J170" s="230">
        <f>'임금대장 양식'!J170</f>
        <v>0</v>
      </c>
      <c r="K170" s="231">
        <f>'임금대장 양식'!K170</f>
        <v>0</v>
      </c>
      <c r="L170" s="231">
        <f>'임금대장 양식'!L170</f>
        <v>0</v>
      </c>
      <c r="M170" s="232">
        <f t="shared" ref="M170:M233" si="883">H170+I170+J171+K171+L171</f>
        <v>0</v>
      </c>
      <c r="N170" s="227">
        <f t="shared" ref="N170:N233" si="884">IF(G170=0,0,G170*(H170+I170)-(R170+S170+T170+U170))</f>
        <v>0</v>
      </c>
      <c r="O170" s="233">
        <f t="shared" ref="O170:O233" si="885">G170*J171</f>
        <v>0</v>
      </c>
      <c r="P170" s="233">
        <f t="shared" ref="P170:P233" si="886">G170*K171</f>
        <v>0</v>
      </c>
      <c r="Q170" s="233">
        <f t="shared" ref="Q170:Q233" si="887">G170*L171</f>
        <v>0</v>
      </c>
      <c r="R170" s="233">
        <f>'임금대장 양식'!R170</f>
        <v>0</v>
      </c>
      <c r="S170" s="233">
        <f>'임금대장 양식'!S170</f>
        <v>0</v>
      </c>
      <c r="T170" s="233">
        <f>'임금대장 양식'!T170</f>
        <v>0</v>
      </c>
      <c r="U170" s="233">
        <f>'임금대장 양식'!U170</f>
        <v>0</v>
      </c>
    </row>
    <row r="171" spans="2:21" ht="21.5" customHeight="1">
      <c r="B171" s="234"/>
      <c r="C171" s="234">
        <v>0</v>
      </c>
      <c r="D171" s="210">
        <f>'임금대장 양식'!D171</f>
        <v>0</v>
      </c>
      <c r="E171" s="235"/>
      <c r="F171" s="236"/>
      <c r="G171" s="237"/>
      <c r="H171" s="238"/>
      <c r="I171" s="238"/>
      <c r="J171" s="239">
        <f t="shared" ref="J171:J234" si="888">ROUND(J170*(365/12/7)*IF($S$4="5인 이상",1.5,1),0)</f>
        <v>0</v>
      </c>
      <c r="K171" s="239">
        <f t="shared" ref="K171:K234" si="889">ROUND(K170*IF($S$4="5인 이상",1.5,1),0)</f>
        <v>0</v>
      </c>
      <c r="L171" s="239">
        <f t="shared" ref="L171:L234" si="890">ROUND(L170*IF($S$4="5인 이상",1.5,1)+L170*IF($S$4="5인 이상",0.5,1),0)</f>
        <v>0</v>
      </c>
      <c r="M171" s="240"/>
      <c r="N171" s="236"/>
      <c r="O171" s="241"/>
      <c r="P171" s="241"/>
      <c r="Q171" s="241"/>
      <c r="R171" s="241"/>
      <c r="S171" s="241"/>
      <c r="T171" s="241"/>
      <c r="U171" s="241"/>
    </row>
    <row r="172" spans="2:21" ht="21.5" customHeight="1">
      <c r="B172" s="225">
        <f>'임금대장 양식'!B172</f>
        <v>0</v>
      </c>
      <c r="C172" s="225" cm="1">
        <f t="array" ref="C172:C173">'임금대장 양식'!C172:C173</f>
        <v>0</v>
      </c>
      <c r="D172" s="225">
        <f>'임금대장 양식'!D172</f>
        <v>0</v>
      </c>
      <c r="E172" s="226">
        <f>'임금대장 양식'!E172</f>
        <v>0</v>
      </c>
      <c r="F172" s="227">
        <f>'임금대장 양식'!F172</f>
        <v>0</v>
      </c>
      <c r="G172" s="228">
        <f t="shared" ref="G172" si="891">IFERROR((F172)/M172,0)</f>
        <v>0</v>
      </c>
      <c r="H172" s="229">
        <f t="shared" ref="H172:H235" si="892">IF(F172=0,0,ROUND((8*5)*(365/12/7),0))</f>
        <v>0</v>
      </c>
      <c r="I172" s="229">
        <f t="shared" ref="I172:I235" si="893">IF(F172=0,0,ROUND(8*365/12/7,0))</f>
        <v>0</v>
      </c>
      <c r="J172" s="230">
        <f>'임금대장 양식'!J172</f>
        <v>0</v>
      </c>
      <c r="K172" s="231">
        <f>'임금대장 양식'!K172</f>
        <v>0</v>
      </c>
      <c r="L172" s="231">
        <f>'임금대장 양식'!L172</f>
        <v>0</v>
      </c>
      <c r="M172" s="232">
        <f t="shared" ref="M172:M235" si="894">H172+I172+J173+K173+L173</f>
        <v>0</v>
      </c>
      <c r="N172" s="227">
        <f t="shared" ref="N172:N235" si="895">IF(G172=0,0,G172*(H172+I172)-(R172+S172+T172+U172))</f>
        <v>0</v>
      </c>
      <c r="O172" s="233">
        <f t="shared" ref="O172:O235" si="896">G172*J173</f>
        <v>0</v>
      </c>
      <c r="P172" s="233">
        <f t="shared" ref="P172:P235" si="897">G172*K173</f>
        <v>0</v>
      </c>
      <c r="Q172" s="233">
        <f t="shared" ref="Q172:Q235" si="898">G172*L173</f>
        <v>0</v>
      </c>
      <c r="R172" s="233">
        <f>'임금대장 양식'!R172</f>
        <v>0</v>
      </c>
      <c r="S172" s="233">
        <f>'임금대장 양식'!S172</f>
        <v>0</v>
      </c>
      <c r="T172" s="233">
        <f>'임금대장 양식'!T172</f>
        <v>0</v>
      </c>
      <c r="U172" s="233">
        <f>'임금대장 양식'!U172</f>
        <v>0</v>
      </c>
    </row>
    <row r="173" spans="2:21" ht="21.5" customHeight="1">
      <c r="B173" s="234"/>
      <c r="C173" s="234">
        <v>0</v>
      </c>
      <c r="D173" s="210">
        <f>'임금대장 양식'!D173</f>
        <v>0</v>
      </c>
      <c r="E173" s="235"/>
      <c r="F173" s="236"/>
      <c r="G173" s="237"/>
      <c r="H173" s="238"/>
      <c r="I173" s="238"/>
      <c r="J173" s="239">
        <f t="shared" ref="J173:J236" si="899">ROUND(J172*(365/12/7)*IF($S$4="5인 이상",1.5,1),0)</f>
        <v>0</v>
      </c>
      <c r="K173" s="239">
        <f t="shared" ref="K173:K236" si="900">ROUND(K172*IF($S$4="5인 이상",1.5,1),0)</f>
        <v>0</v>
      </c>
      <c r="L173" s="239">
        <f t="shared" ref="L173:L236" si="901">ROUND(L172*IF($S$4="5인 이상",1.5,1)+L172*IF($S$4="5인 이상",0.5,1),0)</f>
        <v>0</v>
      </c>
      <c r="M173" s="240"/>
      <c r="N173" s="236"/>
      <c r="O173" s="241"/>
      <c r="P173" s="241"/>
      <c r="Q173" s="241"/>
      <c r="R173" s="241"/>
      <c r="S173" s="241"/>
      <c r="T173" s="241"/>
      <c r="U173" s="241"/>
    </row>
    <row r="174" spans="2:21" ht="21.5" customHeight="1">
      <c r="B174" s="225">
        <f>'임금대장 양식'!B174</f>
        <v>0</v>
      </c>
      <c r="C174" s="225" cm="1">
        <f t="array" ref="C174:C175">'임금대장 양식'!C174:C175</f>
        <v>0</v>
      </c>
      <c r="D174" s="225">
        <f>'임금대장 양식'!D174</f>
        <v>0</v>
      </c>
      <c r="E174" s="226">
        <f>'임금대장 양식'!E174</f>
        <v>0</v>
      </c>
      <c r="F174" s="227">
        <f>'임금대장 양식'!F174</f>
        <v>0</v>
      </c>
      <c r="G174" s="228">
        <f t="shared" ref="G174" si="902">IFERROR((F174)/M174,0)</f>
        <v>0</v>
      </c>
      <c r="H174" s="229">
        <f t="shared" ref="H174:H237" si="903">IF(F174=0,0,ROUND((8*5)*(365/12/7),0))</f>
        <v>0</v>
      </c>
      <c r="I174" s="229">
        <f t="shared" ref="I174:I237" si="904">IF(F174=0,0,ROUND(8*365/12/7,0))</f>
        <v>0</v>
      </c>
      <c r="J174" s="230">
        <f>'임금대장 양식'!J174</f>
        <v>0</v>
      </c>
      <c r="K174" s="231">
        <f>'임금대장 양식'!K174</f>
        <v>0</v>
      </c>
      <c r="L174" s="231">
        <f>'임금대장 양식'!L174</f>
        <v>0</v>
      </c>
      <c r="M174" s="232">
        <f t="shared" ref="M174:M237" si="905">H174+I174+J175+K175+L175</f>
        <v>0</v>
      </c>
      <c r="N174" s="227">
        <f t="shared" ref="N174:N237" si="906">IF(G174=0,0,G174*(H174+I174)-(R174+S174+T174+U174))</f>
        <v>0</v>
      </c>
      <c r="O174" s="233">
        <f t="shared" ref="O174:O237" si="907">G174*J175</f>
        <v>0</v>
      </c>
      <c r="P174" s="233">
        <f t="shared" ref="P174:P237" si="908">G174*K175</f>
        <v>0</v>
      </c>
      <c r="Q174" s="233">
        <f t="shared" ref="Q174:Q237" si="909">G174*L175</f>
        <v>0</v>
      </c>
      <c r="R174" s="233">
        <f>'임금대장 양식'!R174</f>
        <v>0</v>
      </c>
      <c r="S174" s="233">
        <f>'임금대장 양식'!S174</f>
        <v>0</v>
      </c>
      <c r="T174" s="233">
        <f>'임금대장 양식'!T174</f>
        <v>0</v>
      </c>
      <c r="U174" s="233">
        <f>'임금대장 양식'!U174</f>
        <v>0</v>
      </c>
    </row>
    <row r="175" spans="2:21" ht="21.5" customHeight="1">
      <c r="B175" s="234"/>
      <c r="C175" s="234">
        <v>0</v>
      </c>
      <c r="D175" s="210">
        <f>'임금대장 양식'!D175</f>
        <v>0</v>
      </c>
      <c r="E175" s="235"/>
      <c r="F175" s="236"/>
      <c r="G175" s="237"/>
      <c r="H175" s="238"/>
      <c r="I175" s="238"/>
      <c r="J175" s="239">
        <f t="shared" ref="J175:J238" si="910">ROUND(J174*(365/12/7)*IF($S$4="5인 이상",1.5,1),0)</f>
        <v>0</v>
      </c>
      <c r="K175" s="239">
        <f t="shared" ref="K175:K238" si="911">ROUND(K174*IF($S$4="5인 이상",1.5,1),0)</f>
        <v>0</v>
      </c>
      <c r="L175" s="239">
        <f t="shared" ref="L175:L238" si="912">ROUND(L174*IF($S$4="5인 이상",1.5,1)+L174*IF($S$4="5인 이상",0.5,1),0)</f>
        <v>0</v>
      </c>
      <c r="M175" s="240"/>
      <c r="N175" s="236"/>
      <c r="O175" s="241"/>
      <c r="P175" s="241"/>
      <c r="Q175" s="241"/>
      <c r="R175" s="241"/>
      <c r="S175" s="241"/>
      <c r="T175" s="241"/>
      <c r="U175" s="241"/>
    </row>
    <row r="176" spans="2:21" ht="21.5" customHeight="1">
      <c r="B176" s="225">
        <f>'임금대장 양식'!B176</f>
        <v>0</v>
      </c>
      <c r="C176" s="225" cm="1">
        <f t="array" ref="C176:C177">'임금대장 양식'!C176:C177</f>
        <v>0</v>
      </c>
      <c r="D176" s="225">
        <f>'임금대장 양식'!D176</f>
        <v>0</v>
      </c>
      <c r="E176" s="226">
        <f>'임금대장 양식'!E176</f>
        <v>0</v>
      </c>
      <c r="F176" s="227">
        <f>'임금대장 양식'!F176</f>
        <v>0</v>
      </c>
      <c r="G176" s="228">
        <f t="shared" ref="G176" si="913">IFERROR((F176)/M176,0)</f>
        <v>0</v>
      </c>
      <c r="H176" s="229">
        <f t="shared" ref="H176:H239" si="914">IF(F176=0,0,ROUND((8*5)*(365/12/7),0))</f>
        <v>0</v>
      </c>
      <c r="I176" s="229">
        <f t="shared" ref="I176:I239" si="915">IF(F176=0,0,ROUND(8*365/12/7,0))</f>
        <v>0</v>
      </c>
      <c r="J176" s="230">
        <f>'임금대장 양식'!J176</f>
        <v>0</v>
      </c>
      <c r="K176" s="231">
        <f>'임금대장 양식'!K176</f>
        <v>0</v>
      </c>
      <c r="L176" s="231">
        <f>'임금대장 양식'!L176</f>
        <v>0</v>
      </c>
      <c r="M176" s="232">
        <f t="shared" ref="M176:M239" si="916">H176+I176+J177+K177+L177</f>
        <v>0</v>
      </c>
      <c r="N176" s="227">
        <f t="shared" ref="N176:N239" si="917">IF(G176=0,0,G176*(H176+I176)-(R176+S176+T176+U176))</f>
        <v>0</v>
      </c>
      <c r="O176" s="233">
        <f t="shared" ref="O176:O239" si="918">G176*J177</f>
        <v>0</v>
      </c>
      <c r="P176" s="233">
        <f t="shared" ref="P176:P239" si="919">G176*K177</f>
        <v>0</v>
      </c>
      <c r="Q176" s="233">
        <f t="shared" ref="Q176:Q239" si="920">G176*L177</f>
        <v>0</v>
      </c>
      <c r="R176" s="233">
        <f>'임금대장 양식'!R176</f>
        <v>0</v>
      </c>
      <c r="S176" s="233">
        <f>'임금대장 양식'!S176</f>
        <v>0</v>
      </c>
      <c r="T176" s="233">
        <f>'임금대장 양식'!T176</f>
        <v>0</v>
      </c>
      <c r="U176" s="233">
        <f>'임금대장 양식'!U176</f>
        <v>0</v>
      </c>
    </row>
    <row r="177" spans="2:21" ht="21.5" customHeight="1">
      <c r="B177" s="234"/>
      <c r="C177" s="234">
        <v>0</v>
      </c>
      <c r="D177" s="210">
        <f>'임금대장 양식'!D177</f>
        <v>0</v>
      </c>
      <c r="E177" s="235"/>
      <c r="F177" s="236"/>
      <c r="G177" s="237"/>
      <c r="H177" s="238"/>
      <c r="I177" s="238"/>
      <c r="J177" s="239">
        <f t="shared" ref="J177:J240" si="921">ROUND(J176*(365/12/7)*IF($S$4="5인 이상",1.5,1),0)</f>
        <v>0</v>
      </c>
      <c r="K177" s="239">
        <f t="shared" ref="K177:K240" si="922">ROUND(K176*IF($S$4="5인 이상",1.5,1),0)</f>
        <v>0</v>
      </c>
      <c r="L177" s="239">
        <f t="shared" ref="L177:L240" si="923">ROUND(L176*IF($S$4="5인 이상",1.5,1)+L176*IF($S$4="5인 이상",0.5,1),0)</f>
        <v>0</v>
      </c>
      <c r="M177" s="240"/>
      <c r="N177" s="236"/>
      <c r="O177" s="241"/>
      <c r="P177" s="241"/>
      <c r="Q177" s="241"/>
      <c r="R177" s="241"/>
      <c r="S177" s="241"/>
      <c r="T177" s="241"/>
      <c r="U177" s="241"/>
    </row>
    <row r="178" spans="2:21" ht="21.5" customHeight="1">
      <c r="B178" s="225">
        <f>'임금대장 양식'!B178</f>
        <v>0</v>
      </c>
      <c r="C178" s="225" cm="1">
        <f t="array" ref="C178:C179">'임금대장 양식'!C178:C179</f>
        <v>0</v>
      </c>
      <c r="D178" s="225">
        <f>'임금대장 양식'!D178</f>
        <v>0</v>
      </c>
      <c r="E178" s="226">
        <f>'임금대장 양식'!E178</f>
        <v>0</v>
      </c>
      <c r="F178" s="227">
        <f>'임금대장 양식'!F178</f>
        <v>0</v>
      </c>
      <c r="G178" s="228">
        <f t="shared" ref="G178" si="924">IFERROR((F178)/M178,0)</f>
        <v>0</v>
      </c>
      <c r="H178" s="229">
        <f t="shared" ref="H178:H241" si="925">IF(F178=0,0,ROUND((8*5)*(365/12/7),0))</f>
        <v>0</v>
      </c>
      <c r="I178" s="229">
        <f t="shared" ref="I178:I241" si="926">IF(F178=0,0,ROUND(8*365/12/7,0))</f>
        <v>0</v>
      </c>
      <c r="J178" s="230">
        <f>'임금대장 양식'!J178</f>
        <v>0</v>
      </c>
      <c r="K178" s="231">
        <f>'임금대장 양식'!K178</f>
        <v>0</v>
      </c>
      <c r="L178" s="231">
        <f>'임금대장 양식'!L178</f>
        <v>0</v>
      </c>
      <c r="M178" s="232">
        <f t="shared" ref="M178:M241" si="927">H178+I178+J179+K179+L179</f>
        <v>0</v>
      </c>
      <c r="N178" s="227">
        <f t="shared" ref="N178:N241" si="928">IF(G178=0,0,G178*(H178+I178)-(R178+S178+T178+U178))</f>
        <v>0</v>
      </c>
      <c r="O178" s="233">
        <f t="shared" ref="O178:O241" si="929">G178*J179</f>
        <v>0</v>
      </c>
      <c r="P178" s="233">
        <f t="shared" ref="P178:P241" si="930">G178*K179</f>
        <v>0</v>
      </c>
      <c r="Q178" s="233">
        <f t="shared" ref="Q178:Q241" si="931">G178*L179</f>
        <v>0</v>
      </c>
      <c r="R178" s="233">
        <f>'임금대장 양식'!R178</f>
        <v>0</v>
      </c>
      <c r="S178" s="233">
        <f>'임금대장 양식'!S178</f>
        <v>0</v>
      </c>
      <c r="T178" s="233">
        <f>'임금대장 양식'!T178</f>
        <v>0</v>
      </c>
      <c r="U178" s="233">
        <f>'임금대장 양식'!U178</f>
        <v>0</v>
      </c>
    </row>
    <row r="179" spans="2:21" ht="21.5" customHeight="1">
      <c r="B179" s="234"/>
      <c r="C179" s="234">
        <v>0</v>
      </c>
      <c r="D179" s="210">
        <f>'임금대장 양식'!D179</f>
        <v>0</v>
      </c>
      <c r="E179" s="235"/>
      <c r="F179" s="236"/>
      <c r="G179" s="237"/>
      <c r="H179" s="238"/>
      <c r="I179" s="238"/>
      <c r="J179" s="239">
        <f t="shared" ref="J179:J242" si="932">ROUND(J178*(365/12/7)*IF($S$4="5인 이상",1.5,1),0)</f>
        <v>0</v>
      </c>
      <c r="K179" s="239">
        <f t="shared" ref="K179:K242" si="933">ROUND(K178*IF($S$4="5인 이상",1.5,1),0)</f>
        <v>0</v>
      </c>
      <c r="L179" s="239">
        <f t="shared" ref="L179:L242" si="934">ROUND(L178*IF($S$4="5인 이상",1.5,1)+L178*IF($S$4="5인 이상",0.5,1),0)</f>
        <v>0</v>
      </c>
      <c r="M179" s="240"/>
      <c r="N179" s="236"/>
      <c r="O179" s="241"/>
      <c r="P179" s="241"/>
      <c r="Q179" s="241"/>
      <c r="R179" s="241"/>
      <c r="S179" s="241"/>
      <c r="T179" s="241"/>
      <c r="U179" s="241"/>
    </row>
    <row r="180" spans="2:21" ht="21.5" customHeight="1">
      <c r="B180" s="225">
        <f>'임금대장 양식'!B180</f>
        <v>0</v>
      </c>
      <c r="C180" s="225" cm="1">
        <f t="array" ref="C180:C181">'임금대장 양식'!C180:C181</f>
        <v>0</v>
      </c>
      <c r="D180" s="225">
        <f>'임금대장 양식'!D180</f>
        <v>0</v>
      </c>
      <c r="E180" s="226">
        <f>'임금대장 양식'!E180</f>
        <v>0</v>
      </c>
      <c r="F180" s="227">
        <f>'임금대장 양식'!F180</f>
        <v>0</v>
      </c>
      <c r="G180" s="228">
        <f t="shared" ref="G180" si="935">IFERROR((F180)/M180,0)</f>
        <v>0</v>
      </c>
      <c r="H180" s="229">
        <f t="shared" ref="H180:H243" si="936">IF(F180=0,0,ROUND((8*5)*(365/12/7),0))</f>
        <v>0</v>
      </c>
      <c r="I180" s="229">
        <f t="shared" ref="I180:I243" si="937">IF(F180=0,0,ROUND(8*365/12/7,0))</f>
        <v>0</v>
      </c>
      <c r="J180" s="230">
        <f>'임금대장 양식'!J180</f>
        <v>0</v>
      </c>
      <c r="K180" s="231">
        <f>'임금대장 양식'!K180</f>
        <v>0</v>
      </c>
      <c r="L180" s="231">
        <f>'임금대장 양식'!L180</f>
        <v>0</v>
      </c>
      <c r="M180" s="232">
        <f t="shared" ref="M180:M243" si="938">H180+I180+J181+K181+L181</f>
        <v>0</v>
      </c>
      <c r="N180" s="227">
        <f t="shared" ref="N180:N243" si="939">IF(G180=0,0,G180*(H180+I180)-(R180+S180+T180+U180))</f>
        <v>0</v>
      </c>
      <c r="O180" s="233">
        <f t="shared" ref="O180:O243" si="940">G180*J181</f>
        <v>0</v>
      </c>
      <c r="P180" s="233">
        <f t="shared" ref="P180:P243" si="941">G180*K181</f>
        <v>0</v>
      </c>
      <c r="Q180" s="233">
        <f t="shared" ref="Q180:Q243" si="942">G180*L181</f>
        <v>0</v>
      </c>
      <c r="R180" s="233">
        <f>'임금대장 양식'!R180</f>
        <v>0</v>
      </c>
      <c r="S180" s="233">
        <f>'임금대장 양식'!S180</f>
        <v>0</v>
      </c>
      <c r="T180" s="233">
        <f>'임금대장 양식'!T180</f>
        <v>0</v>
      </c>
      <c r="U180" s="233">
        <f>'임금대장 양식'!U180</f>
        <v>0</v>
      </c>
    </row>
    <row r="181" spans="2:21" ht="21.5" customHeight="1">
      <c r="B181" s="234"/>
      <c r="C181" s="234">
        <v>0</v>
      </c>
      <c r="D181" s="210">
        <f>'임금대장 양식'!D181</f>
        <v>0</v>
      </c>
      <c r="E181" s="235"/>
      <c r="F181" s="236"/>
      <c r="G181" s="237"/>
      <c r="H181" s="238"/>
      <c r="I181" s="238"/>
      <c r="J181" s="239">
        <f t="shared" ref="J181:J244" si="943">ROUND(J180*(365/12/7)*IF($S$4="5인 이상",1.5,1),0)</f>
        <v>0</v>
      </c>
      <c r="K181" s="239">
        <f t="shared" ref="K181:K244" si="944">ROUND(K180*IF($S$4="5인 이상",1.5,1),0)</f>
        <v>0</v>
      </c>
      <c r="L181" s="239">
        <f t="shared" ref="L181:L244" si="945">ROUND(L180*IF($S$4="5인 이상",1.5,1)+L180*IF($S$4="5인 이상",0.5,1),0)</f>
        <v>0</v>
      </c>
      <c r="M181" s="240"/>
      <c r="N181" s="236"/>
      <c r="O181" s="241"/>
      <c r="P181" s="241"/>
      <c r="Q181" s="241"/>
      <c r="R181" s="241"/>
      <c r="S181" s="241"/>
      <c r="T181" s="241"/>
      <c r="U181" s="241"/>
    </row>
    <row r="182" spans="2:21" ht="21.5" customHeight="1">
      <c r="B182" s="225">
        <f>'임금대장 양식'!B182</f>
        <v>0</v>
      </c>
      <c r="C182" s="225" cm="1">
        <f t="array" ref="C182:C183">'임금대장 양식'!C182:C183</f>
        <v>0</v>
      </c>
      <c r="D182" s="225">
        <f>'임금대장 양식'!D182</f>
        <v>0</v>
      </c>
      <c r="E182" s="226">
        <f>'임금대장 양식'!E182</f>
        <v>0</v>
      </c>
      <c r="F182" s="227">
        <f>'임금대장 양식'!F182</f>
        <v>0</v>
      </c>
      <c r="G182" s="228">
        <f t="shared" ref="G182" si="946">IFERROR((F182)/M182,0)</f>
        <v>0</v>
      </c>
      <c r="H182" s="229">
        <f t="shared" ref="H182:H245" si="947">IF(F182=0,0,ROUND((8*5)*(365/12/7),0))</f>
        <v>0</v>
      </c>
      <c r="I182" s="229">
        <f t="shared" ref="I182:I245" si="948">IF(F182=0,0,ROUND(8*365/12/7,0))</f>
        <v>0</v>
      </c>
      <c r="J182" s="230">
        <f>'임금대장 양식'!J182</f>
        <v>0</v>
      </c>
      <c r="K182" s="231">
        <f>'임금대장 양식'!K182</f>
        <v>0</v>
      </c>
      <c r="L182" s="231">
        <f>'임금대장 양식'!L182</f>
        <v>0</v>
      </c>
      <c r="M182" s="232">
        <f t="shared" ref="M182:M245" si="949">H182+I182+J183+K183+L183</f>
        <v>0</v>
      </c>
      <c r="N182" s="227">
        <f t="shared" ref="N182:N245" si="950">IF(G182=0,0,G182*(H182+I182)-(R182+S182+T182+U182))</f>
        <v>0</v>
      </c>
      <c r="O182" s="233">
        <f t="shared" ref="O182:O245" si="951">G182*J183</f>
        <v>0</v>
      </c>
      <c r="P182" s="233">
        <f t="shared" ref="P182:P245" si="952">G182*K183</f>
        <v>0</v>
      </c>
      <c r="Q182" s="233">
        <f t="shared" ref="Q182:Q245" si="953">G182*L183</f>
        <v>0</v>
      </c>
      <c r="R182" s="233">
        <f>'임금대장 양식'!R182</f>
        <v>0</v>
      </c>
      <c r="S182" s="233">
        <f>'임금대장 양식'!S182</f>
        <v>0</v>
      </c>
      <c r="T182" s="233">
        <f>'임금대장 양식'!T182</f>
        <v>0</v>
      </c>
      <c r="U182" s="233">
        <f>'임금대장 양식'!U182</f>
        <v>0</v>
      </c>
    </row>
    <row r="183" spans="2:21" ht="21.5" customHeight="1">
      <c r="B183" s="234"/>
      <c r="C183" s="234">
        <v>0</v>
      </c>
      <c r="D183" s="210">
        <f>'임금대장 양식'!D183</f>
        <v>0</v>
      </c>
      <c r="E183" s="235"/>
      <c r="F183" s="236"/>
      <c r="G183" s="237"/>
      <c r="H183" s="238"/>
      <c r="I183" s="238"/>
      <c r="J183" s="239">
        <f t="shared" ref="J183:J246" si="954">ROUND(J182*(365/12/7)*IF($S$4="5인 이상",1.5,1),0)</f>
        <v>0</v>
      </c>
      <c r="K183" s="239">
        <f t="shared" ref="K183:K246" si="955">ROUND(K182*IF($S$4="5인 이상",1.5,1),0)</f>
        <v>0</v>
      </c>
      <c r="L183" s="239">
        <f t="shared" ref="L183:L246" si="956">ROUND(L182*IF($S$4="5인 이상",1.5,1)+L182*IF($S$4="5인 이상",0.5,1),0)</f>
        <v>0</v>
      </c>
      <c r="M183" s="240"/>
      <c r="N183" s="236"/>
      <c r="O183" s="241"/>
      <c r="P183" s="241"/>
      <c r="Q183" s="241"/>
      <c r="R183" s="241"/>
      <c r="S183" s="241"/>
      <c r="T183" s="241"/>
      <c r="U183" s="241"/>
    </row>
    <row r="184" spans="2:21" ht="21.5" customHeight="1">
      <c r="B184" s="225">
        <f>'임금대장 양식'!B184</f>
        <v>0</v>
      </c>
      <c r="C184" s="225" cm="1">
        <f t="array" ref="C184:C185">'임금대장 양식'!C184:C185</f>
        <v>0</v>
      </c>
      <c r="D184" s="225">
        <f>'임금대장 양식'!D184</f>
        <v>0</v>
      </c>
      <c r="E184" s="226">
        <f>'임금대장 양식'!E184</f>
        <v>0</v>
      </c>
      <c r="F184" s="227">
        <f>'임금대장 양식'!F184</f>
        <v>0</v>
      </c>
      <c r="G184" s="228">
        <f t="shared" ref="G184" si="957">IFERROR((F184)/M184,0)</f>
        <v>0</v>
      </c>
      <c r="H184" s="229">
        <f t="shared" ref="H184:H247" si="958">IF(F184=0,0,ROUND((8*5)*(365/12/7),0))</f>
        <v>0</v>
      </c>
      <c r="I184" s="229">
        <f t="shared" ref="I184:I247" si="959">IF(F184=0,0,ROUND(8*365/12/7,0))</f>
        <v>0</v>
      </c>
      <c r="J184" s="230">
        <f>'임금대장 양식'!J184</f>
        <v>0</v>
      </c>
      <c r="K184" s="231">
        <f>'임금대장 양식'!K184</f>
        <v>0</v>
      </c>
      <c r="L184" s="231">
        <f>'임금대장 양식'!L184</f>
        <v>0</v>
      </c>
      <c r="M184" s="232">
        <f t="shared" ref="M184:M247" si="960">H184+I184+J185+K185+L185</f>
        <v>0</v>
      </c>
      <c r="N184" s="227">
        <f t="shared" ref="N184:N247" si="961">IF(G184=0,0,G184*(H184+I184)-(R184+S184+T184+U184))</f>
        <v>0</v>
      </c>
      <c r="O184" s="233">
        <f t="shared" ref="O184:O247" si="962">G184*J185</f>
        <v>0</v>
      </c>
      <c r="P184" s="233">
        <f t="shared" ref="P184:P247" si="963">G184*K185</f>
        <v>0</v>
      </c>
      <c r="Q184" s="233">
        <f t="shared" ref="Q184:Q247" si="964">G184*L185</f>
        <v>0</v>
      </c>
      <c r="R184" s="233">
        <f>'임금대장 양식'!R184</f>
        <v>0</v>
      </c>
      <c r="S184" s="233">
        <f>'임금대장 양식'!S184</f>
        <v>0</v>
      </c>
      <c r="T184" s="233">
        <f>'임금대장 양식'!T184</f>
        <v>0</v>
      </c>
      <c r="U184" s="233">
        <f>'임금대장 양식'!U184</f>
        <v>0</v>
      </c>
    </row>
    <row r="185" spans="2:21" ht="21.5" customHeight="1">
      <c r="B185" s="234"/>
      <c r="C185" s="234">
        <v>0</v>
      </c>
      <c r="D185" s="210">
        <f>'임금대장 양식'!D185</f>
        <v>0</v>
      </c>
      <c r="E185" s="235"/>
      <c r="F185" s="236"/>
      <c r="G185" s="237"/>
      <c r="H185" s="238"/>
      <c r="I185" s="238"/>
      <c r="J185" s="239">
        <f t="shared" ref="J185:J248" si="965">ROUND(J184*(365/12/7)*IF($S$4="5인 이상",1.5,1),0)</f>
        <v>0</v>
      </c>
      <c r="K185" s="239">
        <f t="shared" ref="K185:K248" si="966">ROUND(K184*IF($S$4="5인 이상",1.5,1),0)</f>
        <v>0</v>
      </c>
      <c r="L185" s="239">
        <f t="shared" ref="L185:L248" si="967">ROUND(L184*IF($S$4="5인 이상",1.5,1)+L184*IF($S$4="5인 이상",0.5,1),0)</f>
        <v>0</v>
      </c>
      <c r="M185" s="240"/>
      <c r="N185" s="236"/>
      <c r="O185" s="241"/>
      <c r="P185" s="241"/>
      <c r="Q185" s="241"/>
      <c r="R185" s="241"/>
      <c r="S185" s="241"/>
      <c r="T185" s="241"/>
      <c r="U185" s="241"/>
    </row>
    <row r="186" spans="2:21" ht="21.5" customHeight="1">
      <c r="B186" s="225">
        <f>'임금대장 양식'!B186</f>
        <v>0</v>
      </c>
      <c r="C186" s="225" cm="1">
        <f t="array" ref="C186:C187">'임금대장 양식'!C186:C187</f>
        <v>0</v>
      </c>
      <c r="D186" s="225">
        <f>'임금대장 양식'!D186</f>
        <v>0</v>
      </c>
      <c r="E186" s="226">
        <f>'임금대장 양식'!E186</f>
        <v>0</v>
      </c>
      <c r="F186" s="227">
        <f>'임금대장 양식'!F186</f>
        <v>0</v>
      </c>
      <c r="G186" s="228">
        <f t="shared" ref="G186" si="968">IFERROR((F186)/M186,0)</f>
        <v>0</v>
      </c>
      <c r="H186" s="229">
        <f t="shared" ref="H186:H249" si="969">IF(F186=0,0,ROUND((8*5)*(365/12/7),0))</f>
        <v>0</v>
      </c>
      <c r="I186" s="229">
        <f t="shared" ref="I186:I249" si="970">IF(F186=0,0,ROUND(8*365/12/7,0))</f>
        <v>0</v>
      </c>
      <c r="J186" s="230">
        <f>'임금대장 양식'!J186</f>
        <v>0</v>
      </c>
      <c r="K186" s="231">
        <f>'임금대장 양식'!K186</f>
        <v>0</v>
      </c>
      <c r="L186" s="231">
        <f>'임금대장 양식'!L186</f>
        <v>0</v>
      </c>
      <c r="M186" s="232">
        <f t="shared" ref="M186:M249" si="971">H186+I186+J187+K187+L187</f>
        <v>0</v>
      </c>
      <c r="N186" s="227">
        <f t="shared" ref="N186:N249" si="972">IF(G186=0,0,G186*(H186+I186)-(R186+S186+T186+U186))</f>
        <v>0</v>
      </c>
      <c r="O186" s="233">
        <f t="shared" ref="O186:O249" si="973">G186*J187</f>
        <v>0</v>
      </c>
      <c r="P186" s="233">
        <f t="shared" ref="P186:P249" si="974">G186*K187</f>
        <v>0</v>
      </c>
      <c r="Q186" s="233">
        <f t="shared" ref="Q186:Q249" si="975">G186*L187</f>
        <v>0</v>
      </c>
      <c r="R186" s="233">
        <f>'임금대장 양식'!R186</f>
        <v>0</v>
      </c>
      <c r="S186" s="233">
        <f>'임금대장 양식'!S186</f>
        <v>0</v>
      </c>
      <c r="T186" s="233">
        <f>'임금대장 양식'!T186</f>
        <v>0</v>
      </c>
      <c r="U186" s="233">
        <f>'임금대장 양식'!U186</f>
        <v>0</v>
      </c>
    </row>
    <row r="187" spans="2:21" ht="21.5" customHeight="1">
      <c r="B187" s="234"/>
      <c r="C187" s="234">
        <v>0</v>
      </c>
      <c r="D187" s="210">
        <f>'임금대장 양식'!D187</f>
        <v>0</v>
      </c>
      <c r="E187" s="235"/>
      <c r="F187" s="236"/>
      <c r="G187" s="237"/>
      <c r="H187" s="238"/>
      <c r="I187" s="238"/>
      <c r="J187" s="239">
        <f t="shared" ref="J187:J250" si="976">ROUND(J186*(365/12/7)*IF($S$4="5인 이상",1.5,1),0)</f>
        <v>0</v>
      </c>
      <c r="K187" s="239">
        <f t="shared" ref="K187:K250" si="977">ROUND(K186*IF($S$4="5인 이상",1.5,1),0)</f>
        <v>0</v>
      </c>
      <c r="L187" s="239">
        <f t="shared" ref="L187:L250" si="978">ROUND(L186*IF($S$4="5인 이상",1.5,1)+L186*IF($S$4="5인 이상",0.5,1),0)</f>
        <v>0</v>
      </c>
      <c r="M187" s="240"/>
      <c r="N187" s="236"/>
      <c r="O187" s="241"/>
      <c r="P187" s="241"/>
      <c r="Q187" s="241"/>
      <c r="R187" s="241"/>
      <c r="S187" s="241"/>
      <c r="T187" s="241"/>
      <c r="U187" s="241"/>
    </row>
    <row r="188" spans="2:21" ht="21.5" customHeight="1">
      <c r="B188" s="225">
        <f>'임금대장 양식'!B188</f>
        <v>0</v>
      </c>
      <c r="C188" s="225" cm="1">
        <f t="array" ref="C188:C189">'임금대장 양식'!C188:C189</f>
        <v>0</v>
      </c>
      <c r="D188" s="225">
        <f>'임금대장 양식'!D188</f>
        <v>0</v>
      </c>
      <c r="E188" s="226">
        <f>'임금대장 양식'!E188</f>
        <v>0</v>
      </c>
      <c r="F188" s="227">
        <f>'임금대장 양식'!F188</f>
        <v>0</v>
      </c>
      <c r="G188" s="228">
        <f t="shared" ref="G188" si="979">IFERROR((F188)/M188,0)</f>
        <v>0</v>
      </c>
      <c r="H188" s="229">
        <f t="shared" ref="H188:H251" si="980">IF(F188=0,0,ROUND((8*5)*(365/12/7),0))</f>
        <v>0</v>
      </c>
      <c r="I188" s="229">
        <f t="shared" ref="I188:I251" si="981">IF(F188=0,0,ROUND(8*365/12/7,0))</f>
        <v>0</v>
      </c>
      <c r="J188" s="230">
        <f>'임금대장 양식'!J188</f>
        <v>0</v>
      </c>
      <c r="K188" s="231">
        <f>'임금대장 양식'!K188</f>
        <v>0</v>
      </c>
      <c r="L188" s="231">
        <f>'임금대장 양식'!L188</f>
        <v>0</v>
      </c>
      <c r="M188" s="232">
        <f t="shared" ref="M188:M251" si="982">H188+I188+J189+K189+L189</f>
        <v>0</v>
      </c>
      <c r="N188" s="227">
        <f t="shared" ref="N188:N251" si="983">IF(G188=0,0,G188*(H188+I188)-(R188+S188+T188+U188))</f>
        <v>0</v>
      </c>
      <c r="O188" s="233">
        <f t="shared" ref="O188:O251" si="984">G188*J189</f>
        <v>0</v>
      </c>
      <c r="P188" s="233">
        <f t="shared" ref="P188:P251" si="985">G188*K189</f>
        <v>0</v>
      </c>
      <c r="Q188" s="233">
        <f t="shared" ref="Q188:Q251" si="986">G188*L189</f>
        <v>0</v>
      </c>
      <c r="R188" s="233">
        <f>'임금대장 양식'!R188</f>
        <v>0</v>
      </c>
      <c r="S188" s="233">
        <f>'임금대장 양식'!S188</f>
        <v>0</v>
      </c>
      <c r="T188" s="233">
        <f>'임금대장 양식'!T188</f>
        <v>0</v>
      </c>
      <c r="U188" s="233">
        <f>'임금대장 양식'!U188</f>
        <v>0</v>
      </c>
    </row>
    <row r="189" spans="2:21" ht="21.5" customHeight="1">
      <c r="B189" s="234"/>
      <c r="C189" s="234">
        <v>0</v>
      </c>
      <c r="D189" s="210">
        <f>'임금대장 양식'!D189</f>
        <v>0</v>
      </c>
      <c r="E189" s="235"/>
      <c r="F189" s="236"/>
      <c r="G189" s="237"/>
      <c r="H189" s="238"/>
      <c r="I189" s="238"/>
      <c r="J189" s="239">
        <f t="shared" ref="J189:J252" si="987">ROUND(J188*(365/12/7)*IF($S$4="5인 이상",1.5,1),0)</f>
        <v>0</v>
      </c>
      <c r="K189" s="239">
        <f t="shared" ref="K189:K252" si="988">ROUND(K188*IF($S$4="5인 이상",1.5,1),0)</f>
        <v>0</v>
      </c>
      <c r="L189" s="239">
        <f t="shared" ref="L189:L252" si="989">ROUND(L188*IF($S$4="5인 이상",1.5,1)+L188*IF($S$4="5인 이상",0.5,1),0)</f>
        <v>0</v>
      </c>
      <c r="M189" s="240"/>
      <c r="N189" s="236"/>
      <c r="O189" s="241"/>
      <c r="P189" s="241"/>
      <c r="Q189" s="241"/>
      <c r="R189" s="241"/>
      <c r="S189" s="241"/>
      <c r="T189" s="241"/>
      <c r="U189" s="241"/>
    </row>
    <row r="190" spans="2:21" ht="21.5" customHeight="1">
      <c r="B190" s="225">
        <f>'임금대장 양식'!B190</f>
        <v>0</v>
      </c>
      <c r="C190" s="225" cm="1">
        <f t="array" ref="C190:C191">'임금대장 양식'!C190:C191</f>
        <v>0</v>
      </c>
      <c r="D190" s="225">
        <f>'임금대장 양식'!D190</f>
        <v>0</v>
      </c>
      <c r="E190" s="226">
        <f>'임금대장 양식'!E190</f>
        <v>0</v>
      </c>
      <c r="F190" s="227">
        <f>'임금대장 양식'!F190</f>
        <v>0</v>
      </c>
      <c r="G190" s="228">
        <f t="shared" ref="G190" si="990">IFERROR((F190)/M190,0)</f>
        <v>0</v>
      </c>
      <c r="H190" s="229">
        <f t="shared" ref="H190:H253" si="991">IF(F190=0,0,ROUND((8*5)*(365/12/7),0))</f>
        <v>0</v>
      </c>
      <c r="I190" s="229">
        <f t="shared" ref="I190:I253" si="992">IF(F190=0,0,ROUND(8*365/12/7,0))</f>
        <v>0</v>
      </c>
      <c r="J190" s="230">
        <f>'임금대장 양식'!J190</f>
        <v>0</v>
      </c>
      <c r="K190" s="231">
        <f>'임금대장 양식'!K190</f>
        <v>0</v>
      </c>
      <c r="L190" s="231">
        <f>'임금대장 양식'!L190</f>
        <v>0</v>
      </c>
      <c r="M190" s="232">
        <f t="shared" ref="M190:M253" si="993">H190+I190+J191+K191+L191</f>
        <v>0</v>
      </c>
      <c r="N190" s="227">
        <f t="shared" ref="N190:N253" si="994">IF(G190=0,0,G190*(H190+I190)-(R190+S190+T190+U190))</f>
        <v>0</v>
      </c>
      <c r="O190" s="233">
        <f t="shared" ref="O190:O253" si="995">G190*J191</f>
        <v>0</v>
      </c>
      <c r="P190" s="233">
        <f t="shared" ref="P190:P253" si="996">G190*K191</f>
        <v>0</v>
      </c>
      <c r="Q190" s="233">
        <f t="shared" ref="Q190:Q253" si="997">G190*L191</f>
        <v>0</v>
      </c>
      <c r="R190" s="233">
        <f>'임금대장 양식'!R190</f>
        <v>0</v>
      </c>
      <c r="S190" s="233">
        <f>'임금대장 양식'!S190</f>
        <v>0</v>
      </c>
      <c r="T190" s="233">
        <f>'임금대장 양식'!T190</f>
        <v>0</v>
      </c>
      <c r="U190" s="233">
        <f>'임금대장 양식'!U190</f>
        <v>0</v>
      </c>
    </row>
    <row r="191" spans="2:21" ht="21.5" customHeight="1">
      <c r="B191" s="234"/>
      <c r="C191" s="234">
        <v>0</v>
      </c>
      <c r="D191" s="210">
        <f>'임금대장 양식'!D191</f>
        <v>0</v>
      </c>
      <c r="E191" s="235"/>
      <c r="F191" s="236"/>
      <c r="G191" s="237"/>
      <c r="H191" s="238"/>
      <c r="I191" s="238"/>
      <c r="J191" s="239">
        <f t="shared" ref="J191:J254" si="998">ROUND(J190*(365/12/7)*IF($S$4="5인 이상",1.5,1),0)</f>
        <v>0</v>
      </c>
      <c r="K191" s="239">
        <f t="shared" ref="K191:K254" si="999">ROUND(K190*IF($S$4="5인 이상",1.5,1),0)</f>
        <v>0</v>
      </c>
      <c r="L191" s="239">
        <f t="shared" ref="L191:L254" si="1000">ROUND(L190*IF($S$4="5인 이상",1.5,1)+L190*IF($S$4="5인 이상",0.5,1),0)</f>
        <v>0</v>
      </c>
      <c r="M191" s="240"/>
      <c r="N191" s="236"/>
      <c r="O191" s="241"/>
      <c r="P191" s="241"/>
      <c r="Q191" s="241"/>
      <c r="R191" s="241"/>
      <c r="S191" s="241"/>
      <c r="T191" s="241"/>
      <c r="U191" s="241"/>
    </row>
    <row r="192" spans="2:21" ht="21.5" customHeight="1">
      <c r="B192" s="225">
        <f>'임금대장 양식'!B192</f>
        <v>0</v>
      </c>
      <c r="C192" s="225" cm="1">
        <f t="array" ref="C192:C193">'임금대장 양식'!C192:C193</f>
        <v>0</v>
      </c>
      <c r="D192" s="225">
        <f>'임금대장 양식'!D192</f>
        <v>0</v>
      </c>
      <c r="E192" s="226">
        <f>'임금대장 양식'!E192</f>
        <v>0</v>
      </c>
      <c r="F192" s="227">
        <f>'임금대장 양식'!F192</f>
        <v>0</v>
      </c>
      <c r="G192" s="228">
        <f t="shared" ref="G192" si="1001">IFERROR((F192)/M192,0)</f>
        <v>0</v>
      </c>
      <c r="H192" s="229">
        <f t="shared" ref="H192:H255" si="1002">IF(F192=0,0,ROUND((8*5)*(365/12/7),0))</f>
        <v>0</v>
      </c>
      <c r="I192" s="229">
        <f t="shared" ref="I192:I255" si="1003">IF(F192=0,0,ROUND(8*365/12/7,0))</f>
        <v>0</v>
      </c>
      <c r="J192" s="230">
        <f>'임금대장 양식'!J192</f>
        <v>0</v>
      </c>
      <c r="K192" s="231">
        <f>'임금대장 양식'!K192</f>
        <v>0</v>
      </c>
      <c r="L192" s="231">
        <f>'임금대장 양식'!L192</f>
        <v>0</v>
      </c>
      <c r="M192" s="232">
        <f t="shared" ref="M192:M255" si="1004">H192+I192+J193+K193+L193</f>
        <v>0</v>
      </c>
      <c r="N192" s="227">
        <f t="shared" ref="N192:N255" si="1005">IF(G192=0,0,G192*(H192+I192)-(R192+S192+T192+U192))</f>
        <v>0</v>
      </c>
      <c r="O192" s="233">
        <f t="shared" ref="O192:O255" si="1006">G192*J193</f>
        <v>0</v>
      </c>
      <c r="P192" s="233">
        <f t="shared" ref="P192:P255" si="1007">G192*K193</f>
        <v>0</v>
      </c>
      <c r="Q192" s="233">
        <f t="shared" ref="Q192:Q255" si="1008">G192*L193</f>
        <v>0</v>
      </c>
      <c r="R192" s="233">
        <f>'임금대장 양식'!R192</f>
        <v>0</v>
      </c>
      <c r="S192" s="233">
        <f>'임금대장 양식'!S192</f>
        <v>0</v>
      </c>
      <c r="T192" s="233">
        <f>'임금대장 양식'!T192</f>
        <v>0</v>
      </c>
      <c r="U192" s="233">
        <f>'임금대장 양식'!U192</f>
        <v>0</v>
      </c>
    </row>
    <row r="193" spans="2:21" ht="21.5" customHeight="1">
      <c r="B193" s="234"/>
      <c r="C193" s="234">
        <v>0</v>
      </c>
      <c r="D193" s="210">
        <f>'임금대장 양식'!D193</f>
        <v>0</v>
      </c>
      <c r="E193" s="235"/>
      <c r="F193" s="236"/>
      <c r="G193" s="237"/>
      <c r="H193" s="238"/>
      <c r="I193" s="238"/>
      <c r="J193" s="239">
        <f t="shared" ref="J193:J256" si="1009">ROUND(J192*(365/12/7)*IF($S$4="5인 이상",1.5,1),0)</f>
        <v>0</v>
      </c>
      <c r="K193" s="239">
        <f t="shared" ref="K193:K256" si="1010">ROUND(K192*IF($S$4="5인 이상",1.5,1),0)</f>
        <v>0</v>
      </c>
      <c r="L193" s="239">
        <f t="shared" ref="L193:L256" si="1011">ROUND(L192*IF($S$4="5인 이상",1.5,1)+L192*IF($S$4="5인 이상",0.5,1),0)</f>
        <v>0</v>
      </c>
      <c r="M193" s="240"/>
      <c r="N193" s="236"/>
      <c r="O193" s="241"/>
      <c r="P193" s="241"/>
      <c r="Q193" s="241"/>
      <c r="R193" s="241"/>
      <c r="S193" s="241"/>
      <c r="T193" s="241"/>
      <c r="U193" s="241"/>
    </row>
    <row r="194" spans="2:21" ht="21.5" customHeight="1">
      <c r="B194" s="225">
        <f>'임금대장 양식'!B194</f>
        <v>0</v>
      </c>
      <c r="C194" s="225" cm="1">
        <f t="array" ref="C194:C195">'임금대장 양식'!C194:C195</f>
        <v>0</v>
      </c>
      <c r="D194" s="225">
        <f>'임금대장 양식'!D194</f>
        <v>0</v>
      </c>
      <c r="E194" s="226">
        <f>'임금대장 양식'!E194</f>
        <v>0</v>
      </c>
      <c r="F194" s="227">
        <f>'임금대장 양식'!F194</f>
        <v>0</v>
      </c>
      <c r="G194" s="228">
        <f t="shared" ref="G194" si="1012">IFERROR((F194)/M194,0)</f>
        <v>0</v>
      </c>
      <c r="H194" s="229">
        <f t="shared" ref="H194:H257" si="1013">IF(F194=0,0,ROUND((8*5)*(365/12/7),0))</f>
        <v>0</v>
      </c>
      <c r="I194" s="229">
        <f t="shared" ref="I194:I257" si="1014">IF(F194=0,0,ROUND(8*365/12/7,0))</f>
        <v>0</v>
      </c>
      <c r="J194" s="230">
        <f>'임금대장 양식'!J194</f>
        <v>0</v>
      </c>
      <c r="K194" s="231">
        <f>'임금대장 양식'!K194</f>
        <v>0</v>
      </c>
      <c r="L194" s="231">
        <f>'임금대장 양식'!L194</f>
        <v>0</v>
      </c>
      <c r="M194" s="232">
        <f t="shared" ref="M194:M257" si="1015">H194+I194+J195+K195+L195</f>
        <v>0</v>
      </c>
      <c r="N194" s="227">
        <f t="shared" ref="N194:N257" si="1016">IF(G194=0,0,G194*(H194+I194)-(R194+S194+T194+U194))</f>
        <v>0</v>
      </c>
      <c r="O194" s="233">
        <f t="shared" ref="O194:O257" si="1017">G194*J195</f>
        <v>0</v>
      </c>
      <c r="P194" s="233">
        <f t="shared" ref="P194:P257" si="1018">G194*K195</f>
        <v>0</v>
      </c>
      <c r="Q194" s="233">
        <f t="shared" ref="Q194:Q257" si="1019">G194*L195</f>
        <v>0</v>
      </c>
      <c r="R194" s="233">
        <f>'임금대장 양식'!R194</f>
        <v>0</v>
      </c>
      <c r="S194" s="233">
        <f>'임금대장 양식'!S194</f>
        <v>0</v>
      </c>
      <c r="T194" s="233">
        <f>'임금대장 양식'!T194</f>
        <v>0</v>
      </c>
      <c r="U194" s="233">
        <f>'임금대장 양식'!U194</f>
        <v>0</v>
      </c>
    </row>
    <row r="195" spans="2:21" ht="21.5" customHeight="1">
      <c r="B195" s="234"/>
      <c r="C195" s="234">
        <v>0</v>
      </c>
      <c r="D195" s="210">
        <f>'임금대장 양식'!D195</f>
        <v>0</v>
      </c>
      <c r="E195" s="235"/>
      <c r="F195" s="236"/>
      <c r="G195" s="237"/>
      <c r="H195" s="238"/>
      <c r="I195" s="238"/>
      <c r="J195" s="239">
        <f t="shared" ref="J195:J258" si="1020">ROUND(J194*(365/12/7)*IF($S$4="5인 이상",1.5,1),0)</f>
        <v>0</v>
      </c>
      <c r="K195" s="239">
        <f t="shared" ref="K195:K258" si="1021">ROUND(K194*IF($S$4="5인 이상",1.5,1),0)</f>
        <v>0</v>
      </c>
      <c r="L195" s="239">
        <f t="shared" ref="L195:L258" si="1022">ROUND(L194*IF($S$4="5인 이상",1.5,1)+L194*IF($S$4="5인 이상",0.5,1),0)</f>
        <v>0</v>
      </c>
      <c r="M195" s="240"/>
      <c r="N195" s="236"/>
      <c r="O195" s="241"/>
      <c r="P195" s="241"/>
      <c r="Q195" s="241"/>
      <c r="R195" s="241"/>
      <c r="S195" s="241"/>
      <c r="T195" s="241"/>
      <c r="U195" s="241"/>
    </row>
    <row r="196" spans="2:21" ht="21.5" customHeight="1">
      <c r="B196" s="225">
        <f>'임금대장 양식'!B196</f>
        <v>0</v>
      </c>
      <c r="C196" s="225" cm="1">
        <f t="array" ref="C196:C197">'임금대장 양식'!C196:C197</f>
        <v>0</v>
      </c>
      <c r="D196" s="225">
        <f>'임금대장 양식'!D196</f>
        <v>0</v>
      </c>
      <c r="E196" s="226">
        <f>'임금대장 양식'!E196</f>
        <v>0</v>
      </c>
      <c r="F196" s="227">
        <f>'임금대장 양식'!F196</f>
        <v>0</v>
      </c>
      <c r="G196" s="228">
        <f t="shared" ref="G196" si="1023">IFERROR((F196)/M196,0)</f>
        <v>0</v>
      </c>
      <c r="H196" s="229">
        <f t="shared" ref="H196:H259" si="1024">IF(F196=0,0,ROUND((8*5)*(365/12/7),0))</f>
        <v>0</v>
      </c>
      <c r="I196" s="229">
        <f t="shared" ref="I196:I259" si="1025">IF(F196=0,0,ROUND(8*365/12/7,0))</f>
        <v>0</v>
      </c>
      <c r="J196" s="230">
        <f>'임금대장 양식'!J196</f>
        <v>0</v>
      </c>
      <c r="K196" s="231">
        <f>'임금대장 양식'!K196</f>
        <v>0</v>
      </c>
      <c r="L196" s="231">
        <f>'임금대장 양식'!L196</f>
        <v>0</v>
      </c>
      <c r="M196" s="232">
        <f t="shared" ref="M196:M259" si="1026">H196+I196+J197+K197+L197</f>
        <v>0</v>
      </c>
      <c r="N196" s="227">
        <f t="shared" ref="N196:N259" si="1027">IF(G196=0,0,G196*(H196+I196)-(R196+S196+T196+U196))</f>
        <v>0</v>
      </c>
      <c r="O196" s="233">
        <f t="shared" ref="O196:O259" si="1028">G196*J197</f>
        <v>0</v>
      </c>
      <c r="P196" s="233">
        <f t="shared" ref="P196:P259" si="1029">G196*K197</f>
        <v>0</v>
      </c>
      <c r="Q196" s="233">
        <f t="shared" ref="Q196:Q259" si="1030">G196*L197</f>
        <v>0</v>
      </c>
      <c r="R196" s="233">
        <f>'임금대장 양식'!R196</f>
        <v>0</v>
      </c>
      <c r="S196" s="233">
        <f>'임금대장 양식'!S196</f>
        <v>0</v>
      </c>
      <c r="T196" s="233">
        <f>'임금대장 양식'!T196</f>
        <v>0</v>
      </c>
      <c r="U196" s="233">
        <f>'임금대장 양식'!U196</f>
        <v>0</v>
      </c>
    </row>
    <row r="197" spans="2:21" ht="21.5" customHeight="1">
      <c r="B197" s="234"/>
      <c r="C197" s="234">
        <v>0</v>
      </c>
      <c r="D197" s="210">
        <f>'임금대장 양식'!D197</f>
        <v>0</v>
      </c>
      <c r="E197" s="235"/>
      <c r="F197" s="236"/>
      <c r="G197" s="237"/>
      <c r="H197" s="238"/>
      <c r="I197" s="238"/>
      <c r="J197" s="239">
        <f t="shared" ref="J197:J260" si="1031">ROUND(J196*(365/12/7)*IF($S$4="5인 이상",1.5,1),0)</f>
        <v>0</v>
      </c>
      <c r="K197" s="239">
        <f t="shared" ref="K197:K260" si="1032">ROUND(K196*IF($S$4="5인 이상",1.5,1),0)</f>
        <v>0</v>
      </c>
      <c r="L197" s="239">
        <f t="shared" ref="L197:L260" si="1033">ROUND(L196*IF($S$4="5인 이상",1.5,1)+L196*IF($S$4="5인 이상",0.5,1),0)</f>
        <v>0</v>
      </c>
      <c r="M197" s="240"/>
      <c r="N197" s="236"/>
      <c r="O197" s="241"/>
      <c r="P197" s="241"/>
      <c r="Q197" s="241"/>
      <c r="R197" s="241"/>
      <c r="S197" s="241"/>
      <c r="T197" s="241"/>
      <c r="U197" s="241"/>
    </row>
    <row r="198" spans="2:21" ht="21.5" customHeight="1">
      <c r="B198" s="225">
        <f>'임금대장 양식'!B198</f>
        <v>0</v>
      </c>
      <c r="C198" s="225" cm="1">
        <f t="array" ref="C198:C199">'임금대장 양식'!C198:C199</f>
        <v>0</v>
      </c>
      <c r="D198" s="225">
        <f>'임금대장 양식'!D198</f>
        <v>0</v>
      </c>
      <c r="E198" s="226">
        <f>'임금대장 양식'!E198</f>
        <v>0</v>
      </c>
      <c r="F198" s="227">
        <f>'임금대장 양식'!F198</f>
        <v>0</v>
      </c>
      <c r="G198" s="228">
        <f t="shared" ref="G198" si="1034">IFERROR((F198)/M198,0)</f>
        <v>0</v>
      </c>
      <c r="H198" s="229">
        <f t="shared" ref="H198:H261" si="1035">IF(F198=0,0,ROUND((8*5)*(365/12/7),0))</f>
        <v>0</v>
      </c>
      <c r="I198" s="229">
        <f t="shared" ref="I198:I261" si="1036">IF(F198=0,0,ROUND(8*365/12/7,0))</f>
        <v>0</v>
      </c>
      <c r="J198" s="230">
        <f>'임금대장 양식'!J198</f>
        <v>0</v>
      </c>
      <c r="K198" s="231">
        <f>'임금대장 양식'!K198</f>
        <v>0</v>
      </c>
      <c r="L198" s="231">
        <f>'임금대장 양식'!L198</f>
        <v>0</v>
      </c>
      <c r="M198" s="232">
        <f t="shared" ref="M198:M261" si="1037">H198+I198+J199+K199+L199</f>
        <v>0</v>
      </c>
      <c r="N198" s="227">
        <f t="shared" ref="N198:N261" si="1038">IF(G198=0,0,G198*(H198+I198)-(R198+S198+T198+U198))</f>
        <v>0</v>
      </c>
      <c r="O198" s="233">
        <f t="shared" ref="O198:O261" si="1039">G198*J199</f>
        <v>0</v>
      </c>
      <c r="P198" s="233">
        <f t="shared" ref="P198:P261" si="1040">G198*K199</f>
        <v>0</v>
      </c>
      <c r="Q198" s="233">
        <f t="shared" ref="Q198:Q261" si="1041">G198*L199</f>
        <v>0</v>
      </c>
      <c r="R198" s="233">
        <f>'임금대장 양식'!R198</f>
        <v>0</v>
      </c>
      <c r="S198" s="233">
        <f>'임금대장 양식'!S198</f>
        <v>0</v>
      </c>
      <c r="T198" s="233">
        <f>'임금대장 양식'!T198</f>
        <v>0</v>
      </c>
      <c r="U198" s="233">
        <f>'임금대장 양식'!U198</f>
        <v>0</v>
      </c>
    </row>
    <row r="199" spans="2:21" ht="21.5" customHeight="1">
      <c r="B199" s="234"/>
      <c r="C199" s="234">
        <v>0</v>
      </c>
      <c r="D199" s="210">
        <f>'임금대장 양식'!D199</f>
        <v>0</v>
      </c>
      <c r="E199" s="235"/>
      <c r="F199" s="236"/>
      <c r="G199" s="237"/>
      <c r="H199" s="238"/>
      <c r="I199" s="238"/>
      <c r="J199" s="239">
        <f t="shared" ref="J199:J262" si="1042">ROUND(J198*(365/12/7)*IF($S$4="5인 이상",1.5,1),0)</f>
        <v>0</v>
      </c>
      <c r="K199" s="239">
        <f t="shared" ref="K199:K262" si="1043">ROUND(K198*IF($S$4="5인 이상",1.5,1),0)</f>
        <v>0</v>
      </c>
      <c r="L199" s="239">
        <f t="shared" ref="L199:L262" si="1044">ROUND(L198*IF($S$4="5인 이상",1.5,1)+L198*IF($S$4="5인 이상",0.5,1),0)</f>
        <v>0</v>
      </c>
      <c r="M199" s="240"/>
      <c r="N199" s="236"/>
      <c r="O199" s="241"/>
      <c r="P199" s="241"/>
      <c r="Q199" s="241"/>
      <c r="R199" s="241"/>
      <c r="S199" s="241"/>
      <c r="T199" s="241"/>
      <c r="U199" s="241"/>
    </row>
    <row r="200" spans="2:21" ht="21.5" customHeight="1">
      <c r="B200" s="225">
        <f>'임금대장 양식'!B200</f>
        <v>0</v>
      </c>
      <c r="C200" s="225" cm="1">
        <f t="array" ref="C200:C201">'임금대장 양식'!C200:C201</f>
        <v>0</v>
      </c>
      <c r="D200" s="225">
        <f>'임금대장 양식'!D200</f>
        <v>0</v>
      </c>
      <c r="E200" s="226">
        <f>'임금대장 양식'!E200</f>
        <v>0</v>
      </c>
      <c r="F200" s="227">
        <f>'임금대장 양식'!F200</f>
        <v>0</v>
      </c>
      <c r="G200" s="228">
        <f t="shared" ref="G200" si="1045">IFERROR((F200)/M200,0)</f>
        <v>0</v>
      </c>
      <c r="H200" s="229">
        <f t="shared" ref="H200:H263" si="1046">IF(F200=0,0,ROUND((8*5)*(365/12/7),0))</f>
        <v>0</v>
      </c>
      <c r="I200" s="229">
        <f t="shared" ref="I200:I263" si="1047">IF(F200=0,0,ROUND(8*365/12/7,0))</f>
        <v>0</v>
      </c>
      <c r="J200" s="230">
        <f>'임금대장 양식'!J200</f>
        <v>0</v>
      </c>
      <c r="K200" s="231">
        <f>'임금대장 양식'!K200</f>
        <v>0</v>
      </c>
      <c r="L200" s="231">
        <f>'임금대장 양식'!L200</f>
        <v>0</v>
      </c>
      <c r="M200" s="232">
        <f t="shared" ref="M200:M263" si="1048">H200+I200+J201+K201+L201</f>
        <v>0</v>
      </c>
      <c r="N200" s="227">
        <f t="shared" ref="N200:N263" si="1049">IF(G200=0,0,G200*(H200+I200)-(R200+S200+T200+U200))</f>
        <v>0</v>
      </c>
      <c r="O200" s="233">
        <f t="shared" ref="O200:O263" si="1050">G200*J201</f>
        <v>0</v>
      </c>
      <c r="P200" s="233">
        <f t="shared" ref="P200:P263" si="1051">G200*K201</f>
        <v>0</v>
      </c>
      <c r="Q200" s="233">
        <f t="shared" ref="Q200:Q263" si="1052">G200*L201</f>
        <v>0</v>
      </c>
      <c r="R200" s="233">
        <f>'임금대장 양식'!R200</f>
        <v>0</v>
      </c>
      <c r="S200" s="233">
        <f>'임금대장 양식'!S200</f>
        <v>0</v>
      </c>
      <c r="T200" s="233">
        <f>'임금대장 양식'!T200</f>
        <v>0</v>
      </c>
      <c r="U200" s="233">
        <f>'임금대장 양식'!U200</f>
        <v>0</v>
      </c>
    </row>
    <row r="201" spans="2:21" ht="21.5" customHeight="1">
      <c r="B201" s="234"/>
      <c r="C201" s="234">
        <v>0</v>
      </c>
      <c r="D201" s="210">
        <f>'임금대장 양식'!D201</f>
        <v>0</v>
      </c>
      <c r="E201" s="235"/>
      <c r="F201" s="236"/>
      <c r="G201" s="237"/>
      <c r="H201" s="238"/>
      <c r="I201" s="238"/>
      <c r="J201" s="239">
        <f t="shared" ref="J201:J264" si="1053">ROUND(J200*(365/12/7)*IF($S$4="5인 이상",1.5,1),0)</f>
        <v>0</v>
      </c>
      <c r="K201" s="239">
        <f t="shared" ref="K201:K264" si="1054">ROUND(K200*IF($S$4="5인 이상",1.5,1),0)</f>
        <v>0</v>
      </c>
      <c r="L201" s="239">
        <f t="shared" ref="L201:L264" si="1055">ROUND(L200*IF($S$4="5인 이상",1.5,1)+L200*IF($S$4="5인 이상",0.5,1),0)</f>
        <v>0</v>
      </c>
      <c r="M201" s="240"/>
      <c r="N201" s="236"/>
      <c r="O201" s="241"/>
      <c r="P201" s="241"/>
      <c r="Q201" s="241"/>
      <c r="R201" s="241"/>
      <c r="S201" s="241"/>
      <c r="T201" s="241"/>
      <c r="U201" s="241"/>
    </row>
    <row r="202" spans="2:21" ht="21.5" customHeight="1">
      <c r="B202" s="225">
        <f>'임금대장 양식'!B202</f>
        <v>0</v>
      </c>
      <c r="C202" s="225" cm="1">
        <f t="array" ref="C202:C203">'임금대장 양식'!C202:C203</f>
        <v>0</v>
      </c>
      <c r="D202" s="225">
        <f>'임금대장 양식'!D202</f>
        <v>0</v>
      </c>
      <c r="E202" s="226">
        <f>'임금대장 양식'!E202</f>
        <v>0</v>
      </c>
      <c r="F202" s="227">
        <f>'임금대장 양식'!F202</f>
        <v>0</v>
      </c>
      <c r="G202" s="228">
        <f t="shared" ref="G202" si="1056">IFERROR((F202)/M202,0)</f>
        <v>0</v>
      </c>
      <c r="H202" s="229">
        <f t="shared" ref="H202:H265" si="1057">IF(F202=0,0,ROUND((8*5)*(365/12/7),0))</f>
        <v>0</v>
      </c>
      <c r="I202" s="229">
        <f t="shared" ref="I202:I265" si="1058">IF(F202=0,0,ROUND(8*365/12/7,0))</f>
        <v>0</v>
      </c>
      <c r="J202" s="230">
        <f>'임금대장 양식'!J202</f>
        <v>0</v>
      </c>
      <c r="K202" s="231">
        <f>'임금대장 양식'!K202</f>
        <v>0</v>
      </c>
      <c r="L202" s="231">
        <f>'임금대장 양식'!L202</f>
        <v>0</v>
      </c>
      <c r="M202" s="232">
        <f t="shared" ref="M202:M265" si="1059">H202+I202+J203+K203+L203</f>
        <v>0</v>
      </c>
      <c r="N202" s="227">
        <f t="shared" ref="N202:N265" si="1060">IF(G202=0,0,G202*(H202+I202)-(R202+S202+T202+U202))</f>
        <v>0</v>
      </c>
      <c r="O202" s="233">
        <f t="shared" ref="O202:O265" si="1061">G202*J203</f>
        <v>0</v>
      </c>
      <c r="P202" s="233">
        <f t="shared" ref="P202:P265" si="1062">G202*K203</f>
        <v>0</v>
      </c>
      <c r="Q202" s="233">
        <f t="shared" ref="Q202:Q265" si="1063">G202*L203</f>
        <v>0</v>
      </c>
      <c r="R202" s="233">
        <f>'임금대장 양식'!R202</f>
        <v>0</v>
      </c>
      <c r="S202" s="233">
        <f>'임금대장 양식'!S202</f>
        <v>0</v>
      </c>
      <c r="T202" s="233">
        <f>'임금대장 양식'!T202</f>
        <v>0</v>
      </c>
      <c r="U202" s="233">
        <f>'임금대장 양식'!U202</f>
        <v>0</v>
      </c>
    </row>
    <row r="203" spans="2:21" ht="21.5" customHeight="1">
      <c r="B203" s="234"/>
      <c r="C203" s="234">
        <v>0</v>
      </c>
      <c r="D203" s="210">
        <f>'임금대장 양식'!D203</f>
        <v>0</v>
      </c>
      <c r="E203" s="235"/>
      <c r="F203" s="236"/>
      <c r="G203" s="237"/>
      <c r="H203" s="238"/>
      <c r="I203" s="238"/>
      <c r="J203" s="239">
        <f t="shared" ref="J203:J266" si="1064">ROUND(J202*(365/12/7)*IF($S$4="5인 이상",1.5,1),0)</f>
        <v>0</v>
      </c>
      <c r="K203" s="239">
        <f t="shared" ref="K203:K266" si="1065">ROUND(K202*IF($S$4="5인 이상",1.5,1),0)</f>
        <v>0</v>
      </c>
      <c r="L203" s="239">
        <f t="shared" ref="L203:L266" si="1066">ROUND(L202*IF($S$4="5인 이상",1.5,1)+L202*IF($S$4="5인 이상",0.5,1),0)</f>
        <v>0</v>
      </c>
      <c r="M203" s="240"/>
      <c r="N203" s="236"/>
      <c r="O203" s="241"/>
      <c r="P203" s="241"/>
      <c r="Q203" s="241"/>
      <c r="R203" s="241"/>
      <c r="S203" s="241"/>
      <c r="T203" s="241"/>
      <c r="U203" s="241"/>
    </row>
    <row r="204" spans="2:21" ht="21.5" customHeight="1">
      <c r="B204" s="225">
        <f>'임금대장 양식'!B204</f>
        <v>0</v>
      </c>
      <c r="C204" s="225" cm="1">
        <f t="array" ref="C204:C205">'임금대장 양식'!C204:C205</f>
        <v>0</v>
      </c>
      <c r="D204" s="225">
        <f>'임금대장 양식'!D204</f>
        <v>0</v>
      </c>
      <c r="E204" s="226">
        <f>'임금대장 양식'!E204</f>
        <v>0</v>
      </c>
      <c r="F204" s="227">
        <f>'임금대장 양식'!F204</f>
        <v>0</v>
      </c>
      <c r="G204" s="228">
        <f t="shared" ref="G204" si="1067">IFERROR((F204)/M204,0)</f>
        <v>0</v>
      </c>
      <c r="H204" s="229">
        <f t="shared" ref="H204:H267" si="1068">IF(F204=0,0,ROUND((8*5)*(365/12/7),0))</f>
        <v>0</v>
      </c>
      <c r="I204" s="229">
        <f t="shared" ref="I204:I267" si="1069">IF(F204=0,0,ROUND(8*365/12/7,0))</f>
        <v>0</v>
      </c>
      <c r="J204" s="230">
        <f>'임금대장 양식'!J204</f>
        <v>0</v>
      </c>
      <c r="K204" s="231">
        <f>'임금대장 양식'!K204</f>
        <v>0</v>
      </c>
      <c r="L204" s="231">
        <f>'임금대장 양식'!L204</f>
        <v>0</v>
      </c>
      <c r="M204" s="232">
        <f t="shared" ref="M204:M267" si="1070">H204+I204+J205+K205+L205</f>
        <v>0</v>
      </c>
      <c r="N204" s="227">
        <f t="shared" ref="N204:N267" si="1071">IF(G204=0,0,G204*(H204+I204)-(R204+S204+T204+U204))</f>
        <v>0</v>
      </c>
      <c r="O204" s="233">
        <f t="shared" ref="O204:O267" si="1072">G204*J205</f>
        <v>0</v>
      </c>
      <c r="P204" s="233">
        <f t="shared" ref="P204:P267" si="1073">G204*K205</f>
        <v>0</v>
      </c>
      <c r="Q204" s="233">
        <f t="shared" ref="Q204:Q267" si="1074">G204*L205</f>
        <v>0</v>
      </c>
      <c r="R204" s="233">
        <f>'임금대장 양식'!R204</f>
        <v>0</v>
      </c>
      <c r="S204" s="233">
        <f>'임금대장 양식'!S204</f>
        <v>0</v>
      </c>
      <c r="T204" s="233">
        <f>'임금대장 양식'!T204</f>
        <v>0</v>
      </c>
      <c r="U204" s="233">
        <f>'임금대장 양식'!U204</f>
        <v>0</v>
      </c>
    </row>
    <row r="205" spans="2:21" ht="21.5" customHeight="1">
      <c r="B205" s="234"/>
      <c r="C205" s="234">
        <v>0</v>
      </c>
      <c r="D205" s="210">
        <f>'임금대장 양식'!D205</f>
        <v>0</v>
      </c>
      <c r="E205" s="235"/>
      <c r="F205" s="236"/>
      <c r="G205" s="237"/>
      <c r="H205" s="238"/>
      <c r="I205" s="238"/>
      <c r="J205" s="239">
        <f t="shared" ref="J205:J268" si="1075">ROUND(J204*(365/12/7)*IF($S$4="5인 이상",1.5,1),0)</f>
        <v>0</v>
      </c>
      <c r="K205" s="239">
        <f t="shared" ref="K205:K268" si="1076">ROUND(K204*IF($S$4="5인 이상",1.5,1),0)</f>
        <v>0</v>
      </c>
      <c r="L205" s="239">
        <f t="shared" ref="L205:L268" si="1077">ROUND(L204*IF($S$4="5인 이상",1.5,1)+L204*IF($S$4="5인 이상",0.5,1),0)</f>
        <v>0</v>
      </c>
      <c r="M205" s="240"/>
      <c r="N205" s="236"/>
      <c r="O205" s="241"/>
      <c r="P205" s="241"/>
      <c r="Q205" s="241"/>
      <c r="R205" s="241"/>
      <c r="S205" s="241"/>
      <c r="T205" s="241"/>
      <c r="U205" s="241"/>
    </row>
    <row r="206" spans="2:21" ht="21.5" customHeight="1">
      <c r="B206" s="225">
        <f>'임금대장 양식'!B206</f>
        <v>0</v>
      </c>
      <c r="C206" s="225" cm="1">
        <f t="array" ref="C206:C207">'임금대장 양식'!C206:C207</f>
        <v>0</v>
      </c>
      <c r="D206" s="225">
        <f>'임금대장 양식'!D206</f>
        <v>0</v>
      </c>
      <c r="E206" s="226">
        <f>'임금대장 양식'!E206</f>
        <v>0</v>
      </c>
      <c r="F206" s="227">
        <f>'임금대장 양식'!F206</f>
        <v>0</v>
      </c>
      <c r="G206" s="228">
        <f t="shared" ref="G206" si="1078">IFERROR((F206)/M206,0)</f>
        <v>0</v>
      </c>
      <c r="H206" s="229">
        <f t="shared" ref="H206:H269" si="1079">IF(F206=0,0,ROUND((8*5)*(365/12/7),0))</f>
        <v>0</v>
      </c>
      <c r="I206" s="229">
        <f t="shared" ref="I206:I269" si="1080">IF(F206=0,0,ROUND(8*365/12/7,0))</f>
        <v>0</v>
      </c>
      <c r="J206" s="230">
        <f>'임금대장 양식'!J206</f>
        <v>0</v>
      </c>
      <c r="K206" s="231">
        <f>'임금대장 양식'!K206</f>
        <v>0</v>
      </c>
      <c r="L206" s="231">
        <f>'임금대장 양식'!L206</f>
        <v>0</v>
      </c>
      <c r="M206" s="232">
        <f t="shared" ref="M206:M269" si="1081">H206+I206+J207+K207+L207</f>
        <v>0</v>
      </c>
      <c r="N206" s="227">
        <f t="shared" ref="N206:N269" si="1082">IF(G206=0,0,G206*(H206+I206)-(R206+S206+T206+U206))</f>
        <v>0</v>
      </c>
      <c r="O206" s="233">
        <f t="shared" ref="O206:O269" si="1083">G206*J207</f>
        <v>0</v>
      </c>
      <c r="P206" s="233">
        <f t="shared" ref="P206:P269" si="1084">G206*K207</f>
        <v>0</v>
      </c>
      <c r="Q206" s="233">
        <f t="shared" ref="Q206:Q269" si="1085">G206*L207</f>
        <v>0</v>
      </c>
      <c r="R206" s="233">
        <f>'임금대장 양식'!R206</f>
        <v>0</v>
      </c>
      <c r="S206" s="233">
        <f>'임금대장 양식'!S206</f>
        <v>0</v>
      </c>
      <c r="T206" s="233">
        <f>'임금대장 양식'!T206</f>
        <v>0</v>
      </c>
      <c r="U206" s="233">
        <f>'임금대장 양식'!U206</f>
        <v>0</v>
      </c>
    </row>
    <row r="207" spans="2:21" ht="21.5" customHeight="1">
      <c r="B207" s="234"/>
      <c r="C207" s="234">
        <v>0</v>
      </c>
      <c r="D207" s="210">
        <f>'임금대장 양식'!D207</f>
        <v>0</v>
      </c>
      <c r="E207" s="235"/>
      <c r="F207" s="236"/>
      <c r="G207" s="237"/>
      <c r="H207" s="238"/>
      <c r="I207" s="238"/>
      <c r="J207" s="239">
        <f t="shared" ref="J207:J270" si="1086">ROUND(J206*(365/12/7)*IF($S$4="5인 이상",1.5,1),0)</f>
        <v>0</v>
      </c>
      <c r="K207" s="239">
        <f t="shared" ref="K207:K270" si="1087">ROUND(K206*IF($S$4="5인 이상",1.5,1),0)</f>
        <v>0</v>
      </c>
      <c r="L207" s="239">
        <f t="shared" ref="L207:L270" si="1088">ROUND(L206*IF($S$4="5인 이상",1.5,1)+L206*IF($S$4="5인 이상",0.5,1),0)</f>
        <v>0</v>
      </c>
      <c r="M207" s="240"/>
      <c r="N207" s="236"/>
      <c r="O207" s="241"/>
      <c r="P207" s="241"/>
      <c r="Q207" s="241"/>
      <c r="R207" s="241"/>
      <c r="S207" s="241"/>
      <c r="T207" s="241"/>
      <c r="U207" s="241"/>
    </row>
    <row r="208" spans="2:21" ht="21.5" customHeight="1">
      <c r="B208" s="225">
        <f>'임금대장 양식'!B208</f>
        <v>0</v>
      </c>
      <c r="C208" s="225" cm="1">
        <f t="array" ref="C208:C209">'임금대장 양식'!C208:C209</f>
        <v>0</v>
      </c>
      <c r="D208" s="225">
        <f>'임금대장 양식'!D208</f>
        <v>0</v>
      </c>
      <c r="E208" s="226">
        <f>'임금대장 양식'!E208</f>
        <v>0</v>
      </c>
      <c r="F208" s="227">
        <f>'임금대장 양식'!F208</f>
        <v>0</v>
      </c>
      <c r="G208" s="228">
        <f t="shared" ref="G208" si="1089">IFERROR((F208)/M208,0)</f>
        <v>0</v>
      </c>
      <c r="H208" s="229">
        <f t="shared" ref="H208:H271" si="1090">IF(F208=0,0,ROUND((8*5)*(365/12/7),0))</f>
        <v>0</v>
      </c>
      <c r="I208" s="229">
        <f t="shared" ref="I208:I271" si="1091">IF(F208=0,0,ROUND(8*365/12/7,0))</f>
        <v>0</v>
      </c>
      <c r="J208" s="230">
        <f>'임금대장 양식'!J208</f>
        <v>0</v>
      </c>
      <c r="K208" s="231">
        <f>'임금대장 양식'!K208</f>
        <v>0</v>
      </c>
      <c r="L208" s="231">
        <f>'임금대장 양식'!L208</f>
        <v>0</v>
      </c>
      <c r="M208" s="232">
        <f t="shared" ref="M208:M271" si="1092">H208+I208+J209+K209+L209</f>
        <v>0</v>
      </c>
      <c r="N208" s="227">
        <f t="shared" ref="N208:N271" si="1093">IF(G208=0,0,G208*(H208+I208)-(R208+S208+T208+U208))</f>
        <v>0</v>
      </c>
      <c r="O208" s="233">
        <f t="shared" ref="O208:O271" si="1094">G208*J209</f>
        <v>0</v>
      </c>
      <c r="P208" s="233">
        <f t="shared" ref="P208:P271" si="1095">G208*K209</f>
        <v>0</v>
      </c>
      <c r="Q208" s="233">
        <f t="shared" ref="Q208:Q271" si="1096">G208*L209</f>
        <v>0</v>
      </c>
      <c r="R208" s="233">
        <f>'임금대장 양식'!R208</f>
        <v>0</v>
      </c>
      <c r="S208" s="233">
        <f>'임금대장 양식'!S208</f>
        <v>0</v>
      </c>
      <c r="T208" s="233">
        <f>'임금대장 양식'!T208</f>
        <v>0</v>
      </c>
      <c r="U208" s="233">
        <f>'임금대장 양식'!U208</f>
        <v>0</v>
      </c>
    </row>
    <row r="209" spans="2:21" ht="21.5" customHeight="1">
      <c r="B209" s="234"/>
      <c r="C209" s="234">
        <v>0</v>
      </c>
      <c r="D209" s="210">
        <f>'임금대장 양식'!D209</f>
        <v>0</v>
      </c>
      <c r="E209" s="235"/>
      <c r="F209" s="236"/>
      <c r="G209" s="237"/>
      <c r="H209" s="238"/>
      <c r="I209" s="238"/>
      <c r="J209" s="239">
        <f t="shared" ref="J209:J272" si="1097">ROUND(J208*(365/12/7)*IF($S$4="5인 이상",1.5,1),0)</f>
        <v>0</v>
      </c>
      <c r="K209" s="239">
        <f t="shared" ref="K209:K272" si="1098">ROUND(K208*IF($S$4="5인 이상",1.5,1),0)</f>
        <v>0</v>
      </c>
      <c r="L209" s="239">
        <f t="shared" ref="L209:L272" si="1099">ROUND(L208*IF($S$4="5인 이상",1.5,1)+L208*IF($S$4="5인 이상",0.5,1),0)</f>
        <v>0</v>
      </c>
      <c r="M209" s="240"/>
      <c r="N209" s="236"/>
      <c r="O209" s="241"/>
      <c r="P209" s="241"/>
      <c r="Q209" s="241"/>
      <c r="R209" s="241"/>
      <c r="S209" s="241"/>
      <c r="T209" s="241"/>
      <c r="U209" s="241"/>
    </row>
    <row r="210" spans="2:21" ht="21.5" customHeight="1">
      <c r="B210" s="225">
        <f>'임금대장 양식'!B210</f>
        <v>0</v>
      </c>
      <c r="C210" s="225" cm="1">
        <f t="array" ref="C210:C211">'임금대장 양식'!C210:C211</f>
        <v>0</v>
      </c>
      <c r="D210" s="225">
        <f>'임금대장 양식'!D210</f>
        <v>0</v>
      </c>
      <c r="E210" s="226">
        <f>'임금대장 양식'!E210</f>
        <v>0</v>
      </c>
      <c r="F210" s="227">
        <f>'임금대장 양식'!F210</f>
        <v>0</v>
      </c>
      <c r="G210" s="228">
        <f t="shared" ref="G210" si="1100">IFERROR((F210)/M210,0)</f>
        <v>0</v>
      </c>
      <c r="H210" s="229">
        <f t="shared" ref="H210:H273" si="1101">IF(F210=0,0,ROUND((8*5)*(365/12/7),0))</f>
        <v>0</v>
      </c>
      <c r="I210" s="229">
        <f t="shared" ref="I210:I273" si="1102">IF(F210=0,0,ROUND(8*365/12/7,0))</f>
        <v>0</v>
      </c>
      <c r="J210" s="230">
        <f>'임금대장 양식'!J210</f>
        <v>0</v>
      </c>
      <c r="K210" s="231">
        <f>'임금대장 양식'!K210</f>
        <v>0</v>
      </c>
      <c r="L210" s="231">
        <f>'임금대장 양식'!L210</f>
        <v>0</v>
      </c>
      <c r="M210" s="232">
        <f t="shared" ref="M210:M273" si="1103">H210+I210+J211+K211+L211</f>
        <v>0</v>
      </c>
      <c r="N210" s="227">
        <f t="shared" ref="N210:N273" si="1104">IF(G210=0,0,G210*(H210+I210)-(R210+S210+T210+U210))</f>
        <v>0</v>
      </c>
      <c r="O210" s="233">
        <f t="shared" ref="O210:O273" si="1105">G210*J211</f>
        <v>0</v>
      </c>
      <c r="P210" s="233">
        <f t="shared" ref="P210:P273" si="1106">G210*K211</f>
        <v>0</v>
      </c>
      <c r="Q210" s="233">
        <f t="shared" ref="Q210:Q273" si="1107">G210*L211</f>
        <v>0</v>
      </c>
      <c r="R210" s="233">
        <f>'임금대장 양식'!R210</f>
        <v>0</v>
      </c>
      <c r="S210" s="233">
        <f>'임금대장 양식'!S210</f>
        <v>0</v>
      </c>
      <c r="T210" s="233">
        <f>'임금대장 양식'!T210</f>
        <v>0</v>
      </c>
      <c r="U210" s="233">
        <f>'임금대장 양식'!U210</f>
        <v>0</v>
      </c>
    </row>
    <row r="211" spans="2:21" ht="21.5" customHeight="1">
      <c r="B211" s="234"/>
      <c r="C211" s="234">
        <v>0</v>
      </c>
      <c r="D211" s="210">
        <f>'임금대장 양식'!D211</f>
        <v>0</v>
      </c>
      <c r="E211" s="235"/>
      <c r="F211" s="236"/>
      <c r="G211" s="237"/>
      <c r="H211" s="238"/>
      <c r="I211" s="238"/>
      <c r="J211" s="239">
        <f t="shared" ref="J211:J274" si="1108">ROUND(J210*(365/12/7)*IF($S$4="5인 이상",1.5,1),0)</f>
        <v>0</v>
      </c>
      <c r="K211" s="239">
        <f t="shared" ref="K211:K274" si="1109">ROUND(K210*IF($S$4="5인 이상",1.5,1),0)</f>
        <v>0</v>
      </c>
      <c r="L211" s="239">
        <f t="shared" ref="L211:L274" si="1110">ROUND(L210*IF($S$4="5인 이상",1.5,1)+L210*IF($S$4="5인 이상",0.5,1),0)</f>
        <v>0</v>
      </c>
      <c r="M211" s="240"/>
      <c r="N211" s="236"/>
      <c r="O211" s="241"/>
      <c r="P211" s="241"/>
      <c r="Q211" s="241"/>
      <c r="R211" s="241"/>
      <c r="S211" s="241"/>
      <c r="T211" s="241"/>
      <c r="U211" s="241"/>
    </row>
    <row r="212" spans="2:21" ht="21.5" customHeight="1">
      <c r="B212" s="225">
        <f>'임금대장 양식'!B212</f>
        <v>0</v>
      </c>
      <c r="C212" s="225" cm="1">
        <f t="array" ref="C212:C213">'임금대장 양식'!C212:C213</f>
        <v>0</v>
      </c>
      <c r="D212" s="225">
        <f>'임금대장 양식'!D212</f>
        <v>0</v>
      </c>
      <c r="E212" s="226">
        <f>'임금대장 양식'!E212</f>
        <v>0</v>
      </c>
      <c r="F212" s="227">
        <f>'임금대장 양식'!F212</f>
        <v>0</v>
      </c>
      <c r="G212" s="228">
        <f t="shared" ref="G212" si="1111">IFERROR((F212)/M212,0)</f>
        <v>0</v>
      </c>
      <c r="H212" s="229">
        <f t="shared" ref="H212:H275" si="1112">IF(F212=0,0,ROUND((8*5)*(365/12/7),0))</f>
        <v>0</v>
      </c>
      <c r="I212" s="229">
        <f t="shared" ref="I212:I275" si="1113">IF(F212=0,0,ROUND(8*365/12/7,0))</f>
        <v>0</v>
      </c>
      <c r="J212" s="230">
        <f>'임금대장 양식'!J212</f>
        <v>0</v>
      </c>
      <c r="K212" s="231">
        <f>'임금대장 양식'!K212</f>
        <v>0</v>
      </c>
      <c r="L212" s="231">
        <f>'임금대장 양식'!L212</f>
        <v>0</v>
      </c>
      <c r="M212" s="232">
        <f t="shared" ref="M212:M275" si="1114">H212+I212+J213+K213+L213</f>
        <v>0</v>
      </c>
      <c r="N212" s="227">
        <f t="shared" ref="N212:N275" si="1115">IF(G212=0,0,G212*(H212+I212)-(R212+S212+T212+U212))</f>
        <v>0</v>
      </c>
      <c r="O212" s="233">
        <f t="shared" ref="O212:O275" si="1116">G212*J213</f>
        <v>0</v>
      </c>
      <c r="P212" s="233">
        <f t="shared" ref="P212:P275" si="1117">G212*K213</f>
        <v>0</v>
      </c>
      <c r="Q212" s="233">
        <f t="shared" ref="Q212:Q275" si="1118">G212*L213</f>
        <v>0</v>
      </c>
      <c r="R212" s="233">
        <f>'임금대장 양식'!R212</f>
        <v>0</v>
      </c>
      <c r="S212" s="233">
        <f>'임금대장 양식'!S212</f>
        <v>0</v>
      </c>
      <c r="T212" s="233">
        <f>'임금대장 양식'!T212</f>
        <v>0</v>
      </c>
      <c r="U212" s="233">
        <f>'임금대장 양식'!U212</f>
        <v>0</v>
      </c>
    </row>
    <row r="213" spans="2:21" ht="21.5" customHeight="1">
      <c r="B213" s="234"/>
      <c r="C213" s="234">
        <v>0</v>
      </c>
      <c r="D213" s="210">
        <f>'임금대장 양식'!D213</f>
        <v>0</v>
      </c>
      <c r="E213" s="235"/>
      <c r="F213" s="236"/>
      <c r="G213" s="237"/>
      <c r="H213" s="238"/>
      <c r="I213" s="238"/>
      <c r="J213" s="239">
        <f t="shared" ref="J213:J276" si="1119">ROUND(J212*(365/12/7)*IF($S$4="5인 이상",1.5,1),0)</f>
        <v>0</v>
      </c>
      <c r="K213" s="239">
        <f t="shared" ref="K213:K276" si="1120">ROUND(K212*IF($S$4="5인 이상",1.5,1),0)</f>
        <v>0</v>
      </c>
      <c r="L213" s="239">
        <f t="shared" ref="L213:L276" si="1121">ROUND(L212*IF($S$4="5인 이상",1.5,1)+L212*IF($S$4="5인 이상",0.5,1),0)</f>
        <v>0</v>
      </c>
      <c r="M213" s="240"/>
      <c r="N213" s="236"/>
      <c r="O213" s="241"/>
      <c r="P213" s="241"/>
      <c r="Q213" s="241"/>
      <c r="R213" s="241"/>
      <c r="S213" s="241"/>
      <c r="T213" s="241"/>
      <c r="U213" s="241"/>
    </row>
    <row r="214" spans="2:21" ht="21.5" customHeight="1">
      <c r="B214" s="225">
        <f>'임금대장 양식'!B214</f>
        <v>0</v>
      </c>
      <c r="C214" s="225" cm="1">
        <f t="array" ref="C214:C215">'임금대장 양식'!C214:C215</f>
        <v>0</v>
      </c>
      <c r="D214" s="225">
        <f>'임금대장 양식'!D214</f>
        <v>0</v>
      </c>
      <c r="E214" s="226">
        <f>'임금대장 양식'!E214</f>
        <v>0</v>
      </c>
      <c r="F214" s="227">
        <f>'임금대장 양식'!F214</f>
        <v>0</v>
      </c>
      <c r="G214" s="228">
        <f t="shared" ref="G214" si="1122">IFERROR((F214)/M214,0)</f>
        <v>0</v>
      </c>
      <c r="H214" s="229">
        <f t="shared" ref="H214:H277" si="1123">IF(F214=0,0,ROUND((8*5)*(365/12/7),0))</f>
        <v>0</v>
      </c>
      <c r="I214" s="229">
        <f t="shared" ref="I214:I277" si="1124">IF(F214=0,0,ROUND(8*365/12/7,0))</f>
        <v>0</v>
      </c>
      <c r="J214" s="230">
        <f>'임금대장 양식'!J214</f>
        <v>0</v>
      </c>
      <c r="K214" s="231">
        <f>'임금대장 양식'!K214</f>
        <v>0</v>
      </c>
      <c r="L214" s="231">
        <f>'임금대장 양식'!L214</f>
        <v>0</v>
      </c>
      <c r="M214" s="232">
        <f t="shared" ref="M214:M277" si="1125">H214+I214+J215+K215+L215</f>
        <v>0</v>
      </c>
      <c r="N214" s="227">
        <f t="shared" ref="N214:N277" si="1126">IF(G214=0,0,G214*(H214+I214)-(R214+S214+T214+U214))</f>
        <v>0</v>
      </c>
      <c r="O214" s="233">
        <f t="shared" ref="O214:O277" si="1127">G214*J215</f>
        <v>0</v>
      </c>
      <c r="P214" s="233">
        <f t="shared" ref="P214:P277" si="1128">G214*K215</f>
        <v>0</v>
      </c>
      <c r="Q214" s="233">
        <f t="shared" ref="Q214:Q277" si="1129">G214*L215</f>
        <v>0</v>
      </c>
      <c r="R214" s="233">
        <f>'임금대장 양식'!R214</f>
        <v>0</v>
      </c>
      <c r="S214" s="233">
        <f>'임금대장 양식'!S214</f>
        <v>0</v>
      </c>
      <c r="T214" s="233">
        <f>'임금대장 양식'!T214</f>
        <v>0</v>
      </c>
      <c r="U214" s="233">
        <f>'임금대장 양식'!U214</f>
        <v>0</v>
      </c>
    </row>
    <row r="215" spans="2:21" ht="21.5" customHeight="1">
      <c r="B215" s="234"/>
      <c r="C215" s="234">
        <v>0</v>
      </c>
      <c r="D215" s="210">
        <f>'임금대장 양식'!D215</f>
        <v>0</v>
      </c>
      <c r="E215" s="235"/>
      <c r="F215" s="236"/>
      <c r="G215" s="237"/>
      <c r="H215" s="238"/>
      <c r="I215" s="238"/>
      <c r="J215" s="239">
        <f t="shared" ref="J215:J278" si="1130">ROUND(J214*(365/12/7)*IF($S$4="5인 이상",1.5,1),0)</f>
        <v>0</v>
      </c>
      <c r="K215" s="239">
        <f t="shared" ref="K215:K278" si="1131">ROUND(K214*IF($S$4="5인 이상",1.5,1),0)</f>
        <v>0</v>
      </c>
      <c r="L215" s="239">
        <f t="shared" ref="L215:L278" si="1132">ROUND(L214*IF($S$4="5인 이상",1.5,1)+L214*IF($S$4="5인 이상",0.5,1),0)</f>
        <v>0</v>
      </c>
      <c r="M215" s="240"/>
      <c r="N215" s="236"/>
      <c r="O215" s="241"/>
      <c r="P215" s="241"/>
      <c r="Q215" s="241"/>
      <c r="R215" s="241"/>
      <c r="S215" s="241"/>
      <c r="T215" s="241"/>
      <c r="U215" s="241"/>
    </row>
    <row r="216" spans="2:21" ht="21.5" customHeight="1">
      <c r="B216" s="225">
        <f>'임금대장 양식'!B216</f>
        <v>0</v>
      </c>
      <c r="C216" s="225" cm="1">
        <f t="array" ref="C216:C217">'임금대장 양식'!C216:C217</f>
        <v>0</v>
      </c>
      <c r="D216" s="225">
        <f>'임금대장 양식'!D216</f>
        <v>0</v>
      </c>
      <c r="E216" s="226">
        <f>'임금대장 양식'!E216</f>
        <v>0</v>
      </c>
      <c r="F216" s="227">
        <f>'임금대장 양식'!F216</f>
        <v>0</v>
      </c>
      <c r="G216" s="228">
        <f t="shared" ref="G216" si="1133">IFERROR((F216)/M216,0)</f>
        <v>0</v>
      </c>
      <c r="H216" s="229">
        <f t="shared" ref="H216:H279" si="1134">IF(F216=0,0,ROUND((8*5)*(365/12/7),0))</f>
        <v>0</v>
      </c>
      <c r="I216" s="229">
        <f t="shared" ref="I216:I279" si="1135">IF(F216=0,0,ROUND(8*365/12/7,0))</f>
        <v>0</v>
      </c>
      <c r="J216" s="230">
        <f>'임금대장 양식'!J216</f>
        <v>0</v>
      </c>
      <c r="K216" s="231">
        <f>'임금대장 양식'!K216</f>
        <v>0</v>
      </c>
      <c r="L216" s="231">
        <f>'임금대장 양식'!L216</f>
        <v>0</v>
      </c>
      <c r="M216" s="232">
        <f t="shared" ref="M216:M279" si="1136">H216+I216+J217+K217+L217</f>
        <v>0</v>
      </c>
      <c r="N216" s="227">
        <f t="shared" ref="N216:N279" si="1137">IF(G216=0,0,G216*(H216+I216)-(R216+S216+T216+U216))</f>
        <v>0</v>
      </c>
      <c r="O216" s="233">
        <f t="shared" ref="O216:O279" si="1138">G216*J217</f>
        <v>0</v>
      </c>
      <c r="P216" s="233">
        <f t="shared" ref="P216:P279" si="1139">G216*K217</f>
        <v>0</v>
      </c>
      <c r="Q216" s="233">
        <f t="shared" ref="Q216:Q279" si="1140">G216*L217</f>
        <v>0</v>
      </c>
      <c r="R216" s="233">
        <f>'임금대장 양식'!R216</f>
        <v>0</v>
      </c>
      <c r="S216" s="233">
        <f>'임금대장 양식'!S216</f>
        <v>0</v>
      </c>
      <c r="T216" s="233">
        <f>'임금대장 양식'!T216</f>
        <v>0</v>
      </c>
      <c r="U216" s="233">
        <f>'임금대장 양식'!U216</f>
        <v>0</v>
      </c>
    </row>
    <row r="217" spans="2:21" ht="21.5" customHeight="1">
      <c r="B217" s="234"/>
      <c r="C217" s="234">
        <v>0</v>
      </c>
      <c r="D217" s="210">
        <f>'임금대장 양식'!D217</f>
        <v>0</v>
      </c>
      <c r="E217" s="235"/>
      <c r="F217" s="236"/>
      <c r="G217" s="237"/>
      <c r="H217" s="238"/>
      <c r="I217" s="238"/>
      <c r="J217" s="239">
        <f t="shared" ref="J217:J280" si="1141">ROUND(J216*(365/12/7)*IF($S$4="5인 이상",1.5,1),0)</f>
        <v>0</v>
      </c>
      <c r="K217" s="239">
        <f t="shared" ref="K217:K280" si="1142">ROUND(K216*IF($S$4="5인 이상",1.5,1),0)</f>
        <v>0</v>
      </c>
      <c r="L217" s="239">
        <f t="shared" ref="L217:L280" si="1143">ROUND(L216*IF($S$4="5인 이상",1.5,1)+L216*IF($S$4="5인 이상",0.5,1),0)</f>
        <v>0</v>
      </c>
      <c r="M217" s="240"/>
      <c r="N217" s="236"/>
      <c r="O217" s="241"/>
      <c r="P217" s="241"/>
      <c r="Q217" s="241"/>
      <c r="R217" s="241"/>
      <c r="S217" s="241"/>
      <c r="T217" s="241"/>
      <c r="U217" s="241"/>
    </row>
    <row r="218" spans="2:21" ht="21.5" customHeight="1">
      <c r="B218" s="225">
        <f>'임금대장 양식'!B218</f>
        <v>0</v>
      </c>
      <c r="C218" s="225" cm="1">
        <f t="array" ref="C218:C219">'임금대장 양식'!C218:C219</f>
        <v>0</v>
      </c>
      <c r="D218" s="225">
        <f>'임금대장 양식'!D218</f>
        <v>0</v>
      </c>
      <c r="E218" s="226">
        <f>'임금대장 양식'!E218</f>
        <v>0</v>
      </c>
      <c r="F218" s="227">
        <f>'임금대장 양식'!F218</f>
        <v>0</v>
      </c>
      <c r="G218" s="228">
        <f t="shared" ref="G218" si="1144">IFERROR((F218)/M218,0)</f>
        <v>0</v>
      </c>
      <c r="H218" s="229">
        <f t="shared" ref="H218:H281" si="1145">IF(F218=0,0,ROUND((8*5)*(365/12/7),0))</f>
        <v>0</v>
      </c>
      <c r="I218" s="229">
        <f t="shared" ref="I218:I281" si="1146">IF(F218=0,0,ROUND(8*365/12/7,0))</f>
        <v>0</v>
      </c>
      <c r="J218" s="230">
        <f>'임금대장 양식'!J218</f>
        <v>0</v>
      </c>
      <c r="K218" s="231">
        <f>'임금대장 양식'!K218</f>
        <v>0</v>
      </c>
      <c r="L218" s="231">
        <f>'임금대장 양식'!L218</f>
        <v>0</v>
      </c>
      <c r="M218" s="232">
        <f t="shared" ref="M218:M281" si="1147">H218+I218+J219+K219+L219</f>
        <v>0</v>
      </c>
      <c r="N218" s="227">
        <f t="shared" ref="N218:N281" si="1148">IF(G218=0,0,G218*(H218+I218)-(R218+S218+T218+U218))</f>
        <v>0</v>
      </c>
      <c r="O218" s="233">
        <f t="shared" ref="O218:O281" si="1149">G218*J219</f>
        <v>0</v>
      </c>
      <c r="P218" s="233">
        <f t="shared" ref="P218:P281" si="1150">G218*K219</f>
        <v>0</v>
      </c>
      <c r="Q218" s="233">
        <f t="shared" ref="Q218:Q281" si="1151">G218*L219</f>
        <v>0</v>
      </c>
      <c r="R218" s="233">
        <f>'임금대장 양식'!R218</f>
        <v>0</v>
      </c>
      <c r="S218" s="233">
        <f>'임금대장 양식'!S218</f>
        <v>0</v>
      </c>
      <c r="T218" s="233">
        <f>'임금대장 양식'!T218</f>
        <v>0</v>
      </c>
      <c r="U218" s="233">
        <f>'임금대장 양식'!U218</f>
        <v>0</v>
      </c>
    </row>
    <row r="219" spans="2:21" ht="21.5" customHeight="1">
      <c r="B219" s="234"/>
      <c r="C219" s="234">
        <v>0</v>
      </c>
      <c r="D219" s="210">
        <f>'임금대장 양식'!D219</f>
        <v>0</v>
      </c>
      <c r="E219" s="235"/>
      <c r="F219" s="236"/>
      <c r="G219" s="237"/>
      <c r="H219" s="238"/>
      <c r="I219" s="238"/>
      <c r="J219" s="239">
        <f t="shared" ref="J219:J282" si="1152">ROUND(J218*(365/12/7)*IF($S$4="5인 이상",1.5,1),0)</f>
        <v>0</v>
      </c>
      <c r="K219" s="239">
        <f t="shared" ref="K219:K282" si="1153">ROUND(K218*IF($S$4="5인 이상",1.5,1),0)</f>
        <v>0</v>
      </c>
      <c r="L219" s="239">
        <f t="shared" ref="L219:L282" si="1154">ROUND(L218*IF($S$4="5인 이상",1.5,1)+L218*IF($S$4="5인 이상",0.5,1),0)</f>
        <v>0</v>
      </c>
      <c r="M219" s="240"/>
      <c r="N219" s="236"/>
      <c r="O219" s="241"/>
      <c r="P219" s="241"/>
      <c r="Q219" s="241"/>
      <c r="R219" s="241"/>
      <c r="S219" s="241"/>
      <c r="T219" s="241"/>
      <c r="U219" s="241"/>
    </row>
    <row r="220" spans="2:21" ht="21.5" customHeight="1">
      <c r="B220" s="225">
        <f>'임금대장 양식'!B220</f>
        <v>0</v>
      </c>
      <c r="C220" s="225" cm="1">
        <f t="array" ref="C220:C221">'임금대장 양식'!C220:C221</f>
        <v>0</v>
      </c>
      <c r="D220" s="225">
        <f>'임금대장 양식'!D220</f>
        <v>0</v>
      </c>
      <c r="E220" s="226">
        <f>'임금대장 양식'!E220</f>
        <v>0</v>
      </c>
      <c r="F220" s="227">
        <f>'임금대장 양식'!F220</f>
        <v>0</v>
      </c>
      <c r="G220" s="228">
        <f t="shared" ref="G220" si="1155">IFERROR((F220)/M220,0)</f>
        <v>0</v>
      </c>
      <c r="H220" s="229">
        <f t="shared" ref="H220:H283" si="1156">IF(F220=0,0,ROUND((8*5)*(365/12/7),0))</f>
        <v>0</v>
      </c>
      <c r="I220" s="229">
        <f t="shared" ref="I220:I283" si="1157">IF(F220=0,0,ROUND(8*365/12/7,0))</f>
        <v>0</v>
      </c>
      <c r="J220" s="230">
        <f>'임금대장 양식'!J220</f>
        <v>0</v>
      </c>
      <c r="K220" s="231">
        <f>'임금대장 양식'!K220</f>
        <v>0</v>
      </c>
      <c r="L220" s="231">
        <f>'임금대장 양식'!L220</f>
        <v>0</v>
      </c>
      <c r="M220" s="232">
        <f t="shared" ref="M220:M283" si="1158">H220+I220+J221+K221+L221</f>
        <v>0</v>
      </c>
      <c r="N220" s="227">
        <f t="shared" ref="N220:N283" si="1159">IF(G220=0,0,G220*(H220+I220)-(R220+S220+T220+U220))</f>
        <v>0</v>
      </c>
      <c r="O220" s="233">
        <f t="shared" ref="O220:O283" si="1160">G220*J221</f>
        <v>0</v>
      </c>
      <c r="P220" s="233">
        <f t="shared" ref="P220:P283" si="1161">G220*K221</f>
        <v>0</v>
      </c>
      <c r="Q220" s="233">
        <f t="shared" ref="Q220:Q283" si="1162">G220*L221</f>
        <v>0</v>
      </c>
      <c r="R220" s="233">
        <f>'임금대장 양식'!R220</f>
        <v>0</v>
      </c>
      <c r="S220" s="233">
        <f>'임금대장 양식'!S220</f>
        <v>0</v>
      </c>
      <c r="T220" s="233">
        <f>'임금대장 양식'!T220</f>
        <v>0</v>
      </c>
      <c r="U220" s="233">
        <f>'임금대장 양식'!U220</f>
        <v>0</v>
      </c>
    </row>
    <row r="221" spans="2:21" ht="21.5" customHeight="1">
      <c r="B221" s="234"/>
      <c r="C221" s="234">
        <v>0</v>
      </c>
      <c r="D221" s="210">
        <f>'임금대장 양식'!D221</f>
        <v>0</v>
      </c>
      <c r="E221" s="235"/>
      <c r="F221" s="236"/>
      <c r="G221" s="237"/>
      <c r="H221" s="238"/>
      <c r="I221" s="238"/>
      <c r="J221" s="239">
        <f t="shared" ref="J221:J284" si="1163">ROUND(J220*(365/12/7)*IF($S$4="5인 이상",1.5,1),0)</f>
        <v>0</v>
      </c>
      <c r="K221" s="239">
        <f t="shared" ref="K221:K284" si="1164">ROUND(K220*IF($S$4="5인 이상",1.5,1),0)</f>
        <v>0</v>
      </c>
      <c r="L221" s="239">
        <f t="shared" ref="L221:L284" si="1165">ROUND(L220*IF($S$4="5인 이상",1.5,1)+L220*IF($S$4="5인 이상",0.5,1),0)</f>
        <v>0</v>
      </c>
      <c r="M221" s="240"/>
      <c r="N221" s="236"/>
      <c r="O221" s="241"/>
      <c r="P221" s="241"/>
      <c r="Q221" s="241"/>
      <c r="R221" s="241"/>
      <c r="S221" s="241"/>
      <c r="T221" s="241"/>
      <c r="U221" s="241"/>
    </row>
    <row r="222" spans="2:21" ht="21.5" customHeight="1">
      <c r="B222" s="225">
        <f>'임금대장 양식'!B222</f>
        <v>0</v>
      </c>
      <c r="C222" s="225" cm="1">
        <f t="array" ref="C222:C223">'임금대장 양식'!C222:C223</f>
        <v>0</v>
      </c>
      <c r="D222" s="225">
        <f>'임금대장 양식'!D222</f>
        <v>0</v>
      </c>
      <c r="E222" s="226">
        <f>'임금대장 양식'!E222</f>
        <v>0</v>
      </c>
      <c r="F222" s="227">
        <f>'임금대장 양식'!F222</f>
        <v>0</v>
      </c>
      <c r="G222" s="228">
        <f t="shared" ref="G222" si="1166">IFERROR((F222)/M222,0)</f>
        <v>0</v>
      </c>
      <c r="H222" s="229">
        <f t="shared" ref="H222:H285" si="1167">IF(F222=0,0,ROUND((8*5)*(365/12/7),0))</f>
        <v>0</v>
      </c>
      <c r="I222" s="229">
        <f t="shared" ref="I222:I285" si="1168">IF(F222=0,0,ROUND(8*365/12/7,0))</f>
        <v>0</v>
      </c>
      <c r="J222" s="230">
        <f>'임금대장 양식'!J222</f>
        <v>0</v>
      </c>
      <c r="K222" s="231">
        <f>'임금대장 양식'!K222</f>
        <v>0</v>
      </c>
      <c r="L222" s="231">
        <f>'임금대장 양식'!L222</f>
        <v>0</v>
      </c>
      <c r="M222" s="232">
        <f t="shared" ref="M222:M285" si="1169">H222+I222+J223+K223+L223</f>
        <v>0</v>
      </c>
      <c r="N222" s="227">
        <f t="shared" ref="N222:N285" si="1170">IF(G222=0,0,G222*(H222+I222)-(R222+S222+T222+U222))</f>
        <v>0</v>
      </c>
      <c r="O222" s="233">
        <f t="shared" ref="O222:O285" si="1171">G222*J223</f>
        <v>0</v>
      </c>
      <c r="P222" s="233">
        <f t="shared" ref="P222:P285" si="1172">G222*K223</f>
        <v>0</v>
      </c>
      <c r="Q222" s="233">
        <f t="shared" ref="Q222:Q285" si="1173">G222*L223</f>
        <v>0</v>
      </c>
      <c r="R222" s="233">
        <f>'임금대장 양식'!R222</f>
        <v>0</v>
      </c>
      <c r="S222" s="233">
        <f>'임금대장 양식'!S222</f>
        <v>0</v>
      </c>
      <c r="T222" s="233">
        <f>'임금대장 양식'!T222</f>
        <v>0</v>
      </c>
      <c r="U222" s="233">
        <f>'임금대장 양식'!U222</f>
        <v>0</v>
      </c>
    </row>
    <row r="223" spans="2:21" ht="21.5" customHeight="1">
      <c r="B223" s="234"/>
      <c r="C223" s="234">
        <v>0</v>
      </c>
      <c r="D223" s="210">
        <f>'임금대장 양식'!D223</f>
        <v>0</v>
      </c>
      <c r="E223" s="235"/>
      <c r="F223" s="236"/>
      <c r="G223" s="237"/>
      <c r="H223" s="238"/>
      <c r="I223" s="238"/>
      <c r="J223" s="239">
        <f t="shared" ref="J223:J286" si="1174">ROUND(J222*(365/12/7)*IF($S$4="5인 이상",1.5,1),0)</f>
        <v>0</v>
      </c>
      <c r="K223" s="239">
        <f t="shared" ref="K223:K286" si="1175">ROUND(K222*IF($S$4="5인 이상",1.5,1),0)</f>
        <v>0</v>
      </c>
      <c r="L223" s="239">
        <f t="shared" ref="L223:L286" si="1176">ROUND(L222*IF($S$4="5인 이상",1.5,1)+L222*IF($S$4="5인 이상",0.5,1),0)</f>
        <v>0</v>
      </c>
      <c r="M223" s="240"/>
      <c r="N223" s="236"/>
      <c r="O223" s="241"/>
      <c r="P223" s="241"/>
      <c r="Q223" s="241"/>
      <c r="R223" s="241"/>
      <c r="S223" s="241"/>
      <c r="T223" s="241"/>
      <c r="U223" s="241"/>
    </row>
    <row r="224" spans="2:21" ht="21.5" customHeight="1">
      <c r="B224" s="225">
        <f>'임금대장 양식'!B224</f>
        <v>0</v>
      </c>
      <c r="C224" s="225" cm="1">
        <f t="array" ref="C224:C225">'임금대장 양식'!C224:C225</f>
        <v>0</v>
      </c>
      <c r="D224" s="225">
        <f>'임금대장 양식'!D224</f>
        <v>0</v>
      </c>
      <c r="E224" s="226">
        <f>'임금대장 양식'!E224</f>
        <v>0</v>
      </c>
      <c r="F224" s="227">
        <f>'임금대장 양식'!F224</f>
        <v>0</v>
      </c>
      <c r="G224" s="228">
        <f t="shared" ref="G224" si="1177">IFERROR((F224)/M224,0)</f>
        <v>0</v>
      </c>
      <c r="H224" s="229">
        <f t="shared" ref="H224:H287" si="1178">IF(F224=0,0,ROUND((8*5)*(365/12/7),0))</f>
        <v>0</v>
      </c>
      <c r="I224" s="229">
        <f t="shared" ref="I224:I287" si="1179">IF(F224=0,0,ROUND(8*365/12/7,0))</f>
        <v>0</v>
      </c>
      <c r="J224" s="230">
        <f>'임금대장 양식'!J224</f>
        <v>0</v>
      </c>
      <c r="K224" s="231">
        <f>'임금대장 양식'!K224</f>
        <v>0</v>
      </c>
      <c r="L224" s="231">
        <f>'임금대장 양식'!L224</f>
        <v>0</v>
      </c>
      <c r="M224" s="232">
        <f t="shared" ref="M224:M287" si="1180">H224+I224+J225+K225+L225</f>
        <v>0</v>
      </c>
      <c r="N224" s="227">
        <f t="shared" ref="N224:N287" si="1181">IF(G224=0,0,G224*(H224+I224)-(R224+S224+T224+U224))</f>
        <v>0</v>
      </c>
      <c r="O224" s="233">
        <f t="shared" ref="O224:O287" si="1182">G224*J225</f>
        <v>0</v>
      </c>
      <c r="P224" s="233">
        <f t="shared" ref="P224:P287" si="1183">G224*K225</f>
        <v>0</v>
      </c>
      <c r="Q224" s="233">
        <f t="shared" ref="Q224:Q287" si="1184">G224*L225</f>
        <v>0</v>
      </c>
      <c r="R224" s="233">
        <f>'임금대장 양식'!R224</f>
        <v>0</v>
      </c>
      <c r="S224" s="233">
        <f>'임금대장 양식'!S224</f>
        <v>0</v>
      </c>
      <c r="T224" s="233">
        <f>'임금대장 양식'!T224</f>
        <v>0</v>
      </c>
      <c r="U224" s="233">
        <f>'임금대장 양식'!U224</f>
        <v>0</v>
      </c>
    </row>
    <row r="225" spans="2:21" ht="21.5" customHeight="1">
      <c r="B225" s="234"/>
      <c r="C225" s="234">
        <v>0</v>
      </c>
      <c r="D225" s="210">
        <f>'임금대장 양식'!D225</f>
        <v>0</v>
      </c>
      <c r="E225" s="235"/>
      <c r="F225" s="236"/>
      <c r="G225" s="237"/>
      <c r="H225" s="238"/>
      <c r="I225" s="238"/>
      <c r="J225" s="239">
        <f t="shared" ref="J225:J288" si="1185">ROUND(J224*(365/12/7)*IF($S$4="5인 이상",1.5,1),0)</f>
        <v>0</v>
      </c>
      <c r="K225" s="239">
        <f t="shared" ref="K225:K288" si="1186">ROUND(K224*IF($S$4="5인 이상",1.5,1),0)</f>
        <v>0</v>
      </c>
      <c r="L225" s="239">
        <f t="shared" ref="L225:L288" si="1187">ROUND(L224*IF($S$4="5인 이상",1.5,1)+L224*IF($S$4="5인 이상",0.5,1),0)</f>
        <v>0</v>
      </c>
      <c r="M225" s="240"/>
      <c r="N225" s="236"/>
      <c r="O225" s="241"/>
      <c r="P225" s="241"/>
      <c r="Q225" s="241"/>
      <c r="R225" s="241"/>
      <c r="S225" s="241"/>
      <c r="T225" s="241"/>
      <c r="U225" s="241"/>
    </row>
    <row r="226" spans="2:21" ht="21.5" customHeight="1">
      <c r="B226" s="225">
        <f>'임금대장 양식'!B226</f>
        <v>0</v>
      </c>
      <c r="C226" s="225" cm="1">
        <f t="array" ref="C226:C227">'임금대장 양식'!C226:C227</f>
        <v>0</v>
      </c>
      <c r="D226" s="225">
        <f>'임금대장 양식'!D226</f>
        <v>0</v>
      </c>
      <c r="E226" s="226">
        <f>'임금대장 양식'!E226</f>
        <v>0</v>
      </c>
      <c r="F226" s="227">
        <f>'임금대장 양식'!F226</f>
        <v>0</v>
      </c>
      <c r="G226" s="228">
        <f t="shared" ref="G226" si="1188">IFERROR((F226)/M226,0)</f>
        <v>0</v>
      </c>
      <c r="H226" s="229">
        <f t="shared" ref="H226:H289" si="1189">IF(F226=0,0,ROUND((8*5)*(365/12/7),0))</f>
        <v>0</v>
      </c>
      <c r="I226" s="229">
        <f t="shared" ref="I226:I289" si="1190">IF(F226=0,0,ROUND(8*365/12/7,0))</f>
        <v>0</v>
      </c>
      <c r="J226" s="230">
        <f>'임금대장 양식'!J226</f>
        <v>0</v>
      </c>
      <c r="K226" s="231">
        <f>'임금대장 양식'!K226</f>
        <v>0</v>
      </c>
      <c r="L226" s="231">
        <f>'임금대장 양식'!L226</f>
        <v>0</v>
      </c>
      <c r="M226" s="232">
        <f t="shared" ref="M226:M289" si="1191">H226+I226+J227+K227+L227</f>
        <v>0</v>
      </c>
      <c r="N226" s="227">
        <f t="shared" ref="N226:N289" si="1192">IF(G226=0,0,G226*(H226+I226)-(R226+S226+T226+U226))</f>
        <v>0</v>
      </c>
      <c r="O226" s="233">
        <f t="shared" ref="O226:O289" si="1193">G226*J227</f>
        <v>0</v>
      </c>
      <c r="P226" s="233">
        <f t="shared" ref="P226:P289" si="1194">G226*K227</f>
        <v>0</v>
      </c>
      <c r="Q226" s="233">
        <f t="shared" ref="Q226:Q289" si="1195">G226*L227</f>
        <v>0</v>
      </c>
      <c r="R226" s="233">
        <f>'임금대장 양식'!R226</f>
        <v>0</v>
      </c>
      <c r="S226" s="233">
        <f>'임금대장 양식'!S226</f>
        <v>0</v>
      </c>
      <c r="T226" s="233">
        <f>'임금대장 양식'!T226</f>
        <v>0</v>
      </c>
      <c r="U226" s="233">
        <f>'임금대장 양식'!U226</f>
        <v>0</v>
      </c>
    </row>
    <row r="227" spans="2:21" ht="21.5" customHeight="1">
      <c r="B227" s="234"/>
      <c r="C227" s="234">
        <v>0</v>
      </c>
      <c r="D227" s="210">
        <f>'임금대장 양식'!D227</f>
        <v>0</v>
      </c>
      <c r="E227" s="235"/>
      <c r="F227" s="236"/>
      <c r="G227" s="237"/>
      <c r="H227" s="238"/>
      <c r="I227" s="238"/>
      <c r="J227" s="239">
        <f t="shared" ref="J227:J290" si="1196">ROUND(J226*(365/12/7)*IF($S$4="5인 이상",1.5,1),0)</f>
        <v>0</v>
      </c>
      <c r="K227" s="239">
        <f t="shared" ref="K227:K290" si="1197">ROUND(K226*IF($S$4="5인 이상",1.5,1),0)</f>
        <v>0</v>
      </c>
      <c r="L227" s="239">
        <f t="shared" ref="L227:L290" si="1198">ROUND(L226*IF($S$4="5인 이상",1.5,1)+L226*IF($S$4="5인 이상",0.5,1),0)</f>
        <v>0</v>
      </c>
      <c r="M227" s="240"/>
      <c r="N227" s="236"/>
      <c r="O227" s="241"/>
      <c r="P227" s="241"/>
      <c r="Q227" s="241"/>
      <c r="R227" s="241"/>
      <c r="S227" s="241"/>
      <c r="T227" s="241"/>
      <c r="U227" s="241"/>
    </row>
    <row r="228" spans="2:21" ht="21.5" customHeight="1">
      <c r="B228" s="225">
        <f>'임금대장 양식'!B228</f>
        <v>0</v>
      </c>
      <c r="C228" s="225" cm="1">
        <f t="array" ref="C228:C229">'임금대장 양식'!C228:C229</f>
        <v>0</v>
      </c>
      <c r="D228" s="225">
        <f>'임금대장 양식'!D228</f>
        <v>0</v>
      </c>
      <c r="E228" s="226">
        <f>'임금대장 양식'!E228</f>
        <v>0</v>
      </c>
      <c r="F228" s="227">
        <f>'임금대장 양식'!F228</f>
        <v>0</v>
      </c>
      <c r="G228" s="228">
        <f t="shared" ref="G228" si="1199">IFERROR((F228)/M228,0)</f>
        <v>0</v>
      </c>
      <c r="H228" s="229">
        <f t="shared" ref="H228:H291" si="1200">IF(F228=0,0,ROUND((8*5)*(365/12/7),0))</f>
        <v>0</v>
      </c>
      <c r="I228" s="229">
        <f t="shared" ref="I228:I291" si="1201">IF(F228=0,0,ROUND(8*365/12/7,0))</f>
        <v>0</v>
      </c>
      <c r="J228" s="230">
        <f>'임금대장 양식'!J228</f>
        <v>0</v>
      </c>
      <c r="K228" s="231">
        <f>'임금대장 양식'!K228</f>
        <v>0</v>
      </c>
      <c r="L228" s="231">
        <f>'임금대장 양식'!L228</f>
        <v>0</v>
      </c>
      <c r="M228" s="232">
        <f t="shared" ref="M228:M291" si="1202">H228+I228+J229+K229+L229</f>
        <v>0</v>
      </c>
      <c r="N228" s="227">
        <f t="shared" ref="N228:N291" si="1203">IF(G228=0,0,G228*(H228+I228)-(R228+S228+T228+U228))</f>
        <v>0</v>
      </c>
      <c r="O228" s="233">
        <f t="shared" ref="O228:O291" si="1204">G228*J229</f>
        <v>0</v>
      </c>
      <c r="P228" s="233">
        <f t="shared" ref="P228:P291" si="1205">G228*K229</f>
        <v>0</v>
      </c>
      <c r="Q228" s="233">
        <f t="shared" ref="Q228:Q291" si="1206">G228*L229</f>
        <v>0</v>
      </c>
      <c r="R228" s="233">
        <f>'임금대장 양식'!R228</f>
        <v>0</v>
      </c>
      <c r="S228" s="233">
        <f>'임금대장 양식'!S228</f>
        <v>0</v>
      </c>
      <c r="T228" s="233">
        <f>'임금대장 양식'!T228</f>
        <v>0</v>
      </c>
      <c r="U228" s="233">
        <f>'임금대장 양식'!U228</f>
        <v>0</v>
      </c>
    </row>
    <row r="229" spans="2:21" ht="21.5" customHeight="1">
      <c r="B229" s="234"/>
      <c r="C229" s="234">
        <v>0</v>
      </c>
      <c r="D229" s="210">
        <f>'임금대장 양식'!D229</f>
        <v>0</v>
      </c>
      <c r="E229" s="235"/>
      <c r="F229" s="236"/>
      <c r="G229" s="237"/>
      <c r="H229" s="238"/>
      <c r="I229" s="238"/>
      <c r="J229" s="239">
        <f t="shared" ref="J229:J292" si="1207">ROUND(J228*(365/12/7)*IF($S$4="5인 이상",1.5,1),0)</f>
        <v>0</v>
      </c>
      <c r="K229" s="239">
        <f t="shared" ref="K229:K292" si="1208">ROUND(K228*IF($S$4="5인 이상",1.5,1),0)</f>
        <v>0</v>
      </c>
      <c r="L229" s="239">
        <f t="shared" ref="L229:L292" si="1209">ROUND(L228*IF($S$4="5인 이상",1.5,1)+L228*IF($S$4="5인 이상",0.5,1),0)</f>
        <v>0</v>
      </c>
      <c r="M229" s="240"/>
      <c r="N229" s="236"/>
      <c r="O229" s="241"/>
      <c r="P229" s="241"/>
      <c r="Q229" s="241"/>
      <c r="R229" s="241"/>
      <c r="S229" s="241"/>
      <c r="T229" s="241"/>
      <c r="U229" s="241"/>
    </row>
    <row r="230" spans="2:21" ht="21.5" customHeight="1">
      <c r="B230" s="225">
        <f>'임금대장 양식'!B230</f>
        <v>0</v>
      </c>
      <c r="C230" s="225" cm="1">
        <f t="array" ref="C230:C231">'임금대장 양식'!C230:C231</f>
        <v>0</v>
      </c>
      <c r="D230" s="225">
        <f>'임금대장 양식'!D230</f>
        <v>0</v>
      </c>
      <c r="E230" s="226">
        <f>'임금대장 양식'!E230</f>
        <v>0</v>
      </c>
      <c r="F230" s="227">
        <f>'임금대장 양식'!F230</f>
        <v>0</v>
      </c>
      <c r="G230" s="228">
        <f t="shared" ref="G230" si="1210">IFERROR((F230)/M230,0)</f>
        <v>0</v>
      </c>
      <c r="H230" s="229">
        <f t="shared" ref="H230:H293" si="1211">IF(F230=0,0,ROUND((8*5)*(365/12/7),0))</f>
        <v>0</v>
      </c>
      <c r="I230" s="229">
        <f t="shared" ref="I230:I293" si="1212">IF(F230=0,0,ROUND(8*365/12/7,0))</f>
        <v>0</v>
      </c>
      <c r="J230" s="230">
        <f>'임금대장 양식'!J230</f>
        <v>0</v>
      </c>
      <c r="K230" s="231">
        <f>'임금대장 양식'!K230</f>
        <v>0</v>
      </c>
      <c r="L230" s="231">
        <f>'임금대장 양식'!L230</f>
        <v>0</v>
      </c>
      <c r="M230" s="232">
        <f t="shared" ref="M230:M293" si="1213">H230+I230+J231+K231+L231</f>
        <v>0</v>
      </c>
      <c r="N230" s="227">
        <f t="shared" ref="N230:N293" si="1214">IF(G230=0,0,G230*(H230+I230)-(R230+S230+T230+U230))</f>
        <v>0</v>
      </c>
      <c r="O230" s="233">
        <f t="shared" ref="O230:O293" si="1215">G230*J231</f>
        <v>0</v>
      </c>
      <c r="P230" s="233">
        <f t="shared" ref="P230:P293" si="1216">G230*K231</f>
        <v>0</v>
      </c>
      <c r="Q230" s="233">
        <f t="shared" ref="Q230:Q293" si="1217">G230*L231</f>
        <v>0</v>
      </c>
      <c r="R230" s="233">
        <f>'임금대장 양식'!R230</f>
        <v>0</v>
      </c>
      <c r="S230" s="233">
        <f>'임금대장 양식'!S230</f>
        <v>0</v>
      </c>
      <c r="T230" s="233">
        <f>'임금대장 양식'!T230</f>
        <v>0</v>
      </c>
      <c r="U230" s="233">
        <f>'임금대장 양식'!U230</f>
        <v>0</v>
      </c>
    </row>
    <row r="231" spans="2:21" ht="21.5" customHeight="1">
      <c r="B231" s="234"/>
      <c r="C231" s="234">
        <v>0</v>
      </c>
      <c r="D231" s="210">
        <f>'임금대장 양식'!D231</f>
        <v>0</v>
      </c>
      <c r="E231" s="235"/>
      <c r="F231" s="236"/>
      <c r="G231" s="237"/>
      <c r="H231" s="238"/>
      <c r="I231" s="238"/>
      <c r="J231" s="239">
        <f t="shared" ref="J231:J294" si="1218">ROUND(J230*(365/12/7)*IF($S$4="5인 이상",1.5,1),0)</f>
        <v>0</v>
      </c>
      <c r="K231" s="239">
        <f t="shared" ref="K231:K294" si="1219">ROUND(K230*IF($S$4="5인 이상",1.5,1),0)</f>
        <v>0</v>
      </c>
      <c r="L231" s="239">
        <f t="shared" ref="L231:L294" si="1220">ROUND(L230*IF($S$4="5인 이상",1.5,1)+L230*IF($S$4="5인 이상",0.5,1),0)</f>
        <v>0</v>
      </c>
      <c r="M231" s="240"/>
      <c r="N231" s="236"/>
      <c r="O231" s="241"/>
      <c r="P231" s="241"/>
      <c r="Q231" s="241"/>
      <c r="R231" s="241"/>
      <c r="S231" s="241"/>
      <c r="T231" s="241"/>
      <c r="U231" s="241"/>
    </row>
    <row r="232" spans="2:21" ht="21.5" customHeight="1">
      <c r="B232" s="225">
        <f>'임금대장 양식'!B232</f>
        <v>0</v>
      </c>
      <c r="C232" s="225" cm="1">
        <f t="array" ref="C232:C233">'임금대장 양식'!C232:C233</f>
        <v>0</v>
      </c>
      <c r="D232" s="225">
        <f>'임금대장 양식'!D232</f>
        <v>0</v>
      </c>
      <c r="E232" s="226">
        <f>'임금대장 양식'!E232</f>
        <v>0</v>
      </c>
      <c r="F232" s="227">
        <f>'임금대장 양식'!F232</f>
        <v>0</v>
      </c>
      <c r="G232" s="228">
        <f t="shared" ref="G232" si="1221">IFERROR((F232)/M232,0)</f>
        <v>0</v>
      </c>
      <c r="H232" s="229">
        <f t="shared" ref="H232:H295" si="1222">IF(F232=0,0,ROUND((8*5)*(365/12/7),0))</f>
        <v>0</v>
      </c>
      <c r="I232" s="229">
        <f t="shared" ref="I232:I295" si="1223">IF(F232=0,0,ROUND(8*365/12/7,0))</f>
        <v>0</v>
      </c>
      <c r="J232" s="230">
        <f>'임금대장 양식'!J232</f>
        <v>0</v>
      </c>
      <c r="K232" s="231">
        <f>'임금대장 양식'!K232</f>
        <v>0</v>
      </c>
      <c r="L232" s="231">
        <f>'임금대장 양식'!L232</f>
        <v>0</v>
      </c>
      <c r="M232" s="232">
        <f t="shared" ref="M232:M295" si="1224">H232+I232+J233+K233+L233</f>
        <v>0</v>
      </c>
      <c r="N232" s="227">
        <f t="shared" ref="N232:N295" si="1225">IF(G232=0,0,G232*(H232+I232)-(R232+S232+T232+U232))</f>
        <v>0</v>
      </c>
      <c r="O232" s="233">
        <f t="shared" ref="O232:O295" si="1226">G232*J233</f>
        <v>0</v>
      </c>
      <c r="P232" s="233">
        <f t="shared" ref="P232:P295" si="1227">G232*K233</f>
        <v>0</v>
      </c>
      <c r="Q232" s="233">
        <f t="shared" ref="Q232:Q295" si="1228">G232*L233</f>
        <v>0</v>
      </c>
      <c r="R232" s="233">
        <f>'임금대장 양식'!R232</f>
        <v>0</v>
      </c>
      <c r="S232" s="233">
        <f>'임금대장 양식'!S232</f>
        <v>0</v>
      </c>
      <c r="T232" s="233">
        <f>'임금대장 양식'!T232</f>
        <v>0</v>
      </c>
      <c r="U232" s="233">
        <f>'임금대장 양식'!U232</f>
        <v>0</v>
      </c>
    </row>
    <row r="233" spans="2:21" ht="21.5" customHeight="1">
      <c r="B233" s="234"/>
      <c r="C233" s="234">
        <v>0</v>
      </c>
      <c r="D233" s="210">
        <f>'임금대장 양식'!D233</f>
        <v>0</v>
      </c>
      <c r="E233" s="235"/>
      <c r="F233" s="236"/>
      <c r="G233" s="237"/>
      <c r="H233" s="238"/>
      <c r="I233" s="238"/>
      <c r="J233" s="239">
        <f t="shared" ref="J233:J296" si="1229">ROUND(J232*(365/12/7)*IF($S$4="5인 이상",1.5,1),0)</f>
        <v>0</v>
      </c>
      <c r="K233" s="239">
        <f t="shared" ref="K233:K296" si="1230">ROUND(K232*IF($S$4="5인 이상",1.5,1),0)</f>
        <v>0</v>
      </c>
      <c r="L233" s="239">
        <f t="shared" ref="L233:L296" si="1231">ROUND(L232*IF($S$4="5인 이상",1.5,1)+L232*IF($S$4="5인 이상",0.5,1),0)</f>
        <v>0</v>
      </c>
      <c r="M233" s="240"/>
      <c r="N233" s="236"/>
      <c r="O233" s="241"/>
      <c r="P233" s="241"/>
      <c r="Q233" s="241"/>
      <c r="R233" s="241"/>
      <c r="S233" s="241"/>
      <c r="T233" s="241"/>
      <c r="U233" s="241"/>
    </row>
    <row r="234" spans="2:21" ht="21.5" customHeight="1">
      <c r="B234" s="225">
        <f>'임금대장 양식'!B234</f>
        <v>0</v>
      </c>
      <c r="C234" s="225" cm="1">
        <f t="array" ref="C234:C235">'임금대장 양식'!C234:C235</f>
        <v>0</v>
      </c>
      <c r="D234" s="225">
        <f>'임금대장 양식'!D234</f>
        <v>0</v>
      </c>
      <c r="E234" s="226">
        <f>'임금대장 양식'!E234</f>
        <v>0</v>
      </c>
      <c r="F234" s="227">
        <f>'임금대장 양식'!F234</f>
        <v>0</v>
      </c>
      <c r="G234" s="228">
        <f t="shared" ref="G234" si="1232">IFERROR((F234)/M234,0)</f>
        <v>0</v>
      </c>
      <c r="H234" s="229">
        <f t="shared" ref="H234:H297" si="1233">IF(F234=0,0,ROUND((8*5)*(365/12/7),0))</f>
        <v>0</v>
      </c>
      <c r="I234" s="229">
        <f t="shared" ref="I234:I297" si="1234">IF(F234=0,0,ROUND(8*365/12/7,0))</f>
        <v>0</v>
      </c>
      <c r="J234" s="230">
        <f>'임금대장 양식'!J234</f>
        <v>0</v>
      </c>
      <c r="K234" s="231">
        <f>'임금대장 양식'!K234</f>
        <v>0</v>
      </c>
      <c r="L234" s="231">
        <f>'임금대장 양식'!L234</f>
        <v>0</v>
      </c>
      <c r="M234" s="232">
        <f t="shared" ref="M234:M297" si="1235">H234+I234+J235+K235+L235</f>
        <v>0</v>
      </c>
      <c r="N234" s="227">
        <f t="shared" ref="N234:N297" si="1236">IF(G234=0,0,G234*(H234+I234)-(R234+S234+T234+U234))</f>
        <v>0</v>
      </c>
      <c r="O234" s="233">
        <f t="shared" ref="O234:O297" si="1237">G234*J235</f>
        <v>0</v>
      </c>
      <c r="P234" s="233">
        <f t="shared" ref="P234:P297" si="1238">G234*K235</f>
        <v>0</v>
      </c>
      <c r="Q234" s="233">
        <f t="shared" ref="Q234:Q297" si="1239">G234*L235</f>
        <v>0</v>
      </c>
      <c r="R234" s="233">
        <f>'임금대장 양식'!R234</f>
        <v>0</v>
      </c>
      <c r="S234" s="233">
        <f>'임금대장 양식'!S234</f>
        <v>0</v>
      </c>
      <c r="T234" s="233">
        <f>'임금대장 양식'!T234</f>
        <v>0</v>
      </c>
      <c r="U234" s="233">
        <f>'임금대장 양식'!U234</f>
        <v>0</v>
      </c>
    </row>
    <row r="235" spans="2:21" ht="21.5" customHeight="1">
      <c r="B235" s="234"/>
      <c r="C235" s="234">
        <v>0</v>
      </c>
      <c r="D235" s="210">
        <f>'임금대장 양식'!D235</f>
        <v>0</v>
      </c>
      <c r="E235" s="235"/>
      <c r="F235" s="236"/>
      <c r="G235" s="237"/>
      <c r="H235" s="238"/>
      <c r="I235" s="238"/>
      <c r="J235" s="239">
        <f t="shared" ref="J235:J298" si="1240">ROUND(J234*(365/12/7)*IF($S$4="5인 이상",1.5,1),0)</f>
        <v>0</v>
      </c>
      <c r="K235" s="239">
        <f t="shared" ref="K235:K298" si="1241">ROUND(K234*IF($S$4="5인 이상",1.5,1),0)</f>
        <v>0</v>
      </c>
      <c r="L235" s="239">
        <f t="shared" ref="L235:L298" si="1242">ROUND(L234*IF($S$4="5인 이상",1.5,1)+L234*IF($S$4="5인 이상",0.5,1),0)</f>
        <v>0</v>
      </c>
      <c r="M235" s="240"/>
      <c r="N235" s="236"/>
      <c r="O235" s="241"/>
      <c r="P235" s="241"/>
      <c r="Q235" s="241"/>
      <c r="R235" s="241"/>
      <c r="S235" s="241"/>
      <c r="T235" s="241"/>
      <c r="U235" s="241"/>
    </row>
    <row r="236" spans="2:21" ht="21.5" customHeight="1">
      <c r="B236" s="225">
        <f>'임금대장 양식'!B236</f>
        <v>0</v>
      </c>
      <c r="C236" s="225" cm="1">
        <f t="array" ref="C236:C237">'임금대장 양식'!C236:C237</f>
        <v>0</v>
      </c>
      <c r="D236" s="225">
        <f>'임금대장 양식'!D236</f>
        <v>0</v>
      </c>
      <c r="E236" s="226">
        <f>'임금대장 양식'!E236</f>
        <v>0</v>
      </c>
      <c r="F236" s="227">
        <f>'임금대장 양식'!F236</f>
        <v>0</v>
      </c>
      <c r="G236" s="228">
        <f t="shared" ref="G236" si="1243">IFERROR((F236)/M236,0)</f>
        <v>0</v>
      </c>
      <c r="H236" s="229">
        <f t="shared" ref="H236:H299" si="1244">IF(F236=0,0,ROUND((8*5)*(365/12/7),0))</f>
        <v>0</v>
      </c>
      <c r="I236" s="229">
        <f t="shared" ref="I236:I299" si="1245">IF(F236=0,0,ROUND(8*365/12/7,0))</f>
        <v>0</v>
      </c>
      <c r="J236" s="230">
        <f>'임금대장 양식'!J236</f>
        <v>0</v>
      </c>
      <c r="K236" s="231">
        <f>'임금대장 양식'!K236</f>
        <v>0</v>
      </c>
      <c r="L236" s="231">
        <f>'임금대장 양식'!L236</f>
        <v>0</v>
      </c>
      <c r="M236" s="232">
        <f t="shared" ref="M236:M299" si="1246">H236+I236+J237+K237+L237</f>
        <v>0</v>
      </c>
      <c r="N236" s="227">
        <f t="shared" ref="N236:N299" si="1247">IF(G236=0,0,G236*(H236+I236)-(R236+S236+T236+U236))</f>
        <v>0</v>
      </c>
      <c r="O236" s="233">
        <f t="shared" ref="O236:O299" si="1248">G236*J237</f>
        <v>0</v>
      </c>
      <c r="P236" s="233">
        <f t="shared" ref="P236:P299" si="1249">G236*K237</f>
        <v>0</v>
      </c>
      <c r="Q236" s="233">
        <f t="shared" ref="Q236:Q299" si="1250">G236*L237</f>
        <v>0</v>
      </c>
      <c r="R236" s="233">
        <f>'임금대장 양식'!R236</f>
        <v>0</v>
      </c>
      <c r="S236" s="233">
        <f>'임금대장 양식'!S236</f>
        <v>0</v>
      </c>
      <c r="T236" s="233">
        <f>'임금대장 양식'!T236</f>
        <v>0</v>
      </c>
      <c r="U236" s="233">
        <f>'임금대장 양식'!U236</f>
        <v>0</v>
      </c>
    </row>
    <row r="237" spans="2:21" ht="21.5" customHeight="1">
      <c r="B237" s="234"/>
      <c r="C237" s="234">
        <v>0</v>
      </c>
      <c r="D237" s="210">
        <f>'임금대장 양식'!D237</f>
        <v>0</v>
      </c>
      <c r="E237" s="235"/>
      <c r="F237" s="236"/>
      <c r="G237" s="237"/>
      <c r="H237" s="238"/>
      <c r="I237" s="238"/>
      <c r="J237" s="239">
        <f t="shared" ref="J237:J300" si="1251">ROUND(J236*(365/12/7)*IF($S$4="5인 이상",1.5,1),0)</f>
        <v>0</v>
      </c>
      <c r="K237" s="239">
        <f t="shared" ref="K237:K300" si="1252">ROUND(K236*IF($S$4="5인 이상",1.5,1),0)</f>
        <v>0</v>
      </c>
      <c r="L237" s="239">
        <f t="shared" ref="L237:L300" si="1253">ROUND(L236*IF($S$4="5인 이상",1.5,1)+L236*IF($S$4="5인 이상",0.5,1),0)</f>
        <v>0</v>
      </c>
      <c r="M237" s="240"/>
      <c r="N237" s="236"/>
      <c r="O237" s="241"/>
      <c r="P237" s="241"/>
      <c r="Q237" s="241"/>
      <c r="R237" s="241"/>
      <c r="S237" s="241"/>
      <c r="T237" s="241"/>
      <c r="U237" s="241"/>
    </row>
    <row r="238" spans="2:21" ht="21.5" customHeight="1">
      <c r="B238" s="225">
        <f>'임금대장 양식'!B238</f>
        <v>0</v>
      </c>
      <c r="C238" s="225" cm="1">
        <f t="array" ref="C238:C239">'임금대장 양식'!C238:C239</f>
        <v>0</v>
      </c>
      <c r="D238" s="225">
        <f>'임금대장 양식'!D238</f>
        <v>0</v>
      </c>
      <c r="E238" s="226">
        <f>'임금대장 양식'!E238</f>
        <v>0</v>
      </c>
      <c r="F238" s="227">
        <f>'임금대장 양식'!F238</f>
        <v>0</v>
      </c>
      <c r="G238" s="228">
        <f t="shared" ref="G238" si="1254">IFERROR((F238)/M238,0)</f>
        <v>0</v>
      </c>
      <c r="H238" s="229">
        <f t="shared" ref="H238:H301" si="1255">IF(F238=0,0,ROUND((8*5)*(365/12/7),0))</f>
        <v>0</v>
      </c>
      <c r="I238" s="229">
        <f t="shared" ref="I238:I301" si="1256">IF(F238=0,0,ROUND(8*365/12/7,0))</f>
        <v>0</v>
      </c>
      <c r="J238" s="230">
        <f>'임금대장 양식'!J238</f>
        <v>0</v>
      </c>
      <c r="K238" s="231">
        <f>'임금대장 양식'!K238</f>
        <v>0</v>
      </c>
      <c r="L238" s="231">
        <f>'임금대장 양식'!L238</f>
        <v>0</v>
      </c>
      <c r="M238" s="232">
        <f t="shared" ref="M238:M301" si="1257">H238+I238+J239+K239+L239</f>
        <v>0</v>
      </c>
      <c r="N238" s="227">
        <f t="shared" ref="N238:N301" si="1258">IF(G238=0,0,G238*(H238+I238)-(R238+S238+T238+U238))</f>
        <v>0</v>
      </c>
      <c r="O238" s="233">
        <f t="shared" ref="O238:O301" si="1259">G238*J239</f>
        <v>0</v>
      </c>
      <c r="P238" s="233">
        <f t="shared" ref="P238:P301" si="1260">G238*K239</f>
        <v>0</v>
      </c>
      <c r="Q238" s="233">
        <f t="shared" ref="Q238:Q301" si="1261">G238*L239</f>
        <v>0</v>
      </c>
      <c r="R238" s="233">
        <f>'임금대장 양식'!R238</f>
        <v>0</v>
      </c>
      <c r="S238" s="233">
        <f>'임금대장 양식'!S238</f>
        <v>0</v>
      </c>
      <c r="T238" s="233">
        <f>'임금대장 양식'!T238</f>
        <v>0</v>
      </c>
      <c r="U238" s="233">
        <f>'임금대장 양식'!U238</f>
        <v>0</v>
      </c>
    </row>
    <row r="239" spans="2:21" ht="21.5" customHeight="1">
      <c r="B239" s="234"/>
      <c r="C239" s="234">
        <v>0</v>
      </c>
      <c r="D239" s="210">
        <f>'임금대장 양식'!D239</f>
        <v>0</v>
      </c>
      <c r="E239" s="235"/>
      <c r="F239" s="236"/>
      <c r="G239" s="237"/>
      <c r="H239" s="238"/>
      <c r="I239" s="238"/>
      <c r="J239" s="239">
        <f t="shared" ref="J239:J302" si="1262">ROUND(J238*(365/12/7)*IF($S$4="5인 이상",1.5,1),0)</f>
        <v>0</v>
      </c>
      <c r="K239" s="239">
        <f t="shared" ref="K239:K302" si="1263">ROUND(K238*IF($S$4="5인 이상",1.5,1),0)</f>
        <v>0</v>
      </c>
      <c r="L239" s="239">
        <f t="shared" ref="L239:L302" si="1264">ROUND(L238*IF($S$4="5인 이상",1.5,1)+L238*IF($S$4="5인 이상",0.5,1),0)</f>
        <v>0</v>
      </c>
      <c r="M239" s="240"/>
      <c r="N239" s="236"/>
      <c r="O239" s="241"/>
      <c r="P239" s="241"/>
      <c r="Q239" s="241"/>
      <c r="R239" s="241"/>
      <c r="S239" s="241"/>
      <c r="T239" s="241"/>
      <c r="U239" s="241"/>
    </row>
    <row r="240" spans="2:21" ht="21.5" customHeight="1">
      <c r="B240" s="225">
        <f>'임금대장 양식'!B240</f>
        <v>0</v>
      </c>
      <c r="C240" s="225" cm="1">
        <f t="array" ref="C240:C241">'임금대장 양식'!C240:C241</f>
        <v>0</v>
      </c>
      <c r="D240" s="225">
        <f>'임금대장 양식'!D240</f>
        <v>0</v>
      </c>
      <c r="E240" s="226">
        <f>'임금대장 양식'!E240</f>
        <v>0</v>
      </c>
      <c r="F240" s="227">
        <f>'임금대장 양식'!F240</f>
        <v>0</v>
      </c>
      <c r="G240" s="228">
        <f t="shared" ref="G240" si="1265">IFERROR((F240)/M240,0)</f>
        <v>0</v>
      </c>
      <c r="H240" s="229">
        <f t="shared" ref="H240:H303" si="1266">IF(F240=0,0,ROUND((8*5)*(365/12/7),0))</f>
        <v>0</v>
      </c>
      <c r="I240" s="229">
        <f t="shared" ref="I240:I303" si="1267">IF(F240=0,0,ROUND(8*365/12/7,0))</f>
        <v>0</v>
      </c>
      <c r="J240" s="230">
        <f>'임금대장 양식'!J240</f>
        <v>0</v>
      </c>
      <c r="K240" s="231">
        <f>'임금대장 양식'!K240</f>
        <v>0</v>
      </c>
      <c r="L240" s="231">
        <f>'임금대장 양식'!L240</f>
        <v>0</v>
      </c>
      <c r="M240" s="232">
        <f t="shared" ref="M240:M303" si="1268">H240+I240+J241+K241+L241</f>
        <v>0</v>
      </c>
      <c r="N240" s="227">
        <f t="shared" ref="N240:N303" si="1269">IF(G240=0,0,G240*(H240+I240)-(R240+S240+T240+U240))</f>
        <v>0</v>
      </c>
      <c r="O240" s="233">
        <f t="shared" ref="O240:O303" si="1270">G240*J241</f>
        <v>0</v>
      </c>
      <c r="P240" s="233">
        <f t="shared" ref="P240:P303" si="1271">G240*K241</f>
        <v>0</v>
      </c>
      <c r="Q240" s="233">
        <f t="shared" ref="Q240:Q303" si="1272">G240*L241</f>
        <v>0</v>
      </c>
      <c r="R240" s="233">
        <f>'임금대장 양식'!R240</f>
        <v>0</v>
      </c>
      <c r="S240" s="233">
        <f>'임금대장 양식'!S240</f>
        <v>0</v>
      </c>
      <c r="T240" s="233">
        <f>'임금대장 양식'!T240</f>
        <v>0</v>
      </c>
      <c r="U240" s="233">
        <f>'임금대장 양식'!U240</f>
        <v>0</v>
      </c>
    </row>
    <row r="241" spans="2:21" ht="21.5" customHeight="1">
      <c r="B241" s="234"/>
      <c r="C241" s="234">
        <v>0</v>
      </c>
      <c r="D241" s="210">
        <f>'임금대장 양식'!D241</f>
        <v>0</v>
      </c>
      <c r="E241" s="235"/>
      <c r="F241" s="236"/>
      <c r="G241" s="237"/>
      <c r="H241" s="238"/>
      <c r="I241" s="238"/>
      <c r="J241" s="239">
        <f t="shared" ref="J241:J304" si="1273">ROUND(J240*(365/12/7)*IF($S$4="5인 이상",1.5,1),0)</f>
        <v>0</v>
      </c>
      <c r="K241" s="239">
        <f t="shared" ref="K241:K304" si="1274">ROUND(K240*IF($S$4="5인 이상",1.5,1),0)</f>
        <v>0</v>
      </c>
      <c r="L241" s="239">
        <f t="shared" ref="L241:L304" si="1275">ROUND(L240*IF($S$4="5인 이상",1.5,1)+L240*IF($S$4="5인 이상",0.5,1),0)</f>
        <v>0</v>
      </c>
      <c r="M241" s="240"/>
      <c r="N241" s="236"/>
      <c r="O241" s="241"/>
      <c r="P241" s="241"/>
      <c r="Q241" s="241"/>
      <c r="R241" s="241"/>
      <c r="S241" s="241"/>
      <c r="T241" s="241"/>
      <c r="U241" s="241"/>
    </row>
    <row r="242" spans="2:21" ht="21.5" customHeight="1">
      <c r="B242" s="225">
        <f>'임금대장 양식'!B242</f>
        <v>0</v>
      </c>
      <c r="C242" s="225" cm="1">
        <f t="array" ref="C242:C243">'임금대장 양식'!C242:C243</f>
        <v>0</v>
      </c>
      <c r="D242" s="225">
        <f>'임금대장 양식'!D242</f>
        <v>0</v>
      </c>
      <c r="E242" s="226">
        <f>'임금대장 양식'!E242</f>
        <v>0</v>
      </c>
      <c r="F242" s="227">
        <f>'임금대장 양식'!F242</f>
        <v>0</v>
      </c>
      <c r="G242" s="228">
        <f t="shared" ref="G242" si="1276">IFERROR((F242)/M242,0)</f>
        <v>0</v>
      </c>
      <c r="H242" s="229">
        <f t="shared" ref="H242:H305" si="1277">IF(F242=0,0,ROUND((8*5)*(365/12/7),0))</f>
        <v>0</v>
      </c>
      <c r="I242" s="229">
        <f t="shared" ref="I242:I305" si="1278">IF(F242=0,0,ROUND(8*365/12/7,0))</f>
        <v>0</v>
      </c>
      <c r="J242" s="230">
        <f>'임금대장 양식'!J242</f>
        <v>0</v>
      </c>
      <c r="K242" s="231">
        <f>'임금대장 양식'!K242</f>
        <v>0</v>
      </c>
      <c r="L242" s="231">
        <f>'임금대장 양식'!L242</f>
        <v>0</v>
      </c>
      <c r="M242" s="232">
        <f t="shared" ref="M242:M305" si="1279">H242+I242+J243+K243+L243</f>
        <v>0</v>
      </c>
      <c r="N242" s="227">
        <f t="shared" ref="N242:N305" si="1280">IF(G242=0,0,G242*(H242+I242)-(R242+S242+T242+U242))</f>
        <v>0</v>
      </c>
      <c r="O242" s="233">
        <f t="shared" ref="O242:O305" si="1281">G242*J243</f>
        <v>0</v>
      </c>
      <c r="P242" s="233">
        <f t="shared" ref="P242:P305" si="1282">G242*K243</f>
        <v>0</v>
      </c>
      <c r="Q242" s="233">
        <f t="shared" ref="Q242:Q305" si="1283">G242*L243</f>
        <v>0</v>
      </c>
      <c r="R242" s="233">
        <f>'임금대장 양식'!R242</f>
        <v>0</v>
      </c>
      <c r="S242" s="233">
        <f>'임금대장 양식'!S242</f>
        <v>0</v>
      </c>
      <c r="T242" s="233">
        <f>'임금대장 양식'!T242</f>
        <v>0</v>
      </c>
      <c r="U242" s="233">
        <f>'임금대장 양식'!U242</f>
        <v>0</v>
      </c>
    </row>
    <row r="243" spans="2:21" ht="21.5" customHeight="1">
      <c r="B243" s="234"/>
      <c r="C243" s="234">
        <v>0</v>
      </c>
      <c r="D243" s="210">
        <f>'임금대장 양식'!D243</f>
        <v>0</v>
      </c>
      <c r="E243" s="235"/>
      <c r="F243" s="236"/>
      <c r="G243" s="237"/>
      <c r="H243" s="238"/>
      <c r="I243" s="238"/>
      <c r="J243" s="239">
        <f t="shared" ref="J243:J306" si="1284">ROUND(J242*(365/12/7)*IF($S$4="5인 이상",1.5,1),0)</f>
        <v>0</v>
      </c>
      <c r="K243" s="239">
        <f t="shared" ref="K243:K306" si="1285">ROUND(K242*IF($S$4="5인 이상",1.5,1),0)</f>
        <v>0</v>
      </c>
      <c r="L243" s="239">
        <f t="shared" ref="L243:L306" si="1286">ROUND(L242*IF($S$4="5인 이상",1.5,1)+L242*IF($S$4="5인 이상",0.5,1),0)</f>
        <v>0</v>
      </c>
      <c r="M243" s="240"/>
      <c r="N243" s="236"/>
      <c r="O243" s="241"/>
      <c r="P243" s="241"/>
      <c r="Q243" s="241"/>
      <c r="R243" s="241"/>
      <c r="S243" s="241"/>
      <c r="T243" s="241"/>
      <c r="U243" s="241"/>
    </row>
    <row r="244" spans="2:21" ht="21.5" customHeight="1">
      <c r="B244" s="225">
        <f>'임금대장 양식'!B244</f>
        <v>0</v>
      </c>
      <c r="C244" s="225" cm="1">
        <f t="array" ref="C244:C245">'임금대장 양식'!C244:C245</f>
        <v>0</v>
      </c>
      <c r="D244" s="225">
        <f>'임금대장 양식'!D244</f>
        <v>0</v>
      </c>
      <c r="E244" s="226">
        <f>'임금대장 양식'!E244</f>
        <v>0</v>
      </c>
      <c r="F244" s="227">
        <f>'임금대장 양식'!F244</f>
        <v>0</v>
      </c>
      <c r="G244" s="228">
        <f t="shared" ref="G244" si="1287">IFERROR((F244)/M244,0)</f>
        <v>0</v>
      </c>
      <c r="H244" s="229">
        <f t="shared" ref="H244:H307" si="1288">IF(F244=0,0,ROUND((8*5)*(365/12/7),0))</f>
        <v>0</v>
      </c>
      <c r="I244" s="229">
        <f t="shared" ref="I244:I307" si="1289">IF(F244=0,0,ROUND(8*365/12/7,0))</f>
        <v>0</v>
      </c>
      <c r="J244" s="230">
        <f>'임금대장 양식'!J244</f>
        <v>0</v>
      </c>
      <c r="K244" s="231">
        <f>'임금대장 양식'!K244</f>
        <v>0</v>
      </c>
      <c r="L244" s="231">
        <f>'임금대장 양식'!L244</f>
        <v>0</v>
      </c>
      <c r="M244" s="232">
        <f t="shared" ref="M244:M307" si="1290">H244+I244+J245+K245+L245</f>
        <v>0</v>
      </c>
      <c r="N244" s="227">
        <f t="shared" ref="N244:N307" si="1291">IF(G244=0,0,G244*(H244+I244)-(R244+S244+T244+U244))</f>
        <v>0</v>
      </c>
      <c r="O244" s="233">
        <f t="shared" ref="O244:O307" si="1292">G244*J245</f>
        <v>0</v>
      </c>
      <c r="P244" s="233">
        <f t="shared" ref="P244:P307" si="1293">G244*K245</f>
        <v>0</v>
      </c>
      <c r="Q244" s="233">
        <f t="shared" ref="Q244:Q307" si="1294">G244*L245</f>
        <v>0</v>
      </c>
      <c r="R244" s="233">
        <f>'임금대장 양식'!R244</f>
        <v>0</v>
      </c>
      <c r="S244" s="233">
        <f>'임금대장 양식'!S244</f>
        <v>0</v>
      </c>
      <c r="T244" s="233">
        <f>'임금대장 양식'!T244</f>
        <v>0</v>
      </c>
      <c r="U244" s="233">
        <f>'임금대장 양식'!U244</f>
        <v>0</v>
      </c>
    </row>
    <row r="245" spans="2:21" ht="21.5" customHeight="1">
      <c r="B245" s="234"/>
      <c r="C245" s="234">
        <v>0</v>
      </c>
      <c r="D245" s="210">
        <f>'임금대장 양식'!D245</f>
        <v>0</v>
      </c>
      <c r="E245" s="235"/>
      <c r="F245" s="236"/>
      <c r="G245" s="237"/>
      <c r="H245" s="238"/>
      <c r="I245" s="238"/>
      <c r="J245" s="239">
        <f t="shared" ref="J245:J308" si="1295">ROUND(J244*(365/12/7)*IF($S$4="5인 이상",1.5,1),0)</f>
        <v>0</v>
      </c>
      <c r="K245" s="239">
        <f t="shared" ref="K245:K308" si="1296">ROUND(K244*IF($S$4="5인 이상",1.5,1),0)</f>
        <v>0</v>
      </c>
      <c r="L245" s="239">
        <f t="shared" ref="L245:L308" si="1297">ROUND(L244*IF($S$4="5인 이상",1.5,1)+L244*IF($S$4="5인 이상",0.5,1),0)</f>
        <v>0</v>
      </c>
      <c r="M245" s="240"/>
      <c r="N245" s="236"/>
      <c r="O245" s="241"/>
      <c r="P245" s="241"/>
      <c r="Q245" s="241"/>
      <c r="R245" s="241"/>
      <c r="S245" s="241"/>
      <c r="T245" s="241"/>
      <c r="U245" s="241"/>
    </row>
    <row r="246" spans="2:21" ht="21.5" customHeight="1">
      <c r="B246" s="225">
        <f>'임금대장 양식'!B246</f>
        <v>0</v>
      </c>
      <c r="C246" s="225" cm="1">
        <f t="array" ref="C246:C247">'임금대장 양식'!C246:C247</f>
        <v>0</v>
      </c>
      <c r="D246" s="225">
        <f>'임금대장 양식'!D246</f>
        <v>0</v>
      </c>
      <c r="E246" s="226">
        <f>'임금대장 양식'!E246</f>
        <v>0</v>
      </c>
      <c r="F246" s="227">
        <f>'임금대장 양식'!F246</f>
        <v>0</v>
      </c>
      <c r="G246" s="228">
        <f t="shared" ref="G246" si="1298">IFERROR((F246)/M246,0)</f>
        <v>0</v>
      </c>
      <c r="H246" s="229">
        <f t="shared" ref="H246:H309" si="1299">IF(F246=0,0,ROUND((8*5)*(365/12/7),0))</f>
        <v>0</v>
      </c>
      <c r="I246" s="229">
        <f t="shared" ref="I246:I309" si="1300">IF(F246=0,0,ROUND(8*365/12/7,0))</f>
        <v>0</v>
      </c>
      <c r="J246" s="230">
        <f>'임금대장 양식'!J246</f>
        <v>0</v>
      </c>
      <c r="K246" s="231">
        <f>'임금대장 양식'!K246</f>
        <v>0</v>
      </c>
      <c r="L246" s="231">
        <f>'임금대장 양식'!L246</f>
        <v>0</v>
      </c>
      <c r="M246" s="232">
        <f t="shared" ref="M246:M309" si="1301">H246+I246+J247+K247+L247</f>
        <v>0</v>
      </c>
      <c r="N246" s="227">
        <f t="shared" ref="N246:N309" si="1302">IF(G246=0,0,G246*(H246+I246)-(R246+S246+T246+U246))</f>
        <v>0</v>
      </c>
      <c r="O246" s="233">
        <f t="shared" ref="O246:O309" si="1303">G246*J247</f>
        <v>0</v>
      </c>
      <c r="P246" s="233">
        <f t="shared" ref="P246:P309" si="1304">G246*K247</f>
        <v>0</v>
      </c>
      <c r="Q246" s="233">
        <f t="shared" ref="Q246:Q309" si="1305">G246*L247</f>
        <v>0</v>
      </c>
      <c r="R246" s="233">
        <f>'임금대장 양식'!R246</f>
        <v>0</v>
      </c>
      <c r="S246" s="233">
        <f>'임금대장 양식'!S246</f>
        <v>0</v>
      </c>
      <c r="T246" s="233">
        <f>'임금대장 양식'!T246</f>
        <v>0</v>
      </c>
      <c r="U246" s="233">
        <f>'임금대장 양식'!U246</f>
        <v>0</v>
      </c>
    </row>
    <row r="247" spans="2:21" ht="21.5" customHeight="1">
      <c r="B247" s="234"/>
      <c r="C247" s="234">
        <v>0</v>
      </c>
      <c r="D247" s="210">
        <f>'임금대장 양식'!D247</f>
        <v>0</v>
      </c>
      <c r="E247" s="235"/>
      <c r="F247" s="236"/>
      <c r="G247" s="237"/>
      <c r="H247" s="238"/>
      <c r="I247" s="238"/>
      <c r="J247" s="239">
        <f t="shared" ref="J247:J310" si="1306">ROUND(J246*(365/12/7)*IF($S$4="5인 이상",1.5,1),0)</f>
        <v>0</v>
      </c>
      <c r="K247" s="239">
        <f t="shared" ref="K247:K310" si="1307">ROUND(K246*IF($S$4="5인 이상",1.5,1),0)</f>
        <v>0</v>
      </c>
      <c r="L247" s="239">
        <f t="shared" ref="L247:L310" si="1308">ROUND(L246*IF($S$4="5인 이상",1.5,1)+L246*IF($S$4="5인 이상",0.5,1),0)</f>
        <v>0</v>
      </c>
      <c r="M247" s="240"/>
      <c r="N247" s="236"/>
      <c r="O247" s="241"/>
      <c r="P247" s="241"/>
      <c r="Q247" s="241"/>
      <c r="R247" s="241"/>
      <c r="S247" s="241"/>
      <c r="T247" s="241"/>
      <c r="U247" s="241"/>
    </row>
    <row r="248" spans="2:21" ht="21.5" customHeight="1">
      <c r="B248" s="225">
        <f>'임금대장 양식'!B248</f>
        <v>0</v>
      </c>
      <c r="C248" s="225" cm="1">
        <f t="array" ref="C248:C249">'임금대장 양식'!C248:C249</f>
        <v>0</v>
      </c>
      <c r="D248" s="225">
        <f>'임금대장 양식'!D248</f>
        <v>0</v>
      </c>
      <c r="E248" s="226">
        <f>'임금대장 양식'!E248</f>
        <v>0</v>
      </c>
      <c r="F248" s="227">
        <f>'임금대장 양식'!F248</f>
        <v>0</v>
      </c>
      <c r="G248" s="228">
        <f t="shared" ref="G248" si="1309">IFERROR((F248)/M248,0)</f>
        <v>0</v>
      </c>
      <c r="H248" s="229">
        <f t="shared" ref="H248:H311" si="1310">IF(F248=0,0,ROUND((8*5)*(365/12/7),0))</f>
        <v>0</v>
      </c>
      <c r="I248" s="229">
        <f t="shared" ref="I248:I311" si="1311">IF(F248=0,0,ROUND(8*365/12/7,0))</f>
        <v>0</v>
      </c>
      <c r="J248" s="230">
        <f>'임금대장 양식'!J248</f>
        <v>0</v>
      </c>
      <c r="K248" s="231">
        <f>'임금대장 양식'!K248</f>
        <v>0</v>
      </c>
      <c r="L248" s="231">
        <f>'임금대장 양식'!L248</f>
        <v>0</v>
      </c>
      <c r="M248" s="232">
        <f t="shared" ref="M248:M311" si="1312">H248+I248+J249+K249+L249</f>
        <v>0</v>
      </c>
      <c r="N248" s="227">
        <f t="shared" ref="N248:N311" si="1313">IF(G248=0,0,G248*(H248+I248)-(R248+S248+T248+U248))</f>
        <v>0</v>
      </c>
      <c r="O248" s="233">
        <f t="shared" ref="O248:O311" si="1314">G248*J249</f>
        <v>0</v>
      </c>
      <c r="P248" s="233">
        <f t="shared" ref="P248:P311" si="1315">G248*K249</f>
        <v>0</v>
      </c>
      <c r="Q248" s="233">
        <f t="shared" ref="Q248:Q311" si="1316">G248*L249</f>
        <v>0</v>
      </c>
      <c r="R248" s="233">
        <f>'임금대장 양식'!R248</f>
        <v>0</v>
      </c>
      <c r="S248" s="233">
        <f>'임금대장 양식'!S248</f>
        <v>0</v>
      </c>
      <c r="T248" s="233">
        <f>'임금대장 양식'!T248</f>
        <v>0</v>
      </c>
      <c r="U248" s="233">
        <f>'임금대장 양식'!U248</f>
        <v>0</v>
      </c>
    </row>
    <row r="249" spans="2:21" ht="21.5" customHeight="1">
      <c r="B249" s="234"/>
      <c r="C249" s="234">
        <v>0</v>
      </c>
      <c r="D249" s="210">
        <f>'임금대장 양식'!D249</f>
        <v>0</v>
      </c>
      <c r="E249" s="235"/>
      <c r="F249" s="236"/>
      <c r="G249" s="237"/>
      <c r="H249" s="238"/>
      <c r="I249" s="238"/>
      <c r="J249" s="239">
        <f t="shared" ref="J249:J312" si="1317">ROUND(J248*(365/12/7)*IF($S$4="5인 이상",1.5,1),0)</f>
        <v>0</v>
      </c>
      <c r="K249" s="239">
        <f t="shared" ref="K249:K312" si="1318">ROUND(K248*IF($S$4="5인 이상",1.5,1),0)</f>
        <v>0</v>
      </c>
      <c r="L249" s="239">
        <f t="shared" ref="L249:L312" si="1319">ROUND(L248*IF($S$4="5인 이상",1.5,1)+L248*IF($S$4="5인 이상",0.5,1),0)</f>
        <v>0</v>
      </c>
      <c r="M249" s="240"/>
      <c r="N249" s="236"/>
      <c r="O249" s="241"/>
      <c r="P249" s="241"/>
      <c r="Q249" s="241"/>
      <c r="R249" s="241"/>
      <c r="S249" s="241"/>
      <c r="T249" s="241"/>
      <c r="U249" s="241"/>
    </row>
    <row r="250" spans="2:21" ht="21.5" customHeight="1">
      <c r="B250" s="225">
        <f>'임금대장 양식'!B250</f>
        <v>0</v>
      </c>
      <c r="C250" s="225" cm="1">
        <f t="array" ref="C250:C251">'임금대장 양식'!C250:C251</f>
        <v>0</v>
      </c>
      <c r="D250" s="225">
        <f>'임금대장 양식'!D250</f>
        <v>0</v>
      </c>
      <c r="E250" s="226">
        <f>'임금대장 양식'!E250</f>
        <v>0</v>
      </c>
      <c r="F250" s="227">
        <f>'임금대장 양식'!F250</f>
        <v>0</v>
      </c>
      <c r="G250" s="228">
        <f t="shared" ref="G250" si="1320">IFERROR((F250)/M250,0)</f>
        <v>0</v>
      </c>
      <c r="H250" s="229">
        <f t="shared" ref="H250:H313" si="1321">IF(F250=0,0,ROUND((8*5)*(365/12/7),0))</f>
        <v>0</v>
      </c>
      <c r="I250" s="229">
        <f t="shared" ref="I250:I313" si="1322">IF(F250=0,0,ROUND(8*365/12/7,0))</f>
        <v>0</v>
      </c>
      <c r="J250" s="230">
        <f>'임금대장 양식'!J250</f>
        <v>0</v>
      </c>
      <c r="K250" s="231">
        <f>'임금대장 양식'!K250</f>
        <v>0</v>
      </c>
      <c r="L250" s="231">
        <f>'임금대장 양식'!L250</f>
        <v>0</v>
      </c>
      <c r="M250" s="232">
        <f t="shared" ref="M250:M313" si="1323">H250+I250+J251+K251+L251</f>
        <v>0</v>
      </c>
      <c r="N250" s="227">
        <f t="shared" ref="N250:N313" si="1324">IF(G250=0,0,G250*(H250+I250)-(R250+S250+T250+U250))</f>
        <v>0</v>
      </c>
      <c r="O250" s="233">
        <f t="shared" ref="O250:O313" si="1325">G250*J251</f>
        <v>0</v>
      </c>
      <c r="P250" s="233">
        <f t="shared" ref="P250:P313" si="1326">G250*K251</f>
        <v>0</v>
      </c>
      <c r="Q250" s="233">
        <f t="shared" ref="Q250:Q313" si="1327">G250*L251</f>
        <v>0</v>
      </c>
      <c r="R250" s="233">
        <f>'임금대장 양식'!R250</f>
        <v>0</v>
      </c>
      <c r="S250" s="233">
        <f>'임금대장 양식'!S250</f>
        <v>0</v>
      </c>
      <c r="T250" s="233">
        <f>'임금대장 양식'!T250</f>
        <v>0</v>
      </c>
      <c r="U250" s="233">
        <f>'임금대장 양식'!U250</f>
        <v>0</v>
      </c>
    </row>
    <row r="251" spans="2:21" ht="21.5" customHeight="1">
      <c r="B251" s="234"/>
      <c r="C251" s="234">
        <v>0</v>
      </c>
      <c r="D251" s="210">
        <f>'임금대장 양식'!D251</f>
        <v>0</v>
      </c>
      <c r="E251" s="235"/>
      <c r="F251" s="236"/>
      <c r="G251" s="237"/>
      <c r="H251" s="238"/>
      <c r="I251" s="238"/>
      <c r="J251" s="239">
        <f t="shared" ref="J251:J314" si="1328">ROUND(J250*(365/12/7)*IF($S$4="5인 이상",1.5,1),0)</f>
        <v>0</v>
      </c>
      <c r="K251" s="239">
        <f t="shared" ref="K251:K314" si="1329">ROUND(K250*IF($S$4="5인 이상",1.5,1),0)</f>
        <v>0</v>
      </c>
      <c r="L251" s="239">
        <f t="shared" ref="L251:L314" si="1330">ROUND(L250*IF($S$4="5인 이상",1.5,1)+L250*IF($S$4="5인 이상",0.5,1),0)</f>
        <v>0</v>
      </c>
      <c r="M251" s="240"/>
      <c r="N251" s="236"/>
      <c r="O251" s="241"/>
      <c r="P251" s="241"/>
      <c r="Q251" s="241"/>
      <c r="R251" s="241"/>
      <c r="S251" s="241"/>
      <c r="T251" s="241"/>
      <c r="U251" s="241"/>
    </row>
    <row r="252" spans="2:21" ht="21.5" customHeight="1">
      <c r="B252" s="225">
        <f>'임금대장 양식'!B252</f>
        <v>0</v>
      </c>
      <c r="C252" s="225" cm="1">
        <f t="array" ref="C252:C253">'임금대장 양식'!C252:C253</f>
        <v>0</v>
      </c>
      <c r="D252" s="225">
        <f>'임금대장 양식'!D252</f>
        <v>0</v>
      </c>
      <c r="E252" s="226">
        <f>'임금대장 양식'!E252</f>
        <v>0</v>
      </c>
      <c r="F252" s="227">
        <f>'임금대장 양식'!F252</f>
        <v>0</v>
      </c>
      <c r="G252" s="228">
        <f t="shared" ref="G252" si="1331">IFERROR((F252)/M252,0)</f>
        <v>0</v>
      </c>
      <c r="H252" s="229">
        <f t="shared" ref="H252:H315" si="1332">IF(F252=0,0,ROUND((8*5)*(365/12/7),0))</f>
        <v>0</v>
      </c>
      <c r="I252" s="229">
        <f t="shared" ref="I252:I315" si="1333">IF(F252=0,0,ROUND(8*365/12/7,0))</f>
        <v>0</v>
      </c>
      <c r="J252" s="230">
        <f>'임금대장 양식'!J252</f>
        <v>0</v>
      </c>
      <c r="K252" s="231">
        <f>'임금대장 양식'!K252</f>
        <v>0</v>
      </c>
      <c r="L252" s="231">
        <f>'임금대장 양식'!L252</f>
        <v>0</v>
      </c>
      <c r="M252" s="232">
        <f t="shared" ref="M252:M315" si="1334">H252+I252+J253+K253+L253</f>
        <v>0</v>
      </c>
      <c r="N252" s="227">
        <f t="shared" ref="N252:N315" si="1335">IF(G252=0,0,G252*(H252+I252)-(R252+S252+T252+U252))</f>
        <v>0</v>
      </c>
      <c r="O252" s="233">
        <f t="shared" ref="O252:O315" si="1336">G252*J253</f>
        <v>0</v>
      </c>
      <c r="P252" s="233">
        <f t="shared" ref="P252:P315" si="1337">G252*K253</f>
        <v>0</v>
      </c>
      <c r="Q252" s="233">
        <f t="shared" ref="Q252:Q315" si="1338">G252*L253</f>
        <v>0</v>
      </c>
      <c r="R252" s="233">
        <f>'임금대장 양식'!R252</f>
        <v>0</v>
      </c>
      <c r="S252" s="233">
        <f>'임금대장 양식'!S252</f>
        <v>0</v>
      </c>
      <c r="T252" s="233">
        <f>'임금대장 양식'!T252</f>
        <v>0</v>
      </c>
      <c r="U252" s="233">
        <f>'임금대장 양식'!U252</f>
        <v>0</v>
      </c>
    </row>
    <row r="253" spans="2:21" ht="21.5" customHeight="1">
      <c r="B253" s="234"/>
      <c r="C253" s="234">
        <v>0</v>
      </c>
      <c r="D253" s="210">
        <f>'임금대장 양식'!D253</f>
        <v>0</v>
      </c>
      <c r="E253" s="235"/>
      <c r="F253" s="236"/>
      <c r="G253" s="237"/>
      <c r="H253" s="238"/>
      <c r="I253" s="238"/>
      <c r="J253" s="239">
        <f t="shared" ref="J253:J316" si="1339">ROUND(J252*(365/12/7)*IF($S$4="5인 이상",1.5,1),0)</f>
        <v>0</v>
      </c>
      <c r="K253" s="239">
        <f t="shared" ref="K253:K316" si="1340">ROUND(K252*IF($S$4="5인 이상",1.5,1),0)</f>
        <v>0</v>
      </c>
      <c r="L253" s="239">
        <f t="shared" ref="L253:L316" si="1341">ROUND(L252*IF($S$4="5인 이상",1.5,1)+L252*IF($S$4="5인 이상",0.5,1),0)</f>
        <v>0</v>
      </c>
      <c r="M253" s="240"/>
      <c r="N253" s="236"/>
      <c r="O253" s="241"/>
      <c r="P253" s="241"/>
      <c r="Q253" s="241"/>
      <c r="R253" s="241"/>
      <c r="S253" s="241"/>
      <c r="T253" s="241"/>
      <c r="U253" s="241"/>
    </row>
    <row r="254" spans="2:21" ht="21.5" customHeight="1">
      <c r="B254" s="225">
        <f>'임금대장 양식'!B254</f>
        <v>0</v>
      </c>
      <c r="C254" s="225" cm="1">
        <f t="array" ref="C254:C255">'임금대장 양식'!C254:C255</f>
        <v>0</v>
      </c>
      <c r="D254" s="225">
        <f>'임금대장 양식'!D254</f>
        <v>0</v>
      </c>
      <c r="E254" s="226">
        <f>'임금대장 양식'!E254</f>
        <v>0</v>
      </c>
      <c r="F254" s="227">
        <f>'임금대장 양식'!F254</f>
        <v>0</v>
      </c>
      <c r="G254" s="228">
        <f t="shared" ref="G254" si="1342">IFERROR((F254)/M254,0)</f>
        <v>0</v>
      </c>
      <c r="H254" s="229">
        <f t="shared" ref="H254:H317" si="1343">IF(F254=0,0,ROUND((8*5)*(365/12/7),0))</f>
        <v>0</v>
      </c>
      <c r="I254" s="229">
        <f t="shared" ref="I254:I317" si="1344">IF(F254=0,0,ROUND(8*365/12/7,0))</f>
        <v>0</v>
      </c>
      <c r="J254" s="230">
        <f>'임금대장 양식'!J254</f>
        <v>0</v>
      </c>
      <c r="K254" s="231">
        <f>'임금대장 양식'!K254</f>
        <v>0</v>
      </c>
      <c r="L254" s="231">
        <f>'임금대장 양식'!L254</f>
        <v>0</v>
      </c>
      <c r="M254" s="232">
        <f t="shared" ref="M254:M317" si="1345">H254+I254+J255+K255+L255</f>
        <v>0</v>
      </c>
      <c r="N254" s="227">
        <f t="shared" ref="N254:N317" si="1346">IF(G254=0,0,G254*(H254+I254)-(R254+S254+T254+U254))</f>
        <v>0</v>
      </c>
      <c r="O254" s="233">
        <f t="shared" ref="O254:O317" si="1347">G254*J255</f>
        <v>0</v>
      </c>
      <c r="P254" s="233">
        <f t="shared" ref="P254:P317" si="1348">G254*K255</f>
        <v>0</v>
      </c>
      <c r="Q254" s="233">
        <f t="shared" ref="Q254:Q317" si="1349">G254*L255</f>
        <v>0</v>
      </c>
      <c r="R254" s="233">
        <f>'임금대장 양식'!R254</f>
        <v>0</v>
      </c>
      <c r="S254" s="233">
        <f>'임금대장 양식'!S254</f>
        <v>0</v>
      </c>
      <c r="T254" s="233">
        <f>'임금대장 양식'!T254</f>
        <v>0</v>
      </c>
      <c r="U254" s="233">
        <f>'임금대장 양식'!U254</f>
        <v>0</v>
      </c>
    </row>
    <row r="255" spans="2:21" ht="21.5" customHeight="1">
      <c r="B255" s="234"/>
      <c r="C255" s="234">
        <v>0</v>
      </c>
      <c r="D255" s="210">
        <f>'임금대장 양식'!D255</f>
        <v>0</v>
      </c>
      <c r="E255" s="235"/>
      <c r="F255" s="236"/>
      <c r="G255" s="237"/>
      <c r="H255" s="238"/>
      <c r="I255" s="238"/>
      <c r="J255" s="239">
        <f t="shared" ref="J255:J318" si="1350">ROUND(J254*(365/12/7)*IF($S$4="5인 이상",1.5,1),0)</f>
        <v>0</v>
      </c>
      <c r="K255" s="239">
        <f t="shared" ref="K255:K318" si="1351">ROUND(K254*IF($S$4="5인 이상",1.5,1),0)</f>
        <v>0</v>
      </c>
      <c r="L255" s="239">
        <f t="shared" ref="L255:L318" si="1352">ROUND(L254*IF($S$4="5인 이상",1.5,1)+L254*IF($S$4="5인 이상",0.5,1),0)</f>
        <v>0</v>
      </c>
      <c r="M255" s="240"/>
      <c r="N255" s="236"/>
      <c r="O255" s="241"/>
      <c r="P255" s="241"/>
      <c r="Q255" s="241"/>
      <c r="R255" s="241"/>
      <c r="S255" s="241"/>
      <c r="T255" s="241"/>
      <c r="U255" s="241"/>
    </row>
    <row r="256" spans="2:21" ht="21.5" customHeight="1">
      <c r="B256" s="225">
        <f>'임금대장 양식'!B256</f>
        <v>0</v>
      </c>
      <c r="C256" s="225" cm="1">
        <f t="array" ref="C256:C257">'임금대장 양식'!C256:C257</f>
        <v>0</v>
      </c>
      <c r="D256" s="225">
        <f>'임금대장 양식'!D256</f>
        <v>0</v>
      </c>
      <c r="E256" s="226">
        <f>'임금대장 양식'!E256</f>
        <v>0</v>
      </c>
      <c r="F256" s="227">
        <f>'임금대장 양식'!F256</f>
        <v>0</v>
      </c>
      <c r="G256" s="228">
        <f t="shared" ref="G256" si="1353">IFERROR((F256)/M256,0)</f>
        <v>0</v>
      </c>
      <c r="H256" s="229">
        <f t="shared" ref="H256:H319" si="1354">IF(F256=0,0,ROUND((8*5)*(365/12/7),0))</f>
        <v>0</v>
      </c>
      <c r="I256" s="229">
        <f t="shared" ref="I256:I319" si="1355">IF(F256=0,0,ROUND(8*365/12/7,0))</f>
        <v>0</v>
      </c>
      <c r="J256" s="230">
        <f>'임금대장 양식'!J256</f>
        <v>0</v>
      </c>
      <c r="K256" s="231">
        <f>'임금대장 양식'!K256</f>
        <v>0</v>
      </c>
      <c r="L256" s="231">
        <f>'임금대장 양식'!L256</f>
        <v>0</v>
      </c>
      <c r="M256" s="232">
        <f t="shared" ref="M256:M319" si="1356">H256+I256+J257+K257+L257</f>
        <v>0</v>
      </c>
      <c r="N256" s="227">
        <f t="shared" ref="N256:N319" si="1357">IF(G256=0,0,G256*(H256+I256)-(R256+S256+T256+U256))</f>
        <v>0</v>
      </c>
      <c r="O256" s="233">
        <f t="shared" ref="O256:O319" si="1358">G256*J257</f>
        <v>0</v>
      </c>
      <c r="P256" s="233">
        <f t="shared" ref="P256:P319" si="1359">G256*K257</f>
        <v>0</v>
      </c>
      <c r="Q256" s="233">
        <f t="shared" ref="Q256:Q319" si="1360">G256*L257</f>
        <v>0</v>
      </c>
      <c r="R256" s="233">
        <f>'임금대장 양식'!R256</f>
        <v>0</v>
      </c>
      <c r="S256" s="233">
        <f>'임금대장 양식'!S256</f>
        <v>0</v>
      </c>
      <c r="T256" s="233">
        <f>'임금대장 양식'!T256</f>
        <v>0</v>
      </c>
      <c r="U256" s="233">
        <f>'임금대장 양식'!U256</f>
        <v>0</v>
      </c>
    </row>
    <row r="257" spans="2:21" ht="21.5" customHeight="1">
      <c r="B257" s="234"/>
      <c r="C257" s="234">
        <v>0</v>
      </c>
      <c r="D257" s="210">
        <f>'임금대장 양식'!D257</f>
        <v>0</v>
      </c>
      <c r="E257" s="235"/>
      <c r="F257" s="236"/>
      <c r="G257" s="237"/>
      <c r="H257" s="238"/>
      <c r="I257" s="238"/>
      <c r="J257" s="239">
        <f t="shared" ref="J257:J320" si="1361">ROUND(J256*(365/12/7)*IF($S$4="5인 이상",1.5,1),0)</f>
        <v>0</v>
      </c>
      <c r="K257" s="239">
        <f t="shared" ref="K257:K320" si="1362">ROUND(K256*IF($S$4="5인 이상",1.5,1),0)</f>
        <v>0</v>
      </c>
      <c r="L257" s="239">
        <f t="shared" ref="L257:L320" si="1363">ROUND(L256*IF($S$4="5인 이상",1.5,1)+L256*IF($S$4="5인 이상",0.5,1),0)</f>
        <v>0</v>
      </c>
      <c r="M257" s="240"/>
      <c r="N257" s="236"/>
      <c r="O257" s="241"/>
      <c r="P257" s="241"/>
      <c r="Q257" s="241"/>
      <c r="R257" s="241"/>
      <c r="S257" s="241"/>
      <c r="T257" s="241"/>
      <c r="U257" s="241"/>
    </row>
    <row r="258" spans="2:21" ht="21.5" customHeight="1">
      <c r="B258" s="225">
        <f>'임금대장 양식'!B258</f>
        <v>0</v>
      </c>
      <c r="C258" s="225" cm="1">
        <f t="array" ref="C258:C259">'임금대장 양식'!C258:C259</f>
        <v>0</v>
      </c>
      <c r="D258" s="225">
        <f>'임금대장 양식'!D258</f>
        <v>0</v>
      </c>
      <c r="E258" s="226">
        <f>'임금대장 양식'!E258</f>
        <v>0</v>
      </c>
      <c r="F258" s="227">
        <f>'임금대장 양식'!F258</f>
        <v>0</v>
      </c>
      <c r="G258" s="228">
        <f t="shared" ref="G258" si="1364">IFERROR((F258)/M258,0)</f>
        <v>0</v>
      </c>
      <c r="H258" s="229">
        <f t="shared" ref="H258:H321" si="1365">IF(F258=0,0,ROUND((8*5)*(365/12/7),0))</f>
        <v>0</v>
      </c>
      <c r="I258" s="229">
        <f t="shared" ref="I258:I321" si="1366">IF(F258=0,0,ROUND(8*365/12/7,0))</f>
        <v>0</v>
      </c>
      <c r="J258" s="230">
        <f>'임금대장 양식'!J258</f>
        <v>0</v>
      </c>
      <c r="K258" s="231">
        <f>'임금대장 양식'!K258</f>
        <v>0</v>
      </c>
      <c r="L258" s="231">
        <f>'임금대장 양식'!L258</f>
        <v>0</v>
      </c>
      <c r="M258" s="232">
        <f t="shared" ref="M258:M321" si="1367">H258+I258+J259+K259+L259</f>
        <v>0</v>
      </c>
      <c r="N258" s="227">
        <f t="shared" ref="N258:N321" si="1368">IF(G258=0,0,G258*(H258+I258)-(R258+S258+T258+U258))</f>
        <v>0</v>
      </c>
      <c r="O258" s="233">
        <f t="shared" ref="O258:O321" si="1369">G258*J259</f>
        <v>0</v>
      </c>
      <c r="P258" s="233">
        <f t="shared" ref="P258:P321" si="1370">G258*K259</f>
        <v>0</v>
      </c>
      <c r="Q258" s="233">
        <f t="shared" ref="Q258:Q321" si="1371">G258*L259</f>
        <v>0</v>
      </c>
      <c r="R258" s="233">
        <f>'임금대장 양식'!R258</f>
        <v>0</v>
      </c>
      <c r="S258" s="233">
        <f>'임금대장 양식'!S258</f>
        <v>0</v>
      </c>
      <c r="T258" s="233">
        <f>'임금대장 양식'!T258</f>
        <v>0</v>
      </c>
      <c r="U258" s="233">
        <f>'임금대장 양식'!U258</f>
        <v>0</v>
      </c>
    </row>
    <row r="259" spans="2:21" ht="21.5" customHeight="1">
      <c r="B259" s="234"/>
      <c r="C259" s="234">
        <v>0</v>
      </c>
      <c r="D259" s="210">
        <f>'임금대장 양식'!D259</f>
        <v>0</v>
      </c>
      <c r="E259" s="235"/>
      <c r="F259" s="236"/>
      <c r="G259" s="237"/>
      <c r="H259" s="238"/>
      <c r="I259" s="238"/>
      <c r="J259" s="239">
        <f t="shared" ref="J259:J322" si="1372">ROUND(J258*(365/12/7)*IF($S$4="5인 이상",1.5,1),0)</f>
        <v>0</v>
      </c>
      <c r="K259" s="239">
        <f t="shared" ref="K259:K322" si="1373">ROUND(K258*IF($S$4="5인 이상",1.5,1),0)</f>
        <v>0</v>
      </c>
      <c r="L259" s="239">
        <f t="shared" ref="L259:L322" si="1374">ROUND(L258*IF($S$4="5인 이상",1.5,1)+L258*IF($S$4="5인 이상",0.5,1),0)</f>
        <v>0</v>
      </c>
      <c r="M259" s="240"/>
      <c r="N259" s="236"/>
      <c r="O259" s="241"/>
      <c r="P259" s="241"/>
      <c r="Q259" s="241"/>
      <c r="R259" s="241"/>
      <c r="S259" s="241"/>
      <c r="T259" s="241"/>
      <c r="U259" s="241"/>
    </row>
    <row r="260" spans="2:21" ht="21.5" customHeight="1">
      <c r="B260" s="225">
        <f>'임금대장 양식'!B260</f>
        <v>0</v>
      </c>
      <c r="C260" s="225" cm="1">
        <f t="array" ref="C260:C261">'임금대장 양식'!C260:C261</f>
        <v>0</v>
      </c>
      <c r="D260" s="225">
        <f>'임금대장 양식'!D260</f>
        <v>0</v>
      </c>
      <c r="E260" s="226">
        <f>'임금대장 양식'!E260</f>
        <v>0</v>
      </c>
      <c r="F260" s="227">
        <f>'임금대장 양식'!F260</f>
        <v>0</v>
      </c>
      <c r="G260" s="228">
        <f t="shared" ref="G260" si="1375">IFERROR((F260)/M260,0)</f>
        <v>0</v>
      </c>
      <c r="H260" s="229">
        <f t="shared" ref="H260:H323" si="1376">IF(F260=0,0,ROUND((8*5)*(365/12/7),0))</f>
        <v>0</v>
      </c>
      <c r="I260" s="229">
        <f t="shared" ref="I260:I323" si="1377">IF(F260=0,0,ROUND(8*365/12/7,0))</f>
        <v>0</v>
      </c>
      <c r="J260" s="230">
        <f>'임금대장 양식'!J260</f>
        <v>0</v>
      </c>
      <c r="K260" s="231">
        <f>'임금대장 양식'!K260</f>
        <v>0</v>
      </c>
      <c r="L260" s="231">
        <f>'임금대장 양식'!L260</f>
        <v>0</v>
      </c>
      <c r="M260" s="232">
        <f t="shared" ref="M260:M323" si="1378">H260+I260+J261+K261+L261</f>
        <v>0</v>
      </c>
      <c r="N260" s="227">
        <f t="shared" ref="N260:N323" si="1379">IF(G260=0,0,G260*(H260+I260)-(R260+S260+T260+U260))</f>
        <v>0</v>
      </c>
      <c r="O260" s="233">
        <f t="shared" ref="O260:O323" si="1380">G260*J261</f>
        <v>0</v>
      </c>
      <c r="P260" s="233">
        <f t="shared" ref="P260:P323" si="1381">G260*K261</f>
        <v>0</v>
      </c>
      <c r="Q260" s="233">
        <f t="shared" ref="Q260:Q323" si="1382">G260*L261</f>
        <v>0</v>
      </c>
      <c r="R260" s="233">
        <f>'임금대장 양식'!R260</f>
        <v>0</v>
      </c>
      <c r="S260" s="233">
        <f>'임금대장 양식'!S260</f>
        <v>0</v>
      </c>
      <c r="T260" s="233">
        <f>'임금대장 양식'!T260</f>
        <v>0</v>
      </c>
      <c r="U260" s="233">
        <f>'임금대장 양식'!U260</f>
        <v>0</v>
      </c>
    </row>
    <row r="261" spans="2:21" ht="21.5" customHeight="1">
      <c r="B261" s="234"/>
      <c r="C261" s="234">
        <v>0</v>
      </c>
      <c r="D261" s="210">
        <f>'임금대장 양식'!D261</f>
        <v>0</v>
      </c>
      <c r="E261" s="235"/>
      <c r="F261" s="236"/>
      <c r="G261" s="237"/>
      <c r="H261" s="238"/>
      <c r="I261" s="238"/>
      <c r="J261" s="239">
        <f t="shared" ref="J261:J324" si="1383">ROUND(J260*(365/12/7)*IF($S$4="5인 이상",1.5,1),0)</f>
        <v>0</v>
      </c>
      <c r="K261" s="239">
        <f t="shared" ref="K261:K324" si="1384">ROUND(K260*IF($S$4="5인 이상",1.5,1),0)</f>
        <v>0</v>
      </c>
      <c r="L261" s="239">
        <f t="shared" ref="L261:L324" si="1385">ROUND(L260*IF($S$4="5인 이상",1.5,1)+L260*IF($S$4="5인 이상",0.5,1),0)</f>
        <v>0</v>
      </c>
      <c r="M261" s="240"/>
      <c r="N261" s="236"/>
      <c r="O261" s="241"/>
      <c r="P261" s="241"/>
      <c r="Q261" s="241"/>
      <c r="R261" s="241"/>
      <c r="S261" s="241"/>
      <c r="T261" s="241"/>
      <c r="U261" s="241"/>
    </row>
    <row r="262" spans="2:21" ht="21.5" customHeight="1">
      <c r="B262" s="225">
        <f>'임금대장 양식'!B262</f>
        <v>0</v>
      </c>
      <c r="C262" s="225" cm="1">
        <f t="array" ref="C262:C263">'임금대장 양식'!C262:C263</f>
        <v>0</v>
      </c>
      <c r="D262" s="225">
        <f>'임금대장 양식'!D262</f>
        <v>0</v>
      </c>
      <c r="E262" s="226">
        <f>'임금대장 양식'!E262</f>
        <v>0</v>
      </c>
      <c r="F262" s="227">
        <f>'임금대장 양식'!F262</f>
        <v>0</v>
      </c>
      <c r="G262" s="228">
        <f t="shared" ref="G262" si="1386">IFERROR((F262)/M262,0)</f>
        <v>0</v>
      </c>
      <c r="H262" s="229">
        <f t="shared" ref="H262:H325" si="1387">IF(F262=0,0,ROUND((8*5)*(365/12/7),0))</f>
        <v>0</v>
      </c>
      <c r="I262" s="229">
        <f t="shared" ref="I262:I325" si="1388">IF(F262=0,0,ROUND(8*365/12/7,0))</f>
        <v>0</v>
      </c>
      <c r="J262" s="230">
        <f>'임금대장 양식'!J262</f>
        <v>0</v>
      </c>
      <c r="K262" s="231">
        <f>'임금대장 양식'!K262</f>
        <v>0</v>
      </c>
      <c r="L262" s="231">
        <f>'임금대장 양식'!L262</f>
        <v>0</v>
      </c>
      <c r="M262" s="232">
        <f t="shared" ref="M262:M325" si="1389">H262+I262+J263+K263+L263</f>
        <v>0</v>
      </c>
      <c r="N262" s="227">
        <f t="shared" ref="N262:N325" si="1390">IF(G262=0,0,G262*(H262+I262)-(R262+S262+T262+U262))</f>
        <v>0</v>
      </c>
      <c r="O262" s="233">
        <f t="shared" ref="O262:O325" si="1391">G262*J263</f>
        <v>0</v>
      </c>
      <c r="P262" s="233">
        <f t="shared" ref="P262:P325" si="1392">G262*K263</f>
        <v>0</v>
      </c>
      <c r="Q262" s="233">
        <f t="shared" ref="Q262:Q325" si="1393">G262*L263</f>
        <v>0</v>
      </c>
      <c r="R262" s="233">
        <f>'임금대장 양식'!R262</f>
        <v>0</v>
      </c>
      <c r="S262" s="233">
        <f>'임금대장 양식'!S262</f>
        <v>0</v>
      </c>
      <c r="T262" s="233">
        <f>'임금대장 양식'!T262</f>
        <v>0</v>
      </c>
      <c r="U262" s="233">
        <f>'임금대장 양식'!U262</f>
        <v>0</v>
      </c>
    </row>
    <row r="263" spans="2:21" ht="21.5" customHeight="1">
      <c r="B263" s="234"/>
      <c r="C263" s="234">
        <v>0</v>
      </c>
      <c r="D263" s="210">
        <f>'임금대장 양식'!D263</f>
        <v>0</v>
      </c>
      <c r="E263" s="235"/>
      <c r="F263" s="236"/>
      <c r="G263" s="237"/>
      <c r="H263" s="238"/>
      <c r="I263" s="238"/>
      <c r="J263" s="239">
        <f t="shared" ref="J263:J326" si="1394">ROUND(J262*(365/12/7)*IF($S$4="5인 이상",1.5,1),0)</f>
        <v>0</v>
      </c>
      <c r="K263" s="239">
        <f t="shared" ref="K263:K326" si="1395">ROUND(K262*IF($S$4="5인 이상",1.5,1),0)</f>
        <v>0</v>
      </c>
      <c r="L263" s="239">
        <f t="shared" ref="L263:L326" si="1396">ROUND(L262*IF($S$4="5인 이상",1.5,1)+L262*IF($S$4="5인 이상",0.5,1),0)</f>
        <v>0</v>
      </c>
      <c r="M263" s="240"/>
      <c r="N263" s="236"/>
      <c r="O263" s="241"/>
      <c r="P263" s="241"/>
      <c r="Q263" s="241"/>
      <c r="R263" s="241"/>
      <c r="S263" s="241"/>
      <c r="T263" s="241"/>
      <c r="U263" s="241"/>
    </row>
    <row r="264" spans="2:21" ht="21.5" customHeight="1">
      <c r="B264" s="225">
        <f>'임금대장 양식'!B264</f>
        <v>0</v>
      </c>
      <c r="C264" s="225" cm="1">
        <f t="array" ref="C264:C265">'임금대장 양식'!C264:C265</f>
        <v>0</v>
      </c>
      <c r="D264" s="225">
        <f>'임금대장 양식'!D264</f>
        <v>0</v>
      </c>
      <c r="E264" s="226">
        <f>'임금대장 양식'!E264</f>
        <v>0</v>
      </c>
      <c r="F264" s="227">
        <f>'임금대장 양식'!F264</f>
        <v>0</v>
      </c>
      <c r="G264" s="228">
        <f t="shared" ref="G264" si="1397">IFERROR((F264)/M264,0)</f>
        <v>0</v>
      </c>
      <c r="H264" s="229">
        <f t="shared" ref="H264:H327" si="1398">IF(F264=0,0,ROUND((8*5)*(365/12/7),0))</f>
        <v>0</v>
      </c>
      <c r="I264" s="229">
        <f t="shared" ref="I264:I327" si="1399">IF(F264=0,0,ROUND(8*365/12/7,0))</f>
        <v>0</v>
      </c>
      <c r="J264" s="230">
        <f>'임금대장 양식'!J264</f>
        <v>0</v>
      </c>
      <c r="K264" s="231">
        <f>'임금대장 양식'!K264</f>
        <v>0</v>
      </c>
      <c r="L264" s="231">
        <f>'임금대장 양식'!L264</f>
        <v>0</v>
      </c>
      <c r="M264" s="232">
        <f t="shared" ref="M264:M327" si="1400">H264+I264+J265+K265+L265</f>
        <v>0</v>
      </c>
      <c r="N264" s="227">
        <f t="shared" ref="N264:N327" si="1401">IF(G264=0,0,G264*(H264+I264)-(R264+S264+T264+U264))</f>
        <v>0</v>
      </c>
      <c r="O264" s="233">
        <f t="shared" ref="O264:O327" si="1402">G264*J265</f>
        <v>0</v>
      </c>
      <c r="P264" s="233">
        <f t="shared" ref="P264:P327" si="1403">G264*K265</f>
        <v>0</v>
      </c>
      <c r="Q264" s="233">
        <f t="shared" ref="Q264:Q327" si="1404">G264*L265</f>
        <v>0</v>
      </c>
      <c r="R264" s="233">
        <f>'임금대장 양식'!R264</f>
        <v>0</v>
      </c>
      <c r="S264" s="233">
        <f>'임금대장 양식'!S264</f>
        <v>0</v>
      </c>
      <c r="T264" s="233">
        <f>'임금대장 양식'!T264</f>
        <v>0</v>
      </c>
      <c r="U264" s="233">
        <f>'임금대장 양식'!U264</f>
        <v>0</v>
      </c>
    </row>
    <row r="265" spans="2:21" ht="21.5" customHeight="1">
      <c r="B265" s="234"/>
      <c r="C265" s="234">
        <v>0</v>
      </c>
      <c r="D265" s="210">
        <f>'임금대장 양식'!D265</f>
        <v>0</v>
      </c>
      <c r="E265" s="235"/>
      <c r="F265" s="236"/>
      <c r="G265" s="237"/>
      <c r="H265" s="238"/>
      <c r="I265" s="238"/>
      <c r="J265" s="239">
        <f t="shared" ref="J265:J328" si="1405">ROUND(J264*(365/12/7)*IF($S$4="5인 이상",1.5,1),0)</f>
        <v>0</v>
      </c>
      <c r="K265" s="239">
        <f t="shared" ref="K265:K328" si="1406">ROUND(K264*IF($S$4="5인 이상",1.5,1),0)</f>
        <v>0</v>
      </c>
      <c r="L265" s="239">
        <f t="shared" ref="L265:L328" si="1407">ROUND(L264*IF($S$4="5인 이상",1.5,1)+L264*IF($S$4="5인 이상",0.5,1),0)</f>
        <v>0</v>
      </c>
      <c r="M265" s="240"/>
      <c r="N265" s="236"/>
      <c r="O265" s="241"/>
      <c r="P265" s="241"/>
      <c r="Q265" s="241"/>
      <c r="R265" s="241"/>
      <c r="S265" s="241"/>
      <c r="T265" s="241"/>
      <c r="U265" s="241"/>
    </row>
    <row r="266" spans="2:21" ht="21.5" customHeight="1">
      <c r="B266" s="225">
        <f>'임금대장 양식'!B266</f>
        <v>0</v>
      </c>
      <c r="C266" s="225" cm="1">
        <f t="array" ref="C266:C267">'임금대장 양식'!C266:C267</f>
        <v>0</v>
      </c>
      <c r="D266" s="225">
        <f>'임금대장 양식'!D266</f>
        <v>0</v>
      </c>
      <c r="E266" s="226">
        <f>'임금대장 양식'!E266</f>
        <v>0</v>
      </c>
      <c r="F266" s="227">
        <f>'임금대장 양식'!F266</f>
        <v>0</v>
      </c>
      <c r="G266" s="228">
        <f t="shared" ref="G266" si="1408">IFERROR((F266)/M266,0)</f>
        <v>0</v>
      </c>
      <c r="H266" s="229">
        <f t="shared" ref="H266:H329" si="1409">IF(F266=0,0,ROUND((8*5)*(365/12/7),0))</f>
        <v>0</v>
      </c>
      <c r="I266" s="229">
        <f t="shared" ref="I266:I329" si="1410">IF(F266=0,0,ROUND(8*365/12/7,0))</f>
        <v>0</v>
      </c>
      <c r="J266" s="230">
        <f>'임금대장 양식'!J266</f>
        <v>0</v>
      </c>
      <c r="K266" s="231">
        <f>'임금대장 양식'!K266</f>
        <v>0</v>
      </c>
      <c r="L266" s="231">
        <f>'임금대장 양식'!L266</f>
        <v>0</v>
      </c>
      <c r="M266" s="232">
        <f t="shared" ref="M266:M329" si="1411">H266+I266+J267+K267+L267</f>
        <v>0</v>
      </c>
      <c r="N266" s="227">
        <f t="shared" ref="N266:N329" si="1412">IF(G266=0,0,G266*(H266+I266)-(R266+S266+T266+U266))</f>
        <v>0</v>
      </c>
      <c r="O266" s="233">
        <f t="shared" ref="O266:O329" si="1413">G266*J267</f>
        <v>0</v>
      </c>
      <c r="P266" s="233">
        <f t="shared" ref="P266:P329" si="1414">G266*K267</f>
        <v>0</v>
      </c>
      <c r="Q266" s="233">
        <f t="shared" ref="Q266:Q329" si="1415">G266*L267</f>
        <v>0</v>
      </c>
      <c r="R266" s="233">
        <f>'임금대장 양식'!R266</f>
        <v>0</v>
      </c>
      <c r="S266" s="233">
        <f>'임금대장 양식'!S266</f>
        <v>0</v>
      </c>
      <c r="T266" s="233">
        <f>'임금대장 양식'!T266</f>
        <v>0</v>
      </c>
      <c r="U266" s="233">
        <f>'임금대장 양식'!U266</f>
        <v>0</v>
      </c>
    </row>
    <row r="267" spans="2:21" ht="21.5" customHeight="1">
      <c r="B267" s="234"/>
      <c r="C267" s="234">
        <v>0</v>
      </c>
      <c r="D267" s="210">
        <f>'임금대장 양식'!D267</f>
        <v>0</v>
      </c>
      <c r="E267" s="235"/>
      <c r="F267" s="236"/>
      <c r="G267" s="237"/>
      <c r="H267" s="238"/>
      <c r="I267" s="238"/>
      <c r="J267" s="239">
        <f t="shared" ref="J267:J330" si="1416">ROUND(J266*(365/12/7)*IF($S$4="5인 이상",1.5,1),0)</f>
        <v>0</v>
      </c>
      <c r="K267" s="239">
        <f t="shared" ref="K267:K330" si="1417">ROUND(K266*IF($S$4="5인 이상",1.5,1),0)</f>
        <v>0</v>
      </c>
      <c r="L267" s="239">
        <f t="shared" ref="L267:L330" si="1418">ROUND(L266*IF($S$4="5인 이상",1.5,1)+L266*IF($S$4="5인 이상",0.5,1),0)</f>
        <v>0</v>
      </c>
      <c r="M267" s="240"/>
      <c r="N267" s="236"/>
      <c r="O267" s="241"/>
      <c r="P267" s="241"/>
      <c r="Q267" s="241"/>
      <c r="R267" s="241"/>
      <c r="S267" s="241"/>
      <c r="T267" s="241"/>
      <c r="U267" s="241"/>
    </row>
    <row r="268" spans="2:21" ht="21.5" customHeight="1">
      <c r="B268" s="225">
        <f>'임금대장 양식'!B268</f>
        <v>0</v>
      </c>
      <c r="C268" s="225" cm="1">
        <f t="array" ref="C268:C269">'임금대장 양식'!C268:C269</f>
        <v>0</v>
      </c>
      <c r="D268" s="225">
        <f>'임금대장 양식'!D268</f>
        <v>0</v>
      </c>
      <c r="E268" s="226">
        <f>'임금대장 양식'!E268</f>
        <v>0</v>
      </c>
      <c r="F268" s="227">
        <f>'임금대장 양식'!F268</f>
        <v>0</v>
      </c>
      <c r="G268" s="228">
        <f t="shared" ref="G268" si="1419">IFERROR((F268)/M268,0)</f>
        <v>0</v>
      </c>
      <c r="H268" s="229">
        <f t="shared" ref="H268:H331" si="1420">IF(F268=0,0,ROUND((8*5)*(365/12/7),0))</f>
        <v>0</v>
      </c>
      <c r="I268" s="229">
        <f t="shared" ref="I268:I331" si="1421">IF(F268=0,0,ROUND(8*365/12/7,0))</f>
        <v>0</v>
      </c>
      <c r="J268" s="230">
        <f>'임금대장 양식'!J268</f>
        <v>0</v>
      </c>
      <c r="K268" s="231">
        <f>'임금대장 양식'!K268</f>
        <v>0</v>
      </c>
      <c r="L268" s="231">
        <f>'임금대장 양식'!L268</f>
        <v>0</v>
      </c>
      <c r="M268" s="232">
        <f t="shared" ref="M268:M331" si="1422">H268+I268+J269+K269+L269</f>
        <v>0</v>
      </c>
      <c r="N268" s="227">
        <f t="shared" ref="N268:N331" si="1423">IF(G268=0,0,G268*(H268+I268)-(R268+S268+T268+U268))</f>
        <v>0</v>
      </c>
      <c r="O268" s="233">
        <f t="shared" ref="O268:O331" si="1424">G268*J269</f>
        <v>0</v>
      </c>
      <c r="P268" s="233">
        <f t="shared" ref="P268:P331" si="1425">G268*K269</f>
        <v>0</v>
      </c>
      <c r="Q268" s="233">
        <f t="shared" ref="Q268:Q331" si="1426">G268*L269</f>
        <v>0</v>
      </c>
      <c r="R268" s="233">
        <f>'임금대장 양식'!R268</f>
        <v>0</v>
      </c>
      <c r="S268" s="233">
        <f>'임금대장 양식'!S268</f>
        <v>0</v>
      </c>
      <c r="T268" s="233">
        <f>'임금대장 양식'!T268</f>
        <v>0</v>
      </c>
      <c r="U268" s="233">
        <f>'임금대장 양식'!U268</f>
        <v>0</v>
      </c>
    </row>
    <row r="269" spans="2:21" ht="21.5" customHeight="1">
      <c r="B269" s="234"/>
      <c r="C269" s="234">
        <v>0</v>
      </c>
      <c r="D269" s="210">
        <f>'임금대장 양식'!D269</f>
        <v>0</v>
      </c>
      <c r="E269" s="235"/>
      <c r="F269" s="236"/>
      <c r="G269" s="237"/>
      <c r="H269" s="238"/>
      <c r="I269" s="238"/>
      <c r="J269" s="239">
        <f t="shared" ref="J269:J332" si="1427">ROUND(J268*(365/12/7)*IF($S$4="5인 이상",1.5,1),0)</f>
        <v>0</v>
      </c>
      <c r="K269" s="239">
        <f t="shared" ref="K269:K332" si="1428">ROUND(K268*IF($S$4="5인 이상",1.5,1),0)</f>
        <v>0</v>
      </c>
      <c r="L269" s="239">
        <f t="shared" ref="L269:L332" si="1429">ROUND(L268*IF($S$4="5인 이상",1.5,1)+L268*IF($S$4="5인 이상",0.5,1),0)</f>
        <v>0</v>
      </c>
      <c r="M269" s="240"/>
      <c r="N269" s="236"/>
      <c r="O269" s="241"/>
      <c r="P269" s="241"/>
      <c r="Q269" s="241"/>
      <c r="R269" s="241"/>
      <c r="S269" s="241"/>
      <c r="T269" s="241"/>
      <c r="U269" s="241"/>
    </row>
    <row r="270" spans="2:21" ht="21.5" customHeight="1">
      <c r="B270" s="225">
        <f>'임금대장 양식'!B270</f>
        <v>0</v>
      </c>
      <c r="C270" s="225" cm="1">
        <f t="array" ref="C270:C271">'임금대장 양식'!C270:C271</f>
        <v>0</v>
      </c>
      <c r="D270" s="225">
        <f>'임금대장 양식'!D270</f>
        <v>0</v>
      </c>
      <c r="E270" s="226">
        <f>'임금대장 양식'!E270</f>
        <v>0</v>
      </c>
      <c r="F270" s="227">
        <f>'임금대장 양식'!F270</f>
        <v>0</v>
      </c>
      <c r="G270" s="228">
        <f t="shared" ref="G270" si="1430">IFERROR((F270)/M270,0)</f>
        <v>0</v>
      </c>
      <c r="H270" s="229">
        <f t="shared" ref="H270:H333" si="1431">IF(F270=0,0,ROUND((8*5)*(365/12/7),0))</f>
        <v>0</v>
      </c>
      <c r="I270" s="229">
        <f t="shared" ref="I270:I333" si="1432">IF(F270=0,0,ROUND(8*365/12/7,0))</f>
        <v>0</v>
      </c>
      <c r="J270" s="230">
        <f>'임금대장 양식'!J270</f>
        <v>0</v>
      </c>
      <c r="K270" s="231">
        <f>'임금대장 양식'!K270</f>
        <v>0</v>
      </c>
      <c r="L270" s="231">
        <f>'임금대장 양식'!L270</f>
        <v>0</v>
      </c>
      <c r="M270" s="232">
        <f t="shared" ref="M270:M333" si="1433">H270+I270+J271+K271+L271</f>
        <v>0</v>
      </c>
      <c r="N270" s="227">
        <f t="shared" ref="N270:N333" si="1434">IF(G270=0,0,G270*(H270+I270)-(R270+S270+T270+U270))</f>
        <v>0</v>
      </c>
      <c r="O270" s="233">
        <f t="shared" ref="O270:O333" si="1435">G270*J271</f>
        <v>0</v>
      </c>
      <c r="P270" s="233">
        <f t="shared" ref="P270:P333" si="1436">G270*K271</f>
        <v>0</v>
      </c>
      <c r="Q270" s="233">
        <f t="shared" ref="Q270:Q333" si="1437">G270*L271</f>
        <v>0</v>
      </c>
      <c r="R270" s="233">
        <f>'임금대장 양식'!R270</f>
        <v>0</v>
      </c>
      <c r="S270" s="233">
        <f>'임금대장 양식'!S270</f>
        <v>0</v>
      </c>
      <c r="T270" s="233">
        <f>'임금대장 양식'!T270</f>
        <v>0</v>
      </c>
      <c r="U270" s="233">
        <f>'임금대장 양식'!U270</f>
        <v>0</v>
      </c>
    </row>
    <row r="271" spans="2:21" ht="21.5" customHeight="1">
      <c r="B271" s="234"/>
      <c r="C271" s="234">
        <v>0</v>
      </c>
      <c r="D271" s="210">
        <f>'임금대장 양식'!D271</f>
        <v>0</v>
      </c>
      <c r="E271" s="235"/>
      <c r="F271" s="236"/>
      <c r="G271" s="237"/>
      <c r="H271" s="238"/>
      <c r="I271" s="238"/>
      <c r="J271" s="239">
        <f t="shared" ref="J271:J334" si="1438">ROUND(J270*(365/12/7)*IF($S$4="5인 이상",1.5,1),0)</f>
        <v>0</v>
      </c>
      <c r="K271" s="239">
        <f t="shared" ref="K271:K334" si="1439">ROUND(K270*IF($S$4="5인 이상",1.5,1),0)</f>
        <v>0</v>
      </c>
      <c r="L271" s="239">
        <f t="shared" ref="L271:L334" si="1440">ROUND(L270*IF($S$4="5인 이상",1.5,1)+L270*IF($S$4="5인 이상",0.5,1),0)</f>
        <v>0</v>
      </c>
      <c r="M271" s="240"/>
      <c r="N271" s="236"/>
      <c r="O271" s="241"/>
      <c r="P271" s="241"/>
      <c r="Q271" s="241"/>
      <c r="R271" s="241"/>
      <c r="S271" s="241"/>
      <c r="T271" s="241"/>
      <c r="U271" s="241"/>
    </row>
    <row r="272" spans="2:21" ht="21.5" customHeight="1">
      <c r="B272" s="225">
        <f>'임금대장 양식'!B272</f>
        <v>0</v>
      </c>
      <c r="C272" s="225" cm="1">
        <f t="array" ref="C272:C273">'임금대장 양식'!C272:C273</f>
        <v>0</v>
      </c>
      <c r="D272" s="225">
        <f>'임금대장 양식'!D272</f>
        <v>0</v>
      </c>
      <c r="E272" s="226">
        <f>'임금대장 양식'!E272</f>
        <v>0</v>
      </c>
      <c r="F272" s="227">
        <f>'임금대장 양식'!F272</f>
        <v>0</v>
      </c>
      <c r="G272" s="228">
        <f t="shared" ref="G272" si="1441">IFERROR((F272)/M272,0)</f>
        <v>0</v>
      </c>
      <c r="H272" s="229">
        <f t="shared" ref="H272:H335" si="1442">IF(F272=0,0,ROUND((8*5)*(365/12/7),0))</f>
        <v>0</v>
      </c>
      <c r="I272" s="229">
        <f t="shared" ref="I272:I335" si="1443">IF(F272=0,0,ROUND(8*365/12/7,0))</f>
        <v>0</v>
      </c>
      <c r="J272" s="230">
        <f>'임금대장 양식'!J272</f>
        <v>0</v>
      </c>
      <c r="K272" s="231">
        <f>'임금대장 양식'!K272</f>
        <v>0</v>
      </c>
      <c r="L272" s="231">
        <f>'임금대장 양식'!L272</f>
        <v>0</v>
      </c>
      <c r="M272" s="232">
        <f t="shared" ref="M272:M335" si="1444">H272+I272+J273+K273+L273</f>
        <v>0</v>
      </c>
      <c r="N272" s="227">
        <f t="shared" ref="N272:N335" si="1445">IF(G272=0,0,G272*(H272+I272)-(R272+S272+T272+U272))</f>
        <v>0</v>
      </c>
      <c r="O272" s="233">
        <f t="shared" ref="O272:O335" si="1446">G272*J273</f>
        <v>0</v>
      </c>
      <c r="P272" s="233">
        <f t="shared" ref="P272:P335" si="1447">G272*K273</f>
        <v>0</v>
      </c>
      <c r="Q272" s="233">
        <f t="shared" ref="Q272:Q335" si="1448">G272*L273</f>
        <v>0</v>
      </c>
      <c r="R272" s="233">
        <f>'임금대장 양식'!R272</f>
        <v>0</v>
      </c>
      <c r="S272" s="233">
        <f>'임금대장 양식'!S272</f>
        <v>0</v>
      </c>
      <c r="T272" s="233">
        <f>'임금대장 양식'!T272</f>
        <v>0</v>
      </c>
      <c r="U272" s="233">
        <f>'임금대장 양식'!U272</f>
        <v>0</v>
      </c>
    </row>
    <row r="273" spans="2:21" ht="21.5" customHeight="1">
      <c r="B273" s="234"/>
      <c r="C273" s="234">
        <v>0</v>
      </c>
      <c r="D273" s="210">
        <f>'임금대장 양식'!D273</f>
        <v>0</v>
      </c>
      <c r="E273" s="235"/>
      <c r="F273" s="236"/>
      <c r="G273" s="237"/>
      <c r="H273" s="238"/>
      <c r="I273" s="238"/>
      <c r="J273" s="239">
        <f t="shared" ref="J273:J336" si="1449">ROUND(J272*(365/12/7)*IF($S$4="5인 이상",1.5,1),0)</f>
        <v>0</v>
      </c>
      <c r="K273" s="239">
        <f t="shared" ref="K273:K336" si="1450">ROUND(K272*IF($S$4="5인 이상",1.5,1),0)</f>
        <v>0</v>
      </c>
      <c r="L273" s="239">
        <f t="shared" ref="L273:L336" si="1451">ROUND(L272*IF($S$4="5인 이상",1.5,1)+L272*IF($S$4="5인 이상",0.5,1),0)</f>
        <v>0</v>
      </c>
      <c r="M273" s="240"/>
      <c r="N273" s="236"/>
      <c r="O273" s="241"/>
      <c r="P273" s="241"/>
      <c r="Q273" s="241"/>
      <c r="R273" s="241"/>
      <c r="S273" s="241"/>
      <c r="T273" s="241"/>
      <c r="U273" s="241"/>
    </row>
    <row r="274" spans="2:21" ht="21.5" customHeight="1">
      <c r="B274" s="225">
        <f>'임금대장 양식'!B274</f>
        <v>0</v>
      </c>
      <c r="C274" s="225" cm="1">
        <f t="array" ref="C274:C275">'임금대장 양식'!C274:C275</f>
        <v>0</v>
      </c>
      <c r="D274" s="225">
        <f>'임금대장 양식'!D274</f>
        <v>0</v>
      </c>
      <c r="E274" s="226">
        <f>'임금대장 양식'!E274</f>
        <v>0</v>
      </c>
      <c r="F274" s="227">
        <f>'임금대장 양식'!F274</f>
        <v>0</v>
      </c>
      <c r="G274" s="228">
        <f t="shared" ref="G274" si="1452">IFERROR((F274)/M274,0)</f>
        <v>0</v>
      </c>
      <c r="H274" s="229">
        <f t="shared" ref="H274:H337" si="1453">IF(F274=0,0,ROUND((8*5)*(365/12/7),0))</f>
        <v>0</v>
      </c>
      <c r="I274" s="229">
        <f t="shared" ref="I274:I337" si="1454">IF(F274=0,0,ROUND(8*365/12/7,0))</f>
        <v>0</v>
      </c>
      <c r="J274" s="230">
        <f>'임금대장 양식'!J274</f>
        <v>0</v>
      </c>
      <c r="K274" s="231">
        <f>'임금대장 양식'!K274</f>
        <v>0</v>
      </c>
      <c r="L274" s="231">
        <f>'임금대장 양식'!L274</f>
        <v>0</v>
      </c>
      <c r="M274" s="232">
        <f t="shared" ref="M274:M337" si="1455">H274+I274+J275+K275+L275</f>
        <v>0</v>
      </c>
      <c r="N274" s="227">
        <f t="shared" ref="N274:N337" si="1456">IF(G274=0,0,G274*(H274+I274)-(R274+S274+T274+U274))</f>
        <v>0</v>
      </c>
      <c r="O274" s="233">
        <f t="shared" ref="O274:O337" si="1457">G274*J275</f>
        <v>0</v>
      </c>
      <c r="P274" s="233">
        <f t="shared" ref="P274:P337" si="1458">G274*K275</f>
        <v>0</v>
      </c>
      <c r="Q274" s="233">
        <f t="shared" ref="Q274:Q337" si="1459">G274*L275</f>
        <v>0</v>
      </c>
      <c r="R274" s="233">
        <f>'임금대장 양식'!R274</f>
        <v>0</v>
      </c>
      <c r="S274" s="233">
        <f>'임금대장 양식'!S274</f>
        <v>0</v>
      </c>
      <c r="T274" s="233">
        <f>'임금대장 양식'!T274</f>
        <v>0</v>
      </c>
      <c r="U274" s="233">
        <f>'임금대장 양식'!U274</f>
        <v>0</v>
      </c>
    </row>
    <row r="275" spans="2:21" ht="21.5" customHeight="1">
      <c r="B275" s="234"/>
      <c r="C275" s="234">
        <v>0</v>
      </c>
      <c r="D275" s="210">
        <f>'임금대장 양식'!D275</f>
        <v>0</v>
      </c>
      <c r="E275" s="235"/>
      <c r="F275" s="236"/>
      <c r="G275" s="237"/>
      <c r="H275" s="238"/>
      <c r="I275" s="238"/>
      <c r="J275" s="239">
        <f t="shared" ref="J275:J338" si="1460">ROUND(J274*(365/12/7)*IF($S$4="5인 이상",1.5,1),0)</f>
        <v>0</v>
      </c>
      <c r="K275" s="239">
        <f t="shared" ref="K275:K338" si="1461">ROUND(K274*IF($S$4="5인 이상",1.5,1),0)</f>
        <v>0</v>
      </c>
      <c r="L275" s="239">
        <f t="shared" ref="L275:L338" si="1462">ROUND(L274*IF($S$4="5인 이상",1.5,1)+L274*IF($S$4="5인 이상",0.5,1),0)</f>
        <v>0</v>
      </c>
      <c r="M275" s="240"/>
      <c r="N275" s="236"/>
      <c r="O275" s="241"/>
      <c r="P275" s="241"/>
      <c r="Q275" s="241"/>
      <c r="R275" s="241"/>
      <c r="S275" s="241"/>
      <c r="T275" s="241"/>
      <c r="U275" s="241"/>
    </row>
    <row r="276" spans="2:21" ht="21.5" customHeight="1">
      <c r="B276" s="225">
        <f>'임금대장 양식'!B276</f>
        <v>0</v>
      </c>
      <c r="C276" s="225" cm="1">
        <f t="array" ref="C276:C277">'임금대장 양식'!C276:C277</f>
        <v>0</v>
      </c>
      <c r="D276" s="225">
        <f>'임금대장 양식'!D276</f>
        <v>0</v>
      </c>
      <c r="E276" s="226">
        <f>'임금대장 양식'!E276</f>
        <v>0</v>
      </c>
      <c r="F276" s="227">
        <f>'임금대장 양식'!F276</f>
        <v>0</v>
      </c>
      <c r="G276" s="228">
        <f t="shared" ref="G276" si="1463">IFERROR((F276)/M276,0)</f>
        <v>0</v>
      </c>
      <c r="H276" s="229">
        <f t="shared" ref="H276:H339" si="1464">IF(F276=0,0,ROUND((8*5)*(365/12/7),0))</f>
        <v>0</v>
      </c>
      <c r="I276" s="229">
        <f t="shared" ref="I276:I339" si="1465">IF(F276=0,0,ROUND(8*365/12/7,0))</f>
        <v>0</v>
      </c>
      <c r="J276" s="230">
        <f>'임금대장 양식'!J276</f>
        <v>0</v>
      </c>
      <c r="K276" s="231">
        <f>'임금대장 양식'!K276</f>
        <v>0</v>
      </c>
      <c r="L276" s="231">
        <f>'임금대장 양식'!L276</f>
        <v>0</v>
      </c>
      <c r="M276" s="232">
        <f t="shared" ref="M276:M339" si="1466">H276+I276+J277+K277+L277</f>
        <v>0</v>
      </c>
      <c r="N276" s="227">
        <f t="shared" ref="N276:N339" si="1467">IF(G276=0,0,G276*(H276+I276)-(R276+S276+T276+U276))</f>
        <v>0</v>
      </c>
      <c r="O276" s="233">
        <f t="shared" ref="O276:O339" si="1468">G276*J277</f>
        <v>0</v>
      </c>
      <c r="P276" s="233">
        <f t="shared" ref="P276:P339" si="1469">G276*K277</f>
        <v>0</v>
      </c>
      <c r="Q276" s="233">
        <f t="shared" ref="Q276:Q339" si="1470">G276*L277</f>
        <v>0</v>
      </c>
      <c r="R276" s="233">
        <f>'임금대장 양식'!R276</f>
        <v>0</v>
      </c>
      <c r="S276" s="233">
        <f>'임금대장 양식'!S276</f>
        <v>0</v>
      </c>
      <c r="T276" s="233">
        <f>'임금대장 양식'!T276</f>
        <v>0</v>
      </c>
      <c r="U276" s="233">
        <f>'임금대장 양식'!U276</f>
        <v>0</v>
      </c>
    </row>
    <row r="277" spans="2:21" ht="21.5" customHeight="1">
      <c r="B277" s="234"/>
      <c r="C277" s="234">
        <v>0</v>
      </c>
      <c r="D277" s="210">
        <f>'임금대장 양식'!D277</f>
        <v>0</v>
      </c>
      <c r="E277" s="235"/>
      <c r="F277" s="236"/>
      <c r="G277" s="237"/>
      <c r="H277" s="238"/>
      <c r="I277" s="238"/>
      <c r="J277" s="239">
        <f t="shared" ref="J277:J340" si="1471">ROUND(J276*(365/12/7)*IF($S$4="5인 이상",1.5,1),0)</f>
        <v>0</v>
      </c>
      <c r="K277" s="239">
        <f t="shared" ref="K277:K340" si="1472">ROUND(K276*IF($S$4="5인 이상",1.5,1),0)</f>
        <v>0</v>
      </c>
      <c r="L277" s="239">
        <f t="shared" ref="L277:L340" si="1473">ROUND(L276*IF($S$4="5인 이상",1.5,1)+L276*IF($S$4="5인 이상",0.5,1),0)</f>
        <v>0</v>
      </c>
      <c r="M277" s="240"/>
      <c r="N277" s="236"/>
      <c r="O277" s="241"/>
      <c r="P277" s="241"/>
      <c r="Q277" s="241"/>
      <c r="R277" s="241"/>
      <c r="S277" s="241"/>
      <c r="T277" s="241"/>
      <c r="U277" s="241"/>
    </row>
    <row r="278" spans="2:21" ht="21.5" customHeight="1">
      <c r="B278" s="225">
        <f>'임금대장 양식'!B278</f>
        <v>0</v>
      </c>
      <c r="C278" s="225" cm="1">
        <f t="array" ref="C278:C279">'임금대장 양식'!C278:C279</f>
        <v>0</v>
      </c>
      <c r="D278" s="225">
        <f>'임금대장 양식'!D278</f>
        <v>0</v>
      </c>
      <c r="E278" s="226">
        <f>'임금대장 양식'!E278</f>
        <v>0</v>
      </c>
      <c r="F278" s="227">
        <f>'임금대장 양식'!F278</f>
        <v>0</v>
      </c>
      <c r="G278" s="228">
        <f t="shared" ref="G278" si="1474">IFERROR((F278)/M278,0)</f>
        <v>0</v>
      </c>
      <c r="H278" s="229">
        <f t="shared" ref="H278:H341" si="1475">IF(F278=0,0,ROUND((8*5)*(365/12/7),0))</f>
        <v>0</v>
      </c>
      <c r="I278" s="229">
        <f t="shared" ref="I278:I341" si="1476">IF(F278=0,0,ROUND(8*365/12/7,0))</f>
        <v>0</v>
      </c>
      <c r="J278" s="230">
        <f>'임금대장 양식'!J278</f>
        <v>0</v>
      </c>
      <c r="K278" s="231">
        <f>'임금대장 양식'!K278</f>
        <v>0</v>
      </c>
      <c r="L278" s="231">
        <f>'임금대장 양식'!L278</f>
        <v>0</v>
      </c>
      <c r="M278" s="232">
        <f t="shared" ref="M278:M341" si="1477">H278+I278+J279+K279+L279</f>
        <v>0</v>
      </c>
      <c r="N278" s="227">
        <f t="shared" ref="N278:N341" si="1478">IF(G278=0,0,G278*(H278+I278)-(R278+S278+T278+U278))</f>
        <v>0</v>
      </c>
      <c r="O278" s="233">
        <f t="shared" ref="O278:O341" si="1479">G278*J279</f>
        <v>0</v>
      </c>
      <c r="P278" s="233">
        <f t="shared" ref="P278:P341" si="1480">G278*K279</f>
        <v>0</v>
      </c>
      <c r="Q278" s="233">
        <f t="shared" ref="Q278:Q341" si="1481">G278*L279</f>
        <v>0</v>
      </c>
      <c r="R278" s="233">
        <f>'임금대장 양식'!R278</f>
        <v>0</v>
      </c>
      <c r="S278" s="233">
        <f>'임금대장 양식'!S278</f>
        <v>0</v>
      </c>
      <c r="T278" s="233">
        <f>'임금대장 양식'!T278</f>
        <v>0</v>
      </c>
      <c r="U278" s="233">
        <f>'임금대장 양식'!U278</f>
        <v>0</v>
      </c>
    </row>
    <row r="279" spans="2:21" ht="21.5" customHeight="1">
      <c r="B279" s="234"/>
      <c r="C279" s="234">
        <v>0</v>
      </c>
      <c r="D279" s="210">
        <f>'임금대장 양식'!D279</f>
        <v>0</v>
      </c>
      <c r="E279" s="235"/>
      <c r="F279" s="236"/>
      <c r="G279" s="237"/>
      <c r="H279" s="238"/>
      <c r="I279" s="238"/>
      <c r="J279" s="239">
        <f t="shared" ref="J279:J342" si="1482">ROUND(J278*(365/12/7)*IF($S$4="5인 이상",1.5,1),0)</f>
        <v>0</v>
      </c>
      <c r="K279" s="239">
        <f t="shared" ref="K279:K342" si="1483">ROUND(K278*IF($S$4="5인 이상",1.5,1),0)</f>
        <v>0</v>
      </c>
      <c r="L279" s="239">
        <f t="shared" ref="L279:L342" si="1484">ROUND(L278*IF($S$4="5인 이상",1.5,1)+L278*IF($S$4="5인 이상",0.5,1),0)</f>
        <v>0</v>
      </c>
      <c r="M279" s="240"/>
      <c r="N279" s="236"/>
      <c r="O279" s="241"/>
      <c r="P279" s="241"/>
      <c r="Q279" s="241"/>
      <c r="R279" s="241"/>
      <c r="S279" s="241"/>
      <c r="T279" s="241"/>
      <c r="U279" s="241"/>
    </row>
    <row r="280" spans="2:21" ht="21.5" customHeight="1">
      <c r="B280" s="225">
        <f>'임금대장 양식'!B280</f>
        <v>0</v>
      </c>
      <c r="C280" s="225" cm="1">
        <f t="array" ref="C280:C281">'임금대장 양식'!C280:C281</f>
        <v>0</v>
      </c>
      <c r="D280" s="225">
        <f>'임금대장 양식'!D280</f>
        <v>0</v>
      </c>
      <c r="E280" s="226">
        <f>'임금대장 양식'!E280</f>
        <v>0</v>
      </c>
      <c r="F280" s="227">
        <f>'임금대장 양식'!F280</f>
        <v>0</v>
      </c>
      <c r="G280" s="228">
        <f t="shared" ref="G280" si="1485">IFERROR((F280)/M280,0)</f>
        <v>0</v>
      </c>
      <c r="H280" s="229">
        <f t="shared" ref="H280:H343" si="1486">IF(F280=0,0,ROUND((8*5)*(365/12/7),0))</f>
        <v>0</v>
      </c>
      <c r="I280" s="229">
        <f t="shared" ref="I280:I343" si="1487">IF(F280=0,0,ROUND(8*365/12/7,0))</f>
        <v>0</v>
      </c>
      <c r="J280" s="230">
        <f>'임금대장 양식'!J280</f>
        <v>0</v>
      </c>
      <c r="K280" s="231">
        <f>'임금대장 양식'!K280</f>
        <v>0</v>
      </c>
      <c r="L280" s="231">
        <f>'임금대장 양식'!L280</f>
        <v>0</v>
      </c>
      <c r="M280" s="232">
        <f t="shared" ref="M280:M343" si="1488">H280+I280+J281+K281+L281</f>
        <v>0</v>
      </c>
      <c r="N280" s="227">
        <f t="shared" ref="N280:N343" si="1489">IF(G280=0,0,G280*(H280+I280)-(R280+S280+T280+U280))</f>
        <v>0</v>
      </c>
      <c r="O280" s="233">
        <f t="shared" ref="O280:O343" si="1490">G280*J281</f>
        <v>0</v>
      </c>
      <c r="P280" s="233">
        <f t="shared" ref="P280:P343" si="1491">G280*K281</f>
        <v>0</v>
      </c>
      <c r="Q280" s="233">
        <f t="shared" ref="Q280:Q343" si="1492">G280*L281</f>
        <v>0</v>
      </c>
      <c r="R280" s="233">
        <f>'임금대장 양식'!R280</f>
        <v>0</v>
      </c>
      <c r="S280" s="233">
        <f>'임금대장 양식'!S280</f>
        <v>0</v>
      </c>
      <c r="T280" s="233">
        <f>'임금대장 양식'!T280</f>
        <v>0</v>
      </c>
      <c r="U280" s="233">
        <f>'임금대장 양식'!U280</f>
        <v>0</v>
      </c>
    </row>
    <row r="281" spans="2:21" ht="21.5" customHeight="1">
      <c r="B281" s="234"/>
      <c r="C281" s="234">
        <v>0</v>
      </c>
      <c r="D281" s="210">
        <f>'임금대장 양식'!D281</f>
        <v>0</v>
      </c>
      <c r="E281" s="235"/>
      <c r="F281" s="236"/>
      <c r="G281" s="237"/>
      <c r="H281" s="238"/>
      <c r="I281" s="238"/>
      <c r="J281" s="239">
        <f t="shared" ref="J281:J344" si="1493">ROUND(J280*(365/12/7)*IF($S$4="5인 이상",1.5,1),0)</f>
        <v>0</v>
      </c>
      <c r="K281" s="239">
        <f t="shared" ref="K281:K344" si="1494">ROUND(K280*IF($S$4="5인 이상",1.5,1),0)</f>
        <v>0</v>
      </c>
      <c r="L281" s="239">
        <f t="shared" ref="L281:L344" si="1495">ROUND(L280*IF($S$4="5인 이상",1.5,1)+L280*IF($S$4="5인 이상",0.5,1),0)</f>
        <v>0</v>
      </c>
      <c r="M281" s="240"/>
      <c r="N281" s="236"/>
      <c r="O281" s="241"/>
      <c r="P281" s="241"/>
      <c r="Q281" s="241"/>
      <c r="R281" s="241"/>
      <c r="S281" s="241"/>
      <c r="T281" s="241"/>
      <c r="U281" s="241"/>
    </row>
    <row r="282" spans="2:21" ht="21.5" customHeight="1">
      <c r="B282" s="225">
        <f>'임금대장 양식'!B282</f>
        <v>0</v>
      </c>
      <c r="C282" s="225" cm="1">
        <f t="array" ref="C282:C283">'임금대장 양식'!C282:C283</f>
        <v>0</v>
      </c>
      <c r="D282" s="225">
        <f>'임금대장 양식'!D282</f>
        <v>0</v>
      </c>
      <c r="E282" s="226">
        <f>'임금대장 양식'!E282</f>
        <v>0</v>
      </c>
      <c r="F282" s="227">
        <f>'임금대장 양식'!F282</f>
        <v>0</v>
      </c>
      <c r="G282" s="228">
        <f t="shared" ref="G282" si="1496">IFERROR((F282)/M282,0)</f>
        <v>0</v>
      </c>
      <c r="H282" s="229">
        <f t="shared" ref="H282:H345" si="1497">IF(F282=0,0,ROUND((8*5)*(365/12/7),0))</f>
        <v>0</v>
      </c>
      <c r="I282" s="229">
        <f t="shared" ref="I282:I345" si="1498">IF(F282=0,0,ROUND(8*365/12/7,0))</f>
        <v>0</v>
      </c>
      <c r="J282" s="230">
        <f>'임금대장 양식'!J282</f>
        <v>0</v>
      </c>
      <c r="K282" s="231">
        <f>'임금대장 양식'!K282</f>
        <v>0</v>
      </c>
      <c r="L282" s="231">
        <f>'임금대장 양식'!L282</f>
        <v>0</v>
      </c>
      <c r="M282" s="232">
        <f t="shared" ref="M282:M345" si="1499">H282+I282+J283+K283+L283</f>
        <v>0</v>
      </c>
      <c r="N282" s="227">
        <f t="shared" ref="N282:N345" si="1500">IF(G282=0,0,G282*(H282+I282)-(R282+S282+T282+U282))</f>
        <v>0</v>
      </c>
      <c r="O282" s="233">
        <f t="shared" ref="O282:O345" si="1501">G282*J283</f>
        <v>0</v>
      </c>
      <c r="P282" s="233">
        <f t="shared" ref="P282:P345" si="1502">G282*K283</f>
        <v>0</v>
      </c>
      <c r="Q282" s="233">
        <f t="shared" ref="Q282:Q345" si="1503">G282*L283</f>
        <v>0</v>
      </c>
      <c r="R282" s="233">
        <f>'임금대장 양식'!R282</f>
        <v>0</v>
      </c>
      <c r="S282" s="233">
        <f>'임금대장 양식'!S282</f>
        <v>0</v>
      </c>
      <c r="T282" s="233">
        <f>'임금대장 양식'!T282</f>
        <v>0</v>
      </c>
      <c r="U282" s="233">
        <f>'임금대장 양식'!U282</f>
        <v>0</v>
      </c>
    </row>
    <row r="283" spans="2:21" ht="21.5" customHeight="1">
      <c r="B283" s="234"/>
      <c r="C283" s="234">
        <v>0</v>
      </c>
      <c r="D283" s="210">
        <f>'임금대장 양식'!D283</f>
        <v>0</v>
      </c>
      <c r="E283" s="235"/>
      <c r="F283" s="236"/>
      <c r="G283" s="237"/>
      <c r="H283" s="238"/>
      <c r="I283" s="238"/>
      <c r="J283" s="239">
        <f t="shared" ref="J283:J346" si="1504">ROUND(J282*(365/12/7)*IF($S$4="5인 이상",1.5,1),0)</f>
        <v>0</v>
      </c>
      <c r="K283" s="239">
        <f t="shared" ref="K283:K346" si="1505">ROUND(K282*IF($S$4="5인 이상",1.5,1),0)</f>
        <v>0</v>
      </c>
      <c r="L283" s="239">
        <f t="shared" ref="L283:L346" si="1506">ROUND(L282*IF($S$4="5인 이상",1.5,1)+L282*IF($S$4="5인 이상",0.5,1),0)</f>
        <v>0</v>
      </c>
      <c r="M283" s="240"/>
      <c r="N283" s="236"/>
      <c r="O283" s="241"/>
      <c r="P283" s="241"/>
      <c r="Q283" s="241"/>
      <c r="R283" s="241"/>
      <c r="S283" s="241"/>
      <c r="T283" s="241"/>
      <c r="U283" s="241"/>
    </row>
    <row r="284" spans="2:21" ht="21.5" customHeight="1">
      <c r="B284" s="225">
        <f>'임금대장 양식'!B284</f>
        <v>0</v>
      </c>
      <c r="C284" s="225" cm="1">
        <f t="array" ref="C284:C285">'임금대장 양식'!C284:C285</f>
        <v>0</v>
      </c>
      <c r="D284" s="225">
        <f>'임금대장 양식'!D284</f>
        <v>0</v>
      </c>
      <c r="E284" s="226">
        <f>'임금대장 양식'!E284</f>
        <v>0</v>
      </c>
      <c r="F284" s="227">
        <f>'임금대장 양식'!F284</f>
        <v>0</v>
      </c>
      <c r="G284" s="228">
        <f t="shared" ref="G284" si="1507">IFERROR((F284)/M284,0)</f>
        <v>0</v>
      </c>
      <c r="H284" s="229">
        <f t="shared" ref="H284:H347" si="1508">IF(F284=0,0,ROUND((8*5)*(365/12/7),0))</f>
        <v>0</v>
      </c>
      <c r="I284" s="229">
        <f t="shared" ref="I284:I347" si="1509">IF(F284=0,0,ROUND(8*365/12/7,0))</f>
        <v>0</v>
      </c>
      <c r="J284" s="230">
        <f>'임금대장 양식'!J284</f>
        <v>0</v>
      </c>
      <c r="K284" s="231">
        <f>'임금대장 양식'!K284</f>
        <v>0</v>
      </c>
      <c r="L284" s="231">
        <f>'임금대장 양식'!L284</f>
        <v>0</v>
      </c>
      <c r="M284" s="232">
        <f t="shared" ref="M284:M347" si="1510">H284+I284+J285+K285+L285</f>
        <v>0</v>
      </c>
      <c r="N284" s="227">
        <f t="shared" ref="N284:N347" si="1511">IF(G284=0,0,G284*(H284+I284)-(R284+S284+T284+U284))</f>
        <v>0</v>
      </c>
      <c r="O284" s="233">
        <f t="shared" ref="O284:O347" si="1512">G284*J285</f>
        <v>0</v>
      </c>
      <c r="P284" s="233">
        <f t="shared" ref="P284:P347" si="1513">G284*K285</f>
        <v>0</v>
      </c>
      <c r="Q284" s="233">
        <f t="shared" ref="Q284:Q347" si="1514">G284*L285</f>
        <v>0</v>
      </c>
      <c r="R284" s="233">
        <f>'임금대장 양식'!R284</f>
        <v>0</v>
      </c>
      <c r="S284" s="233">
        <f>'임금대장 양식'!S284</f>
        <v>0</v>
      </c>
      <c r="T284" s="233">
        <f>'임금대장 양식'!T284</f>
        <v>0</v>
      </c>
      <c r="U284" s="233">
        <f>'임금대장 양식'!U284</f>
        <v>0</v>
      </c>
    </row>
    <row r="285" spans="2:21" ht="21.5" customHeight="1">
      <c r="B285" s="234"/>
      <c r="C285" s="234">
        <v>0</v>
      </c>
      <c r="D285" s="210">
        <f>'임금대장 양식'!D285</f>
        <v>0</v>
      </c>
      <c r="E285" s="235"/>
      <c r="F285" s="236"/>
      <c r="G285" s="237"/>
      <c r="H285" s="238"/>
      <c r="I285" s="238"/>
      <c r="J285" s="239">
        <f t="shared" ref="J285:J348" si="1515">ROUND(J284*(365/12/7)*IF($S$4="5인 이상",1.5,1),0)</f>
        <v>0</v>
      </c>
      <c r="K285" s="239">
        <f t="shared" ref="K285:K348" si="1516">ROUND(K284*IF($S$4="5인 이상",1.5,1),0)</f>
        <v>0</v>
      </c>
      <c r="L285" s="239">
        <f t="shared" ref="L285:L348" si="1517">ROUND(L284*IF($S$4="5인 이상",1.5,1)+L284*IF($S$4="5인 이상",0.5,1),0)</f>
        <v>0</v>
      </c>
      <c r="M285" s="240"/>
      <c r="N285" s="236"/>
      <c r="O285" s="241"/>
      <c r="P285" s="241"/>
      <c r="Q285" s="241"/>
      <c r="R285" s="241"/>
      <c r="S285" s="241"/>
      <c r="T285" s="241"/>
      <c r="U285" s="241"/>
    </row>
    <row r="286" spans="2:21" ht="21.5" customHeight="1">
      <c r="B286" s="225">
        <f>'임금대장 양식'!B286</f>
        <v>0</v>
      </c>
      <c r="C286" s="225" cm="1">
        <f t="array" ref="C286:C287">'임금대장 양식'!C286:C287</f>
        <v>0</v>
      </c>
      <c r="D286" s="225">
        <f>'임금대장 양식'!D286</f>
        <v>0</v>
      </c>
      <c r="E286" s="226">
        <f>'임금대장 양식'!E286</f>
        <v>0</v>
      </c>
      <c r="F286" s="227">
        <f>'임금대장 양식'!F286</f>
        <v>0</v>
      </c>
      <c r="G286" s="228">
        <f t="shared" ref="G286" si="1518">IFERROR((F286)/M286,0)</f>
        <v>0</v>
      </c>
      <c r="H286" s="229">
        <f t="shared" ref="H286:H349" si="1519">IF(F286=0,0,ROUND((8*5)*(365/12/7),0))</f>
        <v>0</v>
      </c>
      <c r="I286" s="229">
        <f t="shared" ref="I286:I349" si="1520">IF(F286=0,0,ROUND(8*365/12/7,0))</f>
        <v>0</v>
      </c>
      <c r="J286" s="230">
        <f>'임금대장 양식'!J286</f>
        <v>0</v>
      </c>
      <c r="K286" s="231">
        <f>'임금대장 양식'!K286</f>
        <v>0</v>
      </c>
      <c r="L286" s="231">
        <f>'임금대장 양식'!L286</f>
        <v>0</v>
      </c>
      <c r="M286" s="232">
        <f t="shared" ref="M286:M349" si="1521">H286+I286+J287+K287+L287</f>
        <v>0</v>
      </c>
      <c r="N286" s="227">
        <f t="shared" ref="N286:N349" si="1522">IF(G286=0,0,G286*(H286+I286)-(R286+S286+T286+U286))</f>
        <v>0</v>
      </c>
      <c r="O286" s="233">
        <f t="shared" ref="O286:O349" si="1523">G286*J287</f>
        <v>0</v>
      </c>
      <c r="P286" s="233">
        <f t="shared" ref="P286:P349" si="1524">G286*K287</f>
        <v>0</v>
      </c>
      <c r="Q286" s="233">
        <f t="shared" ref="Q286:Q349" si="1525">G286*L287</f>
        <v>0</v>
      </c>
      <c r="R286" s="233">
        <f>'임금대장 양식'!R286</f>
        <v>0</v>
      </c>
      <c r="S286" s="233">
        <f>'임금대장 양식'!S286</f>
        <v>0</v>
      </c>
      <c r="T286" s="233">
        <f>'임금대장 양식'!T286</f>
        <v>0</v>
      </c>
      <c r="U286" s="233">
        <f>'임금대장 양식'!U286</f>
        <v>0</v>
      </c>
    </row>
    <row r="287" spans="2:21" ht="21.5" customHeight="1">
      <c r="B287" s="234"/>
      <c r="C287" s="234">
        <v>0</v>
      </c>
      <c r="D287" s="210">
        <f>'임금대장 양식'!D287</f>
        <v>0</v>
      </c>
      <c r="E287" s="235"/>
      <c r="F287" s="236"/>
      <c r="G287" s="237"/>
      <c r="H287" s="238"/>
      <c r="I287" s="238"/>
      <c r="J287" s="239">
        <f t="shared" ref="J287:J350" si="1526">ROUND(J286*(365/12/7)*IF($S$4="5인 이상",1.5,1),0)</f>
        <v>0</v>
      </c>
      <c r="K287" s="239">
        <f t="shared" ref="K287:K350" si="1527">ROUND(K286*IF($S$4="5인 이상",1.5,1),0)</f>
        <v>0</v>
      </c>
      <c r="L287" s="239">
        <f t="shared" ref="L287:L350" si="1528">ROUND(L286*IF($S$4="5인 이상",1.5,1)+L286*IF($S$4="5인 이상",0.5,1),0)</f>
        <v>0</v>
      </c>
      <c r="M287" s="240"/>
      <c r="N287" s="236"/>
      <c r="O287" s="241"/>
      <c r="P287" s="241"/>
      <c r="Q287" s="241"/>
      <c r="R287" s="241"/>
      <c r="S287" s="241"/>
      <c r="T287" s="241"/>
      <c r="U287" s="241"/>
    </row>
    <row r="288" spans="2:21" ht="21.5" customHeight="1">
      <c r="B288" s="225">
        <f>'임금대장 양식'!B288</f>
        <v>0</v>
      </c>
      <c r="C288" s="225" cm="1">
        <f t="array" ref="C288:C289">'임금대장 양식'!C288:C289</f>
        <v>0</v>
      </c>
      <c r="D288" s="225">
        <f>'임금대장 양식'!D288</f>
        <v>0</v>
      </c>
      <c r="E288" s="226">
        <f>'임금대장 양식'!E288</f>
        <v>0</v>
      </c>
      <c r="F288" s="227">
        <f>'임금대장 양식'!F288</f>
        <v>0</v>
      </c>
      <c r="G288" s="228">
        <f t="shared" ref="G288" si="1529">IFERROR((F288)/M288,0)</f>
        <v>0</v>
      </c>
      <c r="H288" s="229">
        <f t="shared" ref="H288:H351" si="1530">IF(F288=0,0,ROUND((8*5)*(365/12/7),0))</f>
        <v>0</v>
      </c>
      <c r="I288" s="229">
        <f t="shared" ref="I288:I351" si="1531">IF(F288=0,0,ROUND(8*365/12/7,0))</f>
        <v>0</v>
      </c>
      <c r="J288" s="230">
        <f>'임금대장 양식'!J288</f>
        <v>0</v>
      </c>
      <c r="K288" s="231">
        <f>'임금대장 양식'!K288</f>
        <v>0</v>
      </c>
      <c r="L288" s="231">
        <f>'임금대장 양식'!L288</f>
        <v>0</v>
      </c>
      <c r="M288" s="232">
        <f t="shared" ref="M288:M351" si="1532">H288+I288+J289+K289+L289</f>
        <v>0</v>
      </c>
      <c r="N288" s="227">
        <f t="shared" ref="N288:N351" si="1533">IF(G288=0,0,G288*(H288+I288)-(R288+S288+T288+U288))</f>
        <v>0</v>
      </c>
      <c r="O288" s="233">
        <f t="shared" ref="O288:O351" si="1534">G288*J289</f>
        <v>0</v>
      </c>
      <c r="P288" s="233">
        <f t="shared" ref="P288:P351" si="1535">G288*K289</f>
        <v>0</v>
      </c>
      <c r="Q288" s="233">
        <f t="shared" ref="Q288:Q351" si="1536">G288*L289</f>
        <v>0</v>
      </c>
      <c r="R288" s="233">
        <f>'임금대장 양식'!R288</f>
        <v>0</v>
      </c>
      <c r="S288" s="233">
        <f>'임금대장 양식'!S288</f>
        <v>0</v>
      </c>
      <c r="T288" s="233">
        <f>'임금대장 양식'!T288</f>
        <v>0</v>
      </c>
      <c r="U288" s="233">
        <f>'임금대장 양식'!U288</f>
        <v>0</v>
      </c>
    </row>
    <row r="289" spans="2:21" ht="21.5" customHeight="1">
      <c r="B289" s="234"/>
      <c r="C289" s="234">
        <v>0</v>
      </c>
      <c r="D289" s="210">
        <f>'임금대장 양식'!D289</f>
        <v>0</v>
      </c>
      <c r="E289" s="235"/>
      <c r="F289" s="236"/>
      <c r="G289" s="237"/>
      <c r="H289" s="238"/>
      <c r="I289" s="238"/>
      <c r="J289" s="239">
        <f t="shared" ref="J289:J352" si="1537">ROUND(J288*(365/12/7)*IF($S$4="5인 이상",1.5,1),0)</f>
        <v>0</v>
      </c>
      <c r="K289" s="239">
        <f t="shared" ref="K289:K352" si="1538">ROUND(K288*IF($S$4="5인 이상",1.5,1),0)</f>
        <v>0</v>
      </c>
      <c r="L289" s="239">
        <f t="shared" ref="L289:L352" si="1539">ROUND(L288*IF($S$4="5인 이상",1.5,1)+L288*IF($S$4="5인 이상",0.5,1),0)</f>
        <v>0</v>
      </c>
      <c r="M289" s="240"/>
      <c r="N289" s="236"/>
      <c r="O289" s="241"/>
      <c r="P289" s="241"/>
      <c r="Q289" s="241"/>
      <c r="R289" s="241"/>
      <c r="S289" s="241"/>
      <c r="T289" s="241"/>
      <c r="U289" s="241"/>
    </row>
    <row r="290" spans="2:21" ht="21.5" customHeight="1">
      <c r="B290" s="225">
        <f>'임금대장 양식'!B290</f>
        <v>0</v>
      </c>
      <c r="C290" s="225" cm="1">
        <f t="array" ref="C290:C291">'임금대장 양식'!C290:C291</f>
        <v>0</v>
      </c>
      <c r="D290" s="225">
        <f>'임금대장 양식'!D290</f>
        <v>0</v>
      </c>
      <c r="E290" s="226">
        <f>'임금대장 양식'!E290</f>
        <v>0</v>
      </c>
      <c r="F290" s="227">
        <f>'임금대장 양식'!F290</f>
        <v>0</v>
      </c>
      <c r="G290" s="228">
        <f t="shared" ref="G290" si="1540">IFERROR((F290)/M290,0)</f>
        <v>0</v>
      </c>
      <c r="H290" s="229">
        <f t="shared" ref="H290:H353" si="1541">IF(F290=0,0,ROUND((8*5)*(365/12/7),0))</f>
        <v>0</v>
      </c>
      <c r="I290" s="229">
        <f t="shared" ref="I290:I353" si="1542">IF(F290=0,0,ROUND(8*365/12/7,0))</f>
        <v>0</v>
      </c>
      <c r="J290" s="230">
        <f>'임금대장 양식'!J290</f>
        <v>0</v>
      </c>
      <c r="K290" s="231">
        <f>'임금대장 양식'!K290</f>
        <v>0</v>
      </c>
      <c r="L290" s="231">
        <f>'임금대장 양식'!L290</f>
        <v>0</v>
      </c>
      <c r="M290" s="232">
        <f t="shared" ref="M290:M353" si="1543">H290+I290+J291+K291+L291</f>
        <v>0</v>
      </c>
      <c r="N290" s="227">
        <f t="shared" ref="N290:N353" si="1544">IF(G290=0,0,G290*(H290+I290)-(R290+S290+T290+U290))</f>
        <v>0</v>
      </c>
      <c r="O290" s="233">
        <f t="shared" ref="O290:O353" si="1545">G290*J291</f>
        <v>0</v>
      </c>
      <c r="P290" s="233">
        <f t="shared" ref="P290:P353" si="1546">G290*K291</f>
        <v>0</v>
      </c>
      <c r="Q290" s="233">
        <f t="shared" ref="Q290:Q353" si="1547">G290*L291</f>
        <v>0</v>
      </c>
      <c r="R290" s="233">
        <f>'임금대장 양식'!R290</f>
        <v>0</v>
      </c>
      <c r="S290" s="233">
        <f>'임금대장 양식'!S290</f>
        <v>0</v>
      </c>
      <c r="T290" s="233">
        <f>'임금대장 양식'!T290</f>
        <v>0</v>
      </c>
      <c r="U290" s="233">
        <f>'임금대장 양식'!U290</f>
        <v>0</v>
      </c>
    </row>
    <row r="291" spans="2:21" ht="21.5" customHeight="1">
      <c r="B291" s="234"/>
      <c r="C291" s="234">
        <v>0</v>
      </c>
      <c r="D291" s="210">
        <f>'임금대장 양식'!D291</f>
        <v>0</v>
      </c>
      <c r="E291" s="235"/>
      <c r="F291" s="236"/>
      <c r="G291" s="237"/>
      <c r="H291" s="238"/>
      <c r="I291" s="238"/>
      <c r="J291" s="239">
        <f t="shared" ref="J291:J354" si="1548">ROUND(J290*(365/12/7)*IF($S$4="5인 이상",1.5,1),0)</f>
        <v>0</v>
      </c>
      <c r="K291" s="239">
        <f t="shared" ref="K291:K354" si="1549">ROUND(K290*IF($S$4="5인 이상",1.5,1),0)</f>
        <v>0</v>
      </c>
      <c r="L291" s="239">
        <f t="shared" ref="L291:L354" si="1550">ROUND(L290*IF($S$4="5인 이상",1.5,1)+L290*IF($S$4="5인 이상",0.5,1),0)</f>
        <v>0</v>
      </c>
      <c r="M291" s="240"/>
      <c r="N291" s="236"/>
      <c r="O291" s="241"/>
      <c r="P291" s="241"/>
      <c r="Q291" s="241"/>
      <c r="R291" s="241"/>
      <c r="S291" s="241"/>
      <c r="T291" s="241"/>
      <c r="U291" s="241"/>
    </row>
    <row r="292" spans="2:21" ht="21.5" customHeight="1">
      <c r="B292" s="225">
        <f>'임금대장 양식'!B292</f>
        <v>0</v>
      </c>
      <c r="C292" s="225" cm="1">
        <f t="array" ref="C292:C293">'임금대장 양식'!C292:C293</f>
        <v>0</v>
      </c>
      <c r="D292" s="225">
        <f>'임금대장 양식'!D292</f>
        <v>0</v>
      </c>
      <c r="E292" s="226">
        <f>'임금대장 양식'!E292</f>
        <v>0</v>
      </c>
      <c r="F292" s="227">
        <f>'임금대장 양식'!F292</f>
        <v>0</v>
      </c>
      <c r="G292" s="228">
        <f t="shared" ref="G292" si="1551">IFERROR((F292)/M292,0)</f>
        <v>0</v>
      </c>
      <c r="H292" s="229">
        <f t="shared" ref="H292:H355" si="1552">IF(F292=0,0,ROUND((8*5)*(365/12/7),0))</f>
        <v>0</v>
      </c>
      <c r="I292" s="229">
        <f t="shared" ref="I292:I355" si="1553">IF(F292=0,0,ROUND(8*365/12/7,0))</f>
        <v>0</v>
      </c>
      <c r="J292" s="230">
        <f>'임금대장 양식'!J292</f>
        <v>0</v>
      </c>
      <c r="K292" s="231">
        <f>'임금대장 양식'!K292</f>
        <v>0</v>
      </c>
      <c r="L292" s="231">
        <f>'임금대장 양식'!L292</f>
        <v>0</v>
      </c>
      <c r="M292" s="232">
        <f t="shared" ref="M292:M355" si="1554">H292+I292+J293+K293+L293</f>
        <v>0</v>
      </c>
      <c r="N292" s="227">
        <f t="shared" ref="N292:N355" si="1555">IF(G292=0,0,G292*(H292+I292)-(R292+S292+T292+U292))</f>
        <v>0</v>
      </c>
      <c r="O292" s="233">
        <f t="shared" ref="O292:O355" si="1556">G292*J293</f>
        <v>0</v>
      </c>
      <c r="P292" s="233">
        <f t="shared" ref="P292:P355" si="1557">G292*K293</f>
        <v>0</v>
      </c>
      <c r="Q292" s="233">
        <f t="shared" ref="Q292:Q355" si="1558">G292*L293</f>
        <v>0</v>
      </c>
      <c r="R292" s="233">
        <f>'임금대장 양식'!R292</f>
        <v>0</v>
      </c>
      <c r="S292" s="233">
        <f>'임금대장 양식'!S292</f>
        <v>0</v>
      </c>
      <c r="T292" s="233">
        <f>'임금대장 양식'!T292</f>
        <v>0</v>
      </c>
      <c r="U292" s="233">
        <f>'임금대장 양식'!U292</f>
        <v>0</v>
      </c>
    </row>
    <row r="293" spans="2:21" ht="21.5" customHeight="1">
      <c r="B293" s="234"/>
      <c r="C293" s="234">
        <v>0</v>
      </c>
      <c r="D293" s="210">
        <f>'임금대장 양식'!D293</f>
        <v>0</v>
      </c>
      <c r="E293" s="235"/>
      <c r="F293" s="236"/>
      <c r="G293" s="237"/>
      <c r="H293" s="238"/>
      <c r="I293" s="238"/>
      <c r="J293" s="239">
        <f t="shared" ref="J293:J356" si="1559">ROUND(J292*(365/12/7)*IF($S$4="5인 이상",1.5,1),0)</f>
        <v>0</v>
      </c>
      <c r="K293" s="239">
        <f t="shared" ref="K293:K356" si="1560">ROUND(K292*IF($S$4="5인 이상",1.5,1),0)</f>
        <v>0</v>
      </c>
      <c r="L293" s="239">
        <f t="shared" ref="L293:L356" si="1561">ROUND(L292*IF($S$4="5인 이상",1.5,1)+L292*IF($S$4="5인 이상",0.5,1),0)</f>
        <v>0</v>
      </c>
      <c r="M293" s="240"/>
      <c r="N293" s="236"/>
      <c r="O293" s="241"/>
      <c r="P293" s="241"/>
      <c r="Q293" s="241"/>
      <c r="R293" s="241"/>
      <c r="S293" s="241"/>
      <c r="T293" s="241"/>
      <c r="U293" s="241"/>
    </row>
    <row r="294" spans="2:21" ht="21.5" customHeight="1">
      <c r="B294" s="225">
        <f>'임금대장 양식'!B294</f>
        <v>0</v>
      </c>
      <c r="C294" s="225" cm="1">
        <f t="array" ref="C294:C295">'임금대장 양식'!C294:C295</f>
        <v>0</v>
      </c>
      <c r="D294" s="225">
        <f>'임금대장 양식'!D294</f>
        <v>0</v>
      </c>
      <c r="E294" s="226">
        <f>'임금대장 양식'!E294</f>
        <v>0</v>
      </c>
      <c r="F294" s="227">
        <f>'임금대장 양식'!F294</f>
        <v>0</v>
      </c>
      <c r="G294" s="228">
        <f t="shared" ref="G294" si="1562">IFERROR((F294)/M294,0)</f>
        <v>0</v>
      </c>
      <c r="H294" s="229">
        <f t="shared" ref="H294:H357" si="1563">IF(F294=0,0,ROUND((8*5)*(365/12/7),0))</f>
        <v>0</v>
      </c>
      <c r="I294" s="229">
        <f t="shared" ref="I294:I357" si="1564">IF(F294=0,0,ROUND(8*365/12/7,0))</f>
        <v>0</v>
      </c>
      <c r="J294" s="230">
        <f>'임금대장 양식'!J294</f>
        <v>0</v>
      </c>
      <c r="K294" s="231">
        <f>'임금대장 양식'!K294</f>
        <v>0</v>
      </c>
      <c r="L294" s="231">
        <f>'임금대장 양식'!L294</f>
        <v>0</v>
      </c>
      <c r="M294" s="232">
        <f t="shared" ref="M294:M357" si="1565">H294+I294+J295+K295+L295</f>
        <v>0</v>
      </c>
      <c r="N294" s="227">
        <f t="shared" ref="N294:N357" si="1566">IF(G294=0,0,G294*(H294+I294)-(R294+S294+T294+U294))</f>
        <v>0</v>
      </c>
      <c r="O294" s="233">
        <f t="shared" ref="O294:O357" si="1567">G294*J295</f>
        <v>0</v>
      </c>
      <c r="P294" s="233">
        <f t="shared" ref="P294:P357" si="1568">G294*K295</f>
        <v>0</v>
      </c>
      <c r="Q294" s="233">
        <f t="shared" ref="Q294:Q357" si="1569">G294*L295</f>
        <v>0</v>
      </c>
      <c r="R294" s="233">
        <f>'임금대장 양식'!R294</f>
        <v>0</v>
      </c>
      <c r="S294" s="233">
        <f>'임금대장 양식'!S294</f>
        <v>0</v>
      </c>
      <c r="T294" s="233">
        <f>'임금대장 양식'!T294</f>
        <v>0</v>
      </c>
      <c r="U294" s="233">
        <f>'임금대장 양식'!U294</f>
        <v>0</v>
      </c>
    </row>
    <row r="295" spans="2:21" ht="21.5" customHeight="1">
      <c r="B295" s="234"/>
      <c r="C295" s="234">
        <v>0</v>
      </c>
      <c r="D295" s="210">
        <f>'임금대장 양식'!D295</f>
        <v>0</v>
      </c>
      <c r="E295" s="235"/>
      <c r="F295" s="236"/>
      <c r="G295" s="237"/>
      <c r="H295" s="238"/>
      <c r="I295" s="238"/>
      <c r="J295" s="239">
        <f t="shared" ref="J295:J358" si="1570">ROUND(J294*(365/12/7)*IF($S$4="5인 이상",1.5,1),0)</f>
        <v>0</v>
      </c>
      <c r="K295" s="239">
        <f t="shared" ref="K295:K358" si="1571">ROUND(K294*IF($S$4="5인 이상",1.5,1),0)</f>
        <v>0</v>
      </c>
      <c r="L295" s="239">
        <f t="shared" ref="L295:L358" si="1572">ROUND(L294*IF($S$4="5인 이상",1.5,1)+L294*IF($S$4="5인 이상",0.5,1),0)</f>
        <v>0</v>
      </c>
      <c r="M295" s="240"/>
      <c r="N295" s="236"/>
      <c r="O295" s="241"/>
      <c r="P295" s="241"/>
      <c r="Q295" s="241"/>
      <c r="R295" s="241"/>
      <c r="S295" s="241"/>
      <c r="T295" s="241"/>
      <c r="U295" s="241"/>
    </row>
    <row r="296" spans="2:21" ht="21.5" customHeight="1">
      <c r="B296" s="225">
        <f>'임금대장 양식'!B296</f>
        <v>0</v>
      </c>
      <c r="C296" s="225" cm="1">
        <f t="array" ref="C296:C297">'임금대장 양식'!C296:C297</f>
        <v>0</v>
      </c>
      <c r="D296" s="225">
        <f>'임금대장 양식'!D296</f>
        <v>0</v>
      </c>
      <c r="E296" s="226">
        <f>'임금대장 양식'!E296</f>
        <v>0</v>
      </c>
      <c r="F296" s="227">
        <f>'임금대장 양식'!F296</f>
        <v>0</v>
      </c>
      <c r="G296" s="228">
        <f t="shared" ref="G296" si="1573">IFERROR((F296)/M296,0)</f>
        <v>0</v>
      </c>
      <c r="H296" s="229">
        <f t="shared" ref="H296:H359" si="1574">IF(F296=0,0,ROUND((8*5)*(365/12/7),0))</f>
        <v>0</v>
      </c>
      <c r="I296" s="229">
        <f t="shared" ref="I296:I359" si="1575">IF(F296=0,0,ROUND(8*365/12/7,0))</f>
        <v>0</v>
      </c>
      <c r="J296" s="230">
        <f>'임금대장 양식'!J296</f>
        <v>0</v>
      </c>
      <c r="K296" s="231">
        <f>'임금대장 양식'!K296</f>
        <v>0</v>
      </c>
      <c r="L296" s="231">
        <f>'임금대장 양식'!L296</f>
        <v>0</v>
      </c>
      <c r="M296" s="232">
        <f t="shared" ref="M296:M359" si="1576">H296+I296+J297+K297+L297</f>
        <v>0</v>
      </c>
      <c r="N296" s="227">
        <f t="shared" ref="N296:N359" si="1577">IF(G296=0,0,G296*(H296+I296)-(R296+S296+T296+U296))</f>
        <v>0</v>
      </c>
      <c r="O296" s="233">
        <f t="shared" ref="O296:O359" si="1578">G296*J297</f>
        <v>0</v>
      </c>
      <c r="P296" s="233">
        <f t="shared" ref="P296:P359" si="1579">G296*K297</f>
        <v>0</v>
      </c>
      <c r="Q296" s="233">
        <f t="shared" ref="Q296:Q359" si="1580">G296*L297</f>
        <v>0</v>
      </c>
      <c r="R296" s="233">
        <f>'임금대장 양식'!R296</f>
        <v>0</v>
      </c>
      <c r="S296" s="233">
        <f>'임금대장 양식'!S296</f>
        <v>0</v>
      </c>
      <c r="T296" s="233">
        <f>'임금대장 양식'!T296</f>
        <v>0</v>
      </c>
      <c r="U296" s="233">
        <f>'임금대장 양식'!U296</f>
        <v>0</v>
      </c>
    </row>
    <row r="297" spans="2:21" ht="21.5" customHeight="1">
      <c r="B297" s="234"/>
      <c r="C297" s="234">
        <v>0</v>
      </c>
      <c r="D297" s="210">
        <f>'임금대장 양식'!D297</f>
        <v>0</v>
      </c>
      <c r="E297" s="235"/>
      <c r="F297" s="236"/>
      <c r="G297" s="237"/>
      <c r="H297" s="238"/>
      <c r="I297" s="238"/>
      <c r="J297" s="239">
        <f t="shared" ref="J297:J360" si="1581">ROUND(J296*(365/12/7)*IF($S$4="5인 이상",1.5,1),0)</f>
        <v>0</v>
      </c>
      <c r="K297" s="239">
        <f t="shared" ref="K297:K360" si="1582">ROUND(K296*IF($S$4="5인 이상",1.5,1),0)</f>
        <v>0</v>
      </c>
      <c r="L297" s="239">
        <f t="shared" ref="L297:L360" si="1583">ROUND(L296*IF($S$4="5인 이상",1.5,1)+L296*IF($S$4="5인 이상",0.5,1),0)</f>
        <v>0</v>
      </c>
      <c r="M297" s="240"/>
      <c r="N297" s="236"/>
      <c r="O297" s="241"/>
      <c r="P297" s="241"/>
      <c r="Q297" s="241"/>
      <c r="R297" s="241"/>
      <c r="S297" s="241"/>
      <c r="T297" s="241"/>
      <c r="U297" s="241"/>
    </row>
    <row r="298" spans="2:21" ht="21.5" customHeight="1">
      <c r="B298" s="225">
        <f>'임금대장 양식'!B298</f>
        <v>0</v>
      </c>
      <c r="C298" s="225" cm="1">
        <f t="array" ref="C298:C299">'임금대장 양식'!C298:C299</f>
        <v>0</v>
      </c>
      <c r="D298" s="225">
        <f>'임금대장 양식'!D298</f>
        <v>0</v>
      </c>
      <c r="E298" s="226">
        <f>'임금대장 양식'!E298</f>
        <v>0</v>
      </c>
      <c r="F298" s="227">
        <f>'임금대장 양식'!F298</f>
        <v>0</v>
      </c>
      <c r="G298" s="228">
        <f t="shared" ref="G298" si="1584">IFERROR((F298)/M298,0)</f>
        <v>0</v>
      </c>
      <c r="H298" s="229">
        <f t="shared" ref="H298:H361" si="1585">IF(F298=0,0,ROUND((8*5)*(365/12/7),0))</f>
        <v>0</v>
      </c>
      <c r="I298" s="229">
        <f t="shared" ref="I298:I361" si="1586">IF(F298=0,0,ROUND(8*365/12/7,0))</f>
        <v>0</v>
      </c>
      <c r="J298" s="230">
        <f>'임금대장 양식'!J298</f>
        <v>0</v>
      </c>
      <c r="K298" s="231">
        <f>'임금대장 양식'!K298</f>
        <v>0</v>
      </c>
      <c r="L298" s="231">
        <f>'임금대장 양식'!L298</f>
        <v>0</v>
      </c>
      <c r="M298" s="232">
        <f t="shared" ref="M298:M361" si="1587">H298+I298+J299+K299+L299</f>
        <v>0</v>
      </c>
      <c r="N298" s="227">
        <f t="shared" ref="N298:N361" si="1588">IF(G298=0,0,G298*(H298+I298)-(R298+S298+T298+U298))</f>
        <v>0</v>
      </c>
      <c r="O298" s="233">
        <f t="shared" ref="O298:O361" si="1589">G298*J299</f>
        <v>0</v>
      </c>
      <c r="P298" s="233">
        <f t="shared" ref="P298:P361" si="1590">G298*K299</f>
        <v>0</v>
      </c>
      <c r="Q298" s="233">
        <f t="shared" ref="Q298:Q361" si="1591">G298*L299</f>
        <v>0</v>
      </c>
      <c r="R298" s="233">
        <f>'임금대장 양식'!R298</f>
        <v>0</v>
      </c>
      <c r="S298" s="233">
        <f>'임금대장 양식'!S298</f>
        <v>0</v>
      </c>
      <c r="T298" s="233">
        <f>'임금대장 양식'!T298</f>
        <v>0</v>
      </c>
      <c r="U298" s="233">
        <f>'임금대장 양식'!U298</f>
        <v>0</v>
      </c>
    </row>
    <row r="299" spans="2:21" ht="21.5" customHeight="1">
      <c r="B299" s="234"/>
      <c r="C299" s="234">
        <v>0</v>
      </c>
      <c r="D299" s="210">
        <f>'임금대장 양식'!D299</f>
        <v>0</v>
      </c>
      <c r="E299" s="235"/>
      <c r="F299" s="236"/>
      <c r="G299" s="237"/>
      <c r="H299" s="238"/>
      <c r="I299" s="238"/>
      <c r="J299" s="239">
        <f t="shared" ref="J299:J362" si="1592">ROUND(J298*(365/12/7)*IF($S$4="5인 이상",1.5,1),0)</f>
        <v>0</v>
      </c>
      <c r="K299" s="239">
        <f t="shared" ref="K299:K362" si="1593">ROUND(K298*IF($S$4="5인 이상",1.5,1),0)</f>
        <v>0</v>
      </c>
      <c r="L299" s="239">
        <f t="shared" ref="L299:L362" si="1594">ROUND(L298*IF($S$4="5인 이상",1.5,1)+L298*IF($S$4="5인 이상",0.5,1),0)</f>
        <v>0</v>
      </c>
      <c r="M299" s="240"/>
      <c r="N299" s="236"/>
      <c r="O299" s="241"/>
      <c r="P299" s="241"/>
      <c r="Q299" s="241"/>
      <c r="R299" s="241"/>
      <c r="S299" s="241"/>
      <c r="T299" s="241"/>
      <c r="U299" s="241"/>
    </row>
    <row r="300" spans="2:21" ht="21.5" customHeight="1">
      <c r="B300" s="225">
        <f>'임금대장 양식'!B300</f>
        <v>0</v>
      </c>
      <c r="C300" s="225" cm="1">
        <f t="array" ref="C300:C301">'임금대장 양식'!C300:C301</f>
        <v>0</v>
      </c>
      <c r="D300" s="225">
        <f>'임금대장 양식'!D300</f>
        <v>0</v>
      </c>
      <c r="E300" s="226">
        <f>'임금대장 양식'!E300</f>
        <v>0</v>
      </c>
      <c r="F300" s="227">
        <f>'임금대장 양식'!F300</f>
        <v>0</v>
      </c>
      <c r="G300" s="228">
        <f t="shared" ref="G300" si="1595">IFERROR((F300)/M300,0)</f>
        <v>0</v>
      </c>
      <c r="H300" s="229">
        <f t="shared" ref="H300:H363" si="1596">IF(F300=0,0,ROUND((8*5)*(365/12/7),0))</f>
        <v>0</v>
      </c>
      <c r="I300" s="229">
        <f t="shared" ref="I300:I363" si="1597">IF(F300=0,0,ROUND(8*365/12/7,0))</f>
        <v>0</v>
      </c>
      <c r="J300" s="230">
        <f>'임금대장 양식'!J300</f>
        <v>0</v>
      </c>
      <c r="K300" s="231">
        <f>'임금대장 양식'!K300</f>
        <v>0</v>
      </c>
      <c r="L300" s="231">
        <f>'임금대장 양식'!L300</f>
        <v>0</v>
      </c>
      <c r="M300" s="232">
        <f t="shared" ref="M300:M363" si="1598">H300+I300+J301+K301+L301</f>
        <v>0</v>
      </c>
      <c r="N300" s="227">
        <f t="shared" ref="N300:N363" si="1599">IF(G300=0,0,G300*(H300+I300)-(R300+S300+T300+U300))</f>
        <v>0</v>
      </c>
      <c r="O300" s="233">
        <f t="shared" ref="O300:O363" si="1600">G300*J301</f>
        <v>0</v>
      </c>
      <c r="P300" s="233">
        <f t="shared" ref="P300:P363" si="1601">G300*K301</f>
        <v>0</v>
      </c>
      <c r="Q300" s="233">
        <f t="shared" ref="Q300:Q363" si="1602">G300*L301</f>
        <v>0</v>
      </c>
      <c r="R300" s="233">
        <f>'임금대장 양식'!R300</f>
        <v>0</v>
      </c>
      <c r="S300" s="233">
        <f>'임금대장 양식'!S300</f>
        <v>0</v>
      </c>
      <c r="T300" s="233">
        <f>'임금대장 양식'!T300</f>
        <v>0</v>
      </c>
      <c r="U300" s="233">
        <f>'임금대장 양식'!U300</f>
        <v>0</v>
      </c>
    </row>
    <row r="301" spans="2:21" ht="21.5" customHeight="1">
      <c r="B301" s="234"/>
      <c r="C301" s="234">
        <v>0</v>
      </c>
      <c r="D301" s="210">
        <f>'임금대장 양식'!D301</f>
        <v>0</v>
      </c>
      <c r="E301" s="235"/>
      <c r="F301" s="236"/>
      <c r="G301" s="237"/>
      <c r="H301" s="238"/>
      <c r="I301" s="238"/>
      <c r="J301" s="239">
        <f t="shared" ref="J301:J364" si="1603">ROUND(J300*(365/12/7)*IF($S$4="5인 이상",1.5,1),0)</f>
        <v>0</v>
      </c>
      <c r="K301" s="239">
        <f t="shared" ref="K301:K364" si="1604">ROUND(K300*IF($S$4="5인 이상",1.5,1),0)</f>
        <v>0</v>
      </c>
      <c r="L301" s="239">
        <f t="shared" ref="L301:L364" si="1605">ROUND(L300*IF($S$4="5인 이상",1.5,1)+L300*IF($S$4="5인 이상",0.5,1),0)</f>
        <v>0</v>
      </c>
      <c r="M301" s="240"/>
      <c r="N301" s="236"/>
      <c r="O301" s="241"/>
      <c r="P301" s="241"/>
      <c r="Q301" s="241"/>
      <c r="R301" s="241"/>
      <c r="S301" s="241"/>
      <c r="T301" s="241"/>
      <c r="U301" s="241"/>
    </row>
    <row r="302" spans="2:21" ht="21.5" customHeight="1">
      <c r="B302" s="225">
        <f>'임금대장 양식'!B302</f>
        <v>0</v>
      </c>
      <c r="C302" s="225" cm="1">
        <f t="array" ref="C302:C303">'임금대장 양식'!C302:C303</f>
        <v>0</v>
      </c>
      <c r="D302" s="225">
        <f>'임금대장 양식'!D302</f>
        <v>0</v>
      </c>
      <c r="E302" s="226">
        <f>'임금대장 양식'!E302</f>
        <v>0</v>
      </c>
      <c r="F302" s="227">
        <f>'임금대장 양식'!F302</f>
        <v>0</v>
      </c>
      <c r="G302" s="228">
        <f t="shared" ref="G302" si="1606">IFERROR((F302)/M302,0)</f>
        <v>0</v>
      </c>
      <c r="H302" s="229">
        <f t="shared" ref="H302:H365" si="1607">IF(F302=0,0,ROUND((8*5)*(365/12/7),0))</f>
        <v>0</v>
      </c>
      <c r="I302" s="229">
        <f t="shared" ref="I302:I365" si="1608">IF(F302=0,0,ROUND(8*365/12/7,0))</f>
        <v>0</v>
      </c>
      <c r="J302" s="230">
        <f>'임금대장 양식'!J302</f>
        <v>0</v>
      </c>
      <c r="K302" s="231">
        <f>'임금대장 양식'!K302</f>
        <v>0</v>
      </c>
      <c r="L302" s="231">
        <f>'임금대장 양식'!L302</f>
        <v>0</v>
      </c>
      <c r="M302" s="232">
        <f t="shared" ref="M302:M365" si="1609">H302+I302+J303+K303+L303</f>
        <v>0</v>
      </c>
      <c r="N302" s="227">
        <f t="shared" ref="N302:N365" si="1610">IF(G302=0,0,G302*(H302+I302)-(R302+S302+T302+U302))</f>
        <v>0</v>
      </c>
      <c r="O302" s="233">
        <f t="shared" ref="O302:O365" si="1611">G302*J303</f>
        <v>0</v>
      </c>
      <c r="P302" s="233">
        <f t="shared" ref="P302:P365" si="1612">G302*K303</f>
        <v>0</v>
      </c>
      <c r="Q302" s="233">
        <f t="shared" ref="Q302:Q365" si="1613">G302*L303</f>
        <v>0</v>
      </c>
      <c r="R302" s="233">
        <f>'임금대장 양식'!R302</f>
        <v>0</v>
      </c>
      <c r="S302" s="233">
        <f>'임금대장 양식'!S302</f>
        <v>0</v>
      </c>
      <c r="T302" s="233">
        <f>'임금대장 양식'!T302</f>
        <v>0</v>
      </c>
      <c r="U302" s="233">
        <f>'임금대장 양식'!U302</f>
        <v>0</v>
      </c>
    </row>
    <row r="303" spans="2:21" ht="21.5" customHeight="1">
      <c r="B303" s="234"/>
      <c r="C303" s="234">
        <v>0</v>
      </c>
      <c r="D303" s="210">
        <f>'임금대장 양식'!D303</f>
        <v>0</v>
      </c>
      <c r="E303" s="235"/>
      <c r="F303" s="236"/>
      <c r="G303" s="237"/>
      <c r="H303" s="238"/>
      <c r="I303" s="238"/>
      <c r="J303" s="239">
        <f t="shared" ref="J303:J366" si="1614">ROUND(J302*(365/12/7)*IF($S$4="5인 이상",1.5,1),0)</f>
        <v>0</v>
      </c>
      <c r="K303" s="239">
        <f t="shared" ref="K303:K366" si="1615">ROUND(K302*IF($S$4="5인 이상",1.5,1),0)</f>
        <v>0</v>
      </c>
      <c r="L303" s="239">
        <f t="shared" ref="L303:L366" si="1616">ROUND(L302*IF($S$4="5인 이상",1.5,1)+L302*IF($S$4="5인 이상",0.5,1),0)</f>
        <v>0</v>
      </c>
      <c r="M303" s="240"/>
      <c r="N303" s="236"/>
      <c r="O303" s="241"/>
      <c r="P303" s="241"/>
      <c r="Q303" s="241"/>
      <c r="R303" s="241"/>
      <c r="S303" s="241"/>
      <c r="T303" s="241"/>
      <c r="U303" s="241"/>
    </row>
    <row r="304" spans="2:21" ht="21.5" customHeight="1">
      <c r="B304" s="225">
        <f>'임금대장 양식'!B304</f>
        <v>0</v>
      </c>
      <c r="C304" s="225" cm="1">
        <f t="array" ref="C304:C305">'임금대장 양식'!C304:C305</f>
        <v>0</v>
      </c>
      <c r="D304" s="225">
        <f>'임금대장 양식'!D304</f>
        <v>0</v>
      </c>
      <c r="E304" s="226">
        <f>'임금대장 양식'!E304</f>
        <v>0</v>
      </c>
      <c r="F304" s="227">
        <f>'임금대장 양식'!F304</f>
        <v>0</v>
      </c>
      <c r="G304" s="228">
        <f t="shared" ref="G304" si="1617">IFERROR((F304)/M304,0)</f>
        <v>0</v>
      </c>
      <c r="H304" s="229">
        <f t="shared" ref="H304:H367" si="1618">IF(F304=0,0,ROUND((8*5)*(365/12/7),0))</f>
        <v>0</v>
      </c>
      <c r="I304" s="229">
        <f t="shared" ref="I304:I367" si="1619">IF(F304=0,0,ROUND(8*365/12/7,0))</f>
        <v>0</v>
      </c>
      <c r="J304" s="230">
        <f>'임금대장 양식'!J304</f>
        <v>0</v>
      </c>
      <c r="K304" s="231">
        <f>'임금대장 양식'!K304</f>
        <v>0</v>
      </c>
      <c r="L304" s="231">
        <f>'임금대장 양식'!L304</f>
        <v>0</v>
      </c>
      <c r="M304" s="232">
        <f t="shared" ref="M304:M367" si="1620">H304+I304+J305+K305+L305</f>
        <v>0</v>
      </c>
      <c r="N304" s="227">
        <f t="shared" ref="N304:N367" si="1621">IF(G304=0,0,G304*(H304+I304)-(R304+S304+T304+U304))</f>
        <v>0</v>
      </c>
      <c r="O304" s="233">
        <f t="shared" ref="O304:O367" si="1622">G304*J305</f>
        <v>0</v>
      </c>
      <c r="P304" s="233">
        <f t="shared" ref="P304:P367" si="1623">G304*K305</f>
        <v>0</v>
      </c>
      <c r="Q304" s="233">
        <f t="shared" ref="Q304:Q367" si="1624">G304*L305</f>
        <v>0</v>
      </c>
      <c r="R304" s="233">
        <f>'임금대장 양식'!R304</f>
        <v>0</v>
      </c>
      <c r="S304" s="233">
        <f>'임금대장 양식'!S304</f>
        <v>0</v>
      </c>
      <c r="T304" s="233">
        <f>'임금대장 양식'!T304</f>
        <v>0</v>
      </c>
      <c r="U304" s="233">
        <f>'임금대장 양식'!U304</f>
        <v>0</v>
      </c>
    </row>
    <row r="305" spans="2:21" ht="21.5" customHeight="1">
      <c r="B305" s="234"/>
      <c r="C305" s="234">
        <v>0</v>
      </c>
      <c r="D305" s="210">
        <f>'임금대장 양식'!D305</f>
        <v>0</v>
      </c>
      <c r="E305" s="235"/>
      <c r="F305" s="236"/>
      <c r="G305" s="237"/>
      <c r="H305" s="238"/>
      <c r="I305" s="238"/>
      <c r="J305" s="239">
        <f t="shared" ref="J305:J368" si="1625">ROUND(J304*(365/12/7)*IF($S$4="5인 이상",1.5,1),0)</f>
        <v>0</v>
      </c>
      <c r="K305" s="239">
        <f t="shared" ref="K305:K368" si="1626">ROUND(K304*IF($S$4="5인 이상",1.5,1),0)</f>
        <v>0</v>
      </c>
      <c r="L305" s="239">
        <f t="shared" ref="L305:L368" si="1627">ROUND(L304*IF($S$4="5인 이상",1.5,1)+L304*IF($S$4="5인 이상",0.5,1),0)</f>
        <v>0</v>
      </c>
      <c r="M305" s="240"/>
      <c r="N305" s="236"/>
      <c r="O305" s="241"/>
      <c r="P305" s="241"/>
      <c r="Q305" s="241"/>
      <c r="R305" s="241"/>
      <c r="S305" s="241"/>
      <c r="T305" s="241"/>
      <c r="U305" s="241"/>
    </row>
    <row r="306" spans="2:21" ht="21.5" customHeight="1">
      <c r="B306" s="225">
        <f>'임금대장 양식'!B306</f>
        <v>0</v>
      </c>
      <c r="C306" s="225" cm="1">
        <f t="array" ref="C306:C307">'임금대장 양식'!C306:C307</f>
        <v>0</v>
      </c>
      <c r="D306" s="225">
        <f>'임금대장 양식'!D306</f>
        <v>0</v>
      </c>
      <c r="E306" s="226">
        <f>'임금대장 양식'!E306</f>
        <v>0</v>
      </c>
      <c r="F306" s="227">
        <f>'임금대장 양식'!F306</f>
        <v>0</v>
      </c>
      <c r="G306" s="228">
        <f t="shared" ref="G306" si="1628">IFERROR((F306)/M306,0)</f>
        <v>0</v>
      </c>
      <c r="H306" s="229">
        <f t="shared" ref="H306:H369" si="1629">IF(F306=0,0,ROUND((8*5)*(365/12/7),0))</f>
        <v>0</v>
      </c>
      <c r="I306" s="229">
        <f t="shared" ref="I306:I369" si="1630">IF(F306=0,0,ROUND(8*365/12/7,0))</f>
        <v>0</v>
      </c>
      <c r="J306" s="230">
        <f>'임금대장 양식'!J306</f>
        <v>0</v>
      </c>
      <c r="K306" s="231">
        <f>'임금대장 양식'!K306</f>
        <v>0</v>
      </c>
      <c r="L306" s="231">
        <f>'임금대장 양식'!L306</f>
        <v>0</v>
      </c>
      <c r="M306" s="232">
        <f t="shared" ref="M306:M369" si="1631">H306+I306+J307+K307+L307</f>
        <v>0</v>
      </c>
      <c r="N306" s="227">
        <f t="shared" ref="N306:N369" si="1632">IF(G306=0,0,G306*(H306+I306)-(R306+S306+T306+U306))</f>
        <v>0</v>
      </c>
      <c r="O306" s="233">
        <f t="shared" ref="O306:O369" si="1633">G306*J307</f>
        <v>0</v>
      </c>
      <c r="P306" s="233">
        <f t="shared" ref="P306:P369" si="1634">G306*K307</f>
        <v>0</v>
      </c>
      <c r="Q306" s="233">
        <f t="shared" ref="Q306:Q369" si="1635">G306*L307</f>
        <v>0</v>
      </c>
      <c r="R306" s="233">
        <f>'임금대장 양식'!R306</f>
        <v>0</v>
      </c>
      <c r="S306" s="233">
        <f>'임금대장 양식'!S306</f>
        <v>0</v>
      </c>
      <c r="T306" s="233">
        <f>'임금대장 양식'!T306</f>
        <v>0</v>
      </c>
      <c r="U306" s="233">
        <f>'임금대장 양식'!U306</f>
        <v>0</v>
      </c>
    </row>
    <row r="307" spans="2:21" ht="21.5" customHeight="1">
      <c r="B307" s="234"/>
      <c r="C307" s="234">
        <v>0</v>
      </c>
      <c r="D307" s="210">
        <f>'임금대장 양식'!D307</f>
        <v>0</v>
      </c>
      <c r="E307" s="235"/>
      <c r="F307" s="236"/>
      <c r="G307" s="237"/>
      <c r="H307" s="238"/>
      <c r="I307" s="238"/>
      <c r="J307" s="239">
        <f t="shared" ref="J307:J370" si="1636">ROUND(J306*(365/12/7)*IF($S$4="5인 이상",1.5,1),0)</f>
        <v>0</v>
      </c>
      <c r="K307" s="239">
        <f t="shared" ref="K307:K370" si="1637">ROUND(K306*IF($S$4="5인 이상",1.5,1),0)</f>
        <v>0</v>
      </c>
      <c r="L307" s="239">
        <f t="shared" ref="L307:L370" si="1638">ROUND(L306*IF($S$4="5인 이상",1.5,1)+L306*IF($S$4="5인 이상",0.5,1),0)</f>
        <v>0</v>
      </c>
      <c r="M307" s="240"/>
      <c r="N307" s="236"/>
      <c r="O307" s="241"/>
      <c r="P307" s="241"/>
      <c r="Q307" s="241"/>
      <c r="R307" s="241"/>
      <c r="S307" s="241"/>
      <c r="T307" s="241"/>
      <c r="U307" s="241"/>
    </row>
    <row r="308" spans="2:21" ht="21.5" customHeight="1">
      <c r="B308" s="225">
        <f>'임금대장 양식'!B308</f>
        <v>0</v>
      </c>
      <c r="C308" s="225" cm="1">
        <f t="array" ref="C308:C309">'임금대장 양식'!C308:C309</f>
        <v>0</v>
      </c>
      <c r="D308" s="225">
        <f>'임금대장 양식'!D308</f>
        <v>0</v>
      </c>
      <c r="E308" s="226">
        <f>'임금대장 양식'!E308</f>
        <v>0</v>
      </c>
      <c r="F308" s="227">
        <f>'임금대장 양식'!F308</f>
        <v>0</v>
      </c>
      <c r="G308" s="228">
        <f t="shared" ref="G308" si="1639">IFERROR((F308)/M308,0)</f>
        <v>0</v>
      </c>
      <c r="H308" s="229">
        <f t="shared" ref="H308:H371" si="1640">IF(F308=0,0,ROUND((8*5)*(365/12/7),0))</f>
        <v>0</v>
      </c>
      <c r="I308" s="229">
        <f t="shared" ref="I308:I371" si="1641">IF(F308=0,0,ROUND(8*365/12/7,0))</f>
        <v>0</v>
      </c>
      <c r="J308" s="230">
        <f>'임금대장 양식'!J308</f>
        <v>0</v>
      </c>
      <c r="K308" s="231">
        <f>'임금대장 양식'!K308</f>
        <v>0</v>
      </c>
      <c r="L308" s="231">
        <f>'임금대장 양식'!L308</f>
        <v>0</v>
      </c>
      <c r="M308" s="232">
        <f t="shared" ref="M308:M371" si="1642">H308+I308+J309+K309+L309</f>
        <v>0</v>
      </c>
      <c r="N308" s="227">
        <f t="shared" ref="N308:N371" si="1643">IF(G308=0,0,G308*(H308+I308)-(R308+S308+T308+U308))</f>
        <v>0</v>
      </c>
      <c r="O308" s="233">
        <f t="shared" ref="O308:O371" si="1644">G308*J309</f>
        <v>0</v>
      </c>
      <c r="P308" s="233">
        <f t="shared" ref="P308:P371" si="1645">G308*K309</f>
        <v>0</v>
      </c>
      <c r="Q308" s="233">
        <f t="shared" ref="Q308:Q371" si="1646">G308*L309</f>
        <v>0</v>
      </c>
      <c r="R308" s="233">
        <f>'임금대장 양식'!R308</f>
        <v>0</v>
      </c>
      <c r="S308" s="233">
        <f>'임금대장 양식'!S308</f>
        <v>0</v>
      </c>
      <c r="T308" s="233">
        <f>'임금대장 양식'!T308</f>
        <v>0</v>
      </c>
      <c r="U308" s="233">
        <f>'임금대장 양식'!U308</f>
        <v>0</v>
      </c>
    </row>
    <row r="309" spans="2:21" ht="21.5" customHeight="1">
      <c r="B309" s="234"/>
      <c r="C309" s="234">
        <v>0</v>
      </c>
      <c r="D309" s="210">
        <f>'임금대장 양식'!D309</f>
        <v>0</v>
      </c>
      <c r="E309" s="235"/>
      <c r="F309" s="236"/>
      <c r="G309" s="237"/>
      <c r="H309" s="238"/>
      <c r="I309" s="238"/>
      <c r="J309" s="239">
        <f t="shared" ref="J309:J372" si="1647">ROUND(J308*(365/12/7)*IF($S$4="5인 이상",1.5,1),0)</f>
        <v>0</v>
      </c>
      <c r="K309" s="239">
        <f t="shared" ref="K309:K372" si="1648">ROUND(K308*IF($S$4="5인 이상",1.5,1),0)</f>
        <v>0</v>
      </c>
      <c r="L309" s="239">
        <f t="shared" ref="L309:L372" si="1649">ROUND(L308*IF($S$4="5인 이상",1.5,1)+L308*IF($S$4="5인 이상",0.5,1),0)</f>
        <v>0</v>
      </c>
      <c r="M309" s="240"/>
      <c r="N309" s="236"/>
      <c r="O309" s="241"/>
      <c r="P309" s="241"/>
      <c r="Q309" s="241"/>
      <c r="R309" s="241"/>
      <c r="S309" s="241"/>
      <c r="T309" s="241"/>
      <c r="U309" s="241"/>
    </row>
    <row r="310" spans="2:21" ht="21.5" customHeight="1">
      <c r="B310" s="225">
        <f>'임금대장 양식'!B310</f>
        <v>0</v>
      </c>
      <c r="C310" s="225" cm="1">
        <f t="array" ref="C310:C311">'임금대장 양식'!C310:C311</f>
        <v>0</v>
      </c>
      <c r="D310" s="225">
        <f>'임금대장 양식'!D310</f>
        <v>0</v>
      </c>
      <c r="E310" s="226">
        <f>'임금대장 양식'!E310</f>
        <v>0</v>
      </c>
      <c r="F310" s="227">
        <f>'임금대장 양식'!F310</f>
        <v>0</v>
      </c>
      <c r="G310" s="228">
        <f t="shared" ref="G310" si="1650">IFERROR((F310)/M310,0)</f>
        <v>0</v>
      </c>
      <c r="H310" s="229">
        <f t="shared" ref="H310:H373" si="1651">IF(F310=0,0,ROUND((8*5)*(365/12/7),0))</f>
        <v>0</v>
      </c>
      <c r="I310" s="229">
        <f t="shared" ref="I310:I373" si="1652">IF(F310=0,0,ROUND(8*365/12/7,0))</f>
        <v>0</v>
      </c>
      <c r="J310" s="230">
        <f>'임금대장 양식'!J310</f>
        <v>0</v>
      </c>
      <c r="K310" s="231">
        <f>'임금대장 양식'!K310</f>
        <v>0</v>
      </c>
      <c r="L310" s="231">
        <f>'임금대장 양식'!L310</f>
        <v>0</v>
      </c>
      <c r="M310" s="232">
        <f t="shared" ref="M310:M373" si="1653">H310+I310+J311+K311+L311</f>
        <v>0</v>
      </c>
      <c r="N310" s="227">
        <f t="shared" ref="N310:N373" si="1654">IF(G310=0,0,G310*(H310+I310)-(R310+S310+T310+U310))</f>
        <v>0</v>
      </c>
      <c r="O310" s="233">
        <f t="shared" ref="O310:O373" si="1655">G310*J311</f>
        <v>0</v>
      </c>
      <c r="P310" s="233">
        <f t="shared" ref="P310:P373" si="1656">G310*K311</f>
        <v>0</v>
      </c>
      <c r="Q310" s="233">
        <f t="shared" ref="Q310:Q373" si="1657">G310*L311</f>
        <v>0</v>
      </c>
      <c r="R310" s="233">
        <f>'임금대장 양식'!R310</f>
        <v>0</v>
      </c>
      <c r="S310" s="233">
        <f>'임금대장 양식'!S310</f>
        <v>0</v>
      </c>
      <c r="T310" s="233">
        <f>'임금대장 양식'!T310</f>
        <v>0</v>
      </c>
      <c r="U310" s="233">
        <f>'임금대장 양식'!U310</f>
        <v>0</v>
      </c>
    </row>
    <row r="311" spans="2:21" ht="21.5" customHeight="1">
      <c r="B311" s="234"/>
      <c r="C311" s="234">
        <v>0</v>
      </c>
      <c r="D311" s="210">
        <f>'임금대장 양식'!D311</f>
        <v>0</v>
      </c>
      <c r="E311" s="235"/>
      <c r="F311" s="236"/>
      <c r="G311" s="237"/>
      <c r="H311" s="238"/>
      <c r="I311" s="238"/>
      <c r="J311" s="239">
        <f t="shared" ref="J311:J374" si="1658">ROUND(J310*(365/12/7)*IF($S$4="5인 이상",1.5,1),0)</f>
        <v>0</v>
      </c>
      <c r="K311" s="239">
        <f t="shared" ref="K311:K374" si="1659">ROUND(K310*IF($S$4="5인 이상",1.5,1),0)</f>
        <v>0</v>
      </c>
      <c r="L311" s="239">
        <f t="shared" ref="L311:L374" si="1660">ROUND(L310*IF($S$4="5인 이상",1.5,1)+L310*IF($S$4="5인 이상",0.5,1),0)</f>
        <v>0</v>
      </c>
      <c r="M311" s="240"/>
      <c r="N311" s="236"/>
      <c r="O311" s="241"/>
      <c r="P311" s="241"/>
      <c r="Q311" s="241"/>
      <c r="R311" s="241"/>
      <c r="S311" s="241"/>
      <c r="T311" s="241"/>
      <c r="U311" s="241"/>
    </row>
    <row r="312" spans="2:21" ht="21.5" customHeight="1">
      <c r="B312" s="225">
        <f>'임금대장 양식'!B312</f>
        <v>0</v>
      </c>
      <c r="C312" s="225" cm="1">
        <f t="array" ref="C312:C313">'임금대장 양식'!C312:C313</f>
        <v>0</v>
      </c>
      <c r="D312" s="225">
        <f>'임금대장 양식'!D312</f>
        <v>0</v>
      </c>
      <c r="E312" s="226">
        <f>'임금대장 양식'!E312</f>
        <v>0</v>
      </c>
      <c r="F312" s="227">
        <f>'임금대장 양식'!F312</f>
        <v>0</v>
      </c>
      <c r="G312" s="228">
        <f t="shared" ref="G312" si="1661">IFERROR((F312)/M312,0)</f>
        <v>0</v>
      </c>
      <c r="H312" s="229">
        <f t="shared" ref="H312:H375" si="1662">IF(F312=0,0,ROUND((8*5)*(365/12/7),0))</f>
        <v>0</v>
      </c>
      <c r="I312" s="229">
        <f t="shared" ref="I312:I375" si="1663">IF(F312=0,0,ROUND(8*365/12/7,0))</f>
        <v>0</v>
      </c>
      <c r="J312" s="230">
        <f>'임금대장 양식'!J312</f>
        <v>0</v>
      </c>
      <c r="K312" s="231">
        <f>'임금대장 양식'!K312</f>
        <v>0</v>
      </c>
      <c r="L312" s="231">
        <f>'임금대장 양식'!L312</f>
        <v>0</v>
      </c>
      <c r="M312" s="232">
        <f t="shared" ref="M312:M375" si="1664">H312+I312+J313+K313+L313</f>
        <v>0</v>
      </c>
      <c r="N312" s="227">
        <f t="shared" ref="N312:N375" si="1665">IF(G312=0,0,G312*(H312+I312)-(R312+S312+T312+U312))</f>
        <v>0</v>
      </c>
      <c r="O312" s="233">
        <f t="shared" ref="O312:O375" si="1666">G312*J313</f>
        <v>0</v>
      </c>
      <c r="P312" s="233">
        <f t="shared" ref="P312:P375" si="1667">G312*K313</f>
        <v>0</v>
      </c>
      <c r="Q312" s="233">
        <f t="shared" ref="Q312:Q375" si="1668">G312*L313</f>
        <v>0</v>
      </c>
      <c r="R312" s="233">
        <f>'임금대장 양식'!R312</f>
        <v>0</v>
      </c>
      <c r="S312" s="233">
        <f>'임금대장 양식'!S312</f>
        <v>0</v>
      </c>
      <c r="T312" s="233">
        <f>'임금대장 양식'!T312</f>
        <v>0</v>
      </c>
      <c r="U312" s="233">
        <f>'임금대장 양식'!U312</f>
        <v>0</v>
      </c>
    </row>
    <row r="313" spans="2:21" ht="21.5" customHeight="1">
      <c r="B313" s="234"/>
      <c r="C313" s="234">
        <v>0</v>
      </c>
      <c r="D313" s="210">
        <f>'임금대장 양식'!D313</f>
        <v>0</v>
      </c>
      <c r="E313" s="235"/>
      <c r="F313" s="236"/>
      <c r="G313" s="237"/>
      <c r="H313" s="238"/>
      <c r="I313" s="238"/>
      <c r="J313" s="239">
        <f t="shared" ref="J313:J376" si="1669">ROUND(J312*(365/12/7)*IF($S$4="5인 이상",1.5,1),0)</f>
        <v>0</v>
      </c>
      <c r="K313" s="239">
        <f t="shared" ref="K313:K376" si="1670">ROUND(K312*IF($S$4="5인 이상",1.5,1),0)</f>
        <v>0</v>
      </c>
      <c r="L313" s="239">
        <f t="shared" ref="L313:L376" si="1671">ROUND(L312*IF($S$4="5인 이상",1.5,1)+L312*IF($S$4="5인 이상",0.5,1),0)</f>
        <v>0</v>
      </c>
      <c r="M313" s="240"/>
      <c r="N313" s="236"/>
      <c r="O313" s="241"/>
      <c r="P313" s="241"/>
      <c r="Q313" s="241"/>
      <c r="R313" s="241"/>
      <c r="S313" s="241"/>
      <c r="T313" s="241"/>
      <c r="U313" s="241"/>
    </row>
    <row r="314" spans="2:21" ht="21.5" customHeight="1">
      <c r="B314" s="225">
        <f>'임금대장 양식'!B314</f>
        <v>0</v>
      </c>
      <c r="C314" s="225" cm="1">
        <f t="array" ref="C314:C315">'임금대장 양식'!C314:C315</f>
        <v>0</v>
      </c>
      <c r="D314" s="225">
        <f>'임금대장 양식'!D314</f>
        <v>0</v>
      </c>
      <c r="E314" s="226">
        <f>'임금대장 양식'!E314</f>
        <v>0</v>
      </c>
      <c r="F314" s="227">
        <f>'임금대장 양식'!F314</f>
        <v>0</v>
      </c>
      <c r="G314" s="228">
        <f t="shared" ref="G314" si="1672">IFERROR((F314)/M314,0)</f>
        <v>0</v>
      </c>
      <c r="H314" s="229">
        <f t="shared" ref="H314:H377" si="1673">IF(F314=0,0,ROUND((8*5)*(365/12/7),0))</f>
        <v>0</v>
      </c>
      <c r="I314" s="229">
        <f t="shared" ref="I314:I377" si="1674">IF(F314=0,0,ROUND(8*365/12/7,0))</f>
        <v>0</v>
      </c>
      <c r="J314" s="230">
        <f>'임금대장 양식'!J314</f>
        <v>0</v>
      </c>
      <c r="K314" s="231">
        <f>'임금대장 양식'!K314</f>
        <v>0</v>
      </c>
      <c r="L314" s="231">
        <f>'임금대장 양식'!L314</f>
        <v>0</v>
      </c>
      <c r="M314" s="232">
        <f t="shared" ref="M314:M377" si="1675">H314+I314+J315+K315+L315</f>
        <v>0</v>
      </c>
      <c r="N314" s="227">
        <f t="shared" ref="N314:N377" si="1676">IF(G314=0,0,G314*(H314+I314)-(R314+S314+T314+U314))</f>
        <v>0</v>
      </c>
      <c r="O314" s="233">
        <f t="shared" ref="O314:O377" si="1677">G314*J315</f>
        <v>0</v>
      </c>
      <c r="P314" s="233">
        <f t="shared" ref="P314:P377" si="1678">G314*K315</f>
        <v>0</v>
      </c>
      <c r="Q314" s="233">
        <f t="shared" ref="Q314:Q377" si="1679">G314*L315</f>
        <v>0</v>
      </c>
      <c r="R314" s="233">
        <f>'임금대장 양식'!R314</f>
        <v>0</v>
      </c>
      <c r="S314" s="233">
        <f>'임금대장 양식'!S314</f>
        <v>0</v>
      </c>
      <c r="T314" s="233">
        <f>'임금대장 양식'!T314</f>
        <v>0</v>
      </c>
      <c r="U314" s="233">
        <f>'임금대장 양식'!U314</f>
        <v>0</v>
      </c>
    </row>
    <row r="315" spans="2:21" ht="21.5" customHeight="1">
      <c r="B315" s="234"/>
      <c r="C315" s="234">
        <v>0</v>
      </c>
      <c r="D315" s="210">
        <f>'임금대장 양식'!D315</f>
        <v>0</v>
      </c>
      <c r="E315" s="235"/>
      <c r="F315" s="236"/>
      <c r="G315" s="237"/>
      <c r="H315" s="238"/>
      <c r="I315" s="238"/>
      <c r="J315" s="239">
        <f t="shared" ref="J315:J378" si="1680">ROUND(J314*(365/12/7)*IF($S$4="5인 이상",1.5,1),0)</f>
        <v>0</v>
      </c>
      <c r="K315" s="239">
        <f t="shared" ref="K315:K378" si="1681">ROUND(K314*IF($S$4="5인 이상",1.5,1),0)</f>
        <v>0</v>
      </c>
      <c r="L315" s="239">
        <f t="shared" ref="L315:L378" si="1682">ROUND(L314*IF($S$4="5인 이상",1.5,1)+L314*IF($S$4="5인 이상",0.5,1),0)</f>
        <v>0</v>
      </c>
      <c r="M315" s="240"/>
      <c r="N315" s="236"/>
      <c r="O315" s="241"/>
      <c r="P315" s="241"/>
      <c r="Q315" s="241"/>
      <c r="R315" s="241"/>
      <c r="S315" s="241"/>
      <c r="T315" s="241"/>
      <c r="U315" s="241"/>
    </row>
    <row r="316" spans="2:21" ht="21.5" customHeight="1">
      <c r="B316" s="225">
        <f>'임금대장 양식'!B316</f>
        <v>0</v>
      </c>
      <c r="C316" s="225" cm="1">
        <f t="array" ref="C316:C317">'임금대장 양식'!C316:C317</f>
        <v>0</v>
      </c>
      <c r="D316" s="225">
        <f>'임금대장 양식'!D316</f>
        <v>0</v>
      </c>
      <c r="E316" s="226">
        <f>'임금대장 양식'!E316</f>
        <v>0</v>
      </c>
      <c r="F316" s="227">
        <f>'임금대장 양식'!F316</f>
        <v>0</v>
      </c>
      <c r="G316" s="228">
        <f t="shared" ref="G316" si="1683">IFERROR((F316)/M316,0)</f>
        <v>0</v>
      </c>
      <c r="H316" s="229">
        <f t="shared" ref="H316:H379" si="1684">IF(F316=0,0,ROUND((8*5)*(365/12/7),0))</f>
        <v>0</v>
      </c>
      <c r="I316" s="229">
        <f t="shared" ref="I316:I379" si="1685">IF(F316=0,0,ROUND(8*365/12/7,0))</f>
        <v>0</v>
      </c>
      <c r="J316" s="230">
        <f>'임금대장 양식'!J316</f>
        <v>0</v>
      </c>
      <c r="K316" s="231">
        <f>'임금대장 양식'!K316</f>
        <v>0</v>
      </c>
      <c r="L316" s="231">
        <f>'임금대장 양식'!L316</f>
        <v>0</v>
      </c>
      <c r="M316" s="232">
        <f t="shared" ref="M316:M379" si="1686">H316+I316+J317+K317+L317</f>
        <v>0</v>
      </c>
      <c r="N316" s="227">
        <f t="shared" ref="N316:N379" si="1687">IF(G316=0,0,G316*(H316+I316)-(R316+S316+T316+U316))</f>
        <v>0</v>
      </c>
      <c r="O316" s="233">
        <f t="shared" ref="O316:O379" si="1688">G316*J317</f>
        <v>0</v>
      </c>
      <c r="P316" s="233">
        <f t="shared" ref="P316:P379" si="1689">G316*K317</f>
        <v>0</v>
      </c>
      <c r="Q316" s="233">
        <f t="shared" ref="Q316:Q379" si="1690">G316*L317</f>
        <v>0</v>
      </c>
      <c r="R316" s="233">
        <f>'임금대장 양식'!R316</f>
        <v>0</v>
      </c>
      <c r="S316" s="233">
        <f>'임금대장 양식'!S316</f>
        <v>0</v>
      </c>
      <c r="T316" s="233">
        <f>'임금대장 양식'!T316</f>
        <v>0</v>
      </c>
      <c r="U316" s="233">
        <f>'임금대장 양식'!U316</f>
        <v>0</v>
      </c>
    </row>
    <row r="317" spans="2:21" ht="21.5" customHeight="1">
      <c r="B317" s="234"/>
      <c r="C317" s="234">
        <v>0</v>
      </c>
      <c r="D317" s="210">
        <f>'임금대장 양식'!D317</f>
        <v>0</v>
      </c>
      <c r="E317" s="235"/>
      <c r="F317" s="236"/>
      <c r="G317" s="237"/>
      <c r="H317" s="238"/>
      <c r="I317" s="238"/>
      <c r="J317" s="239">
        <f t="shared" ref="J317:J380" si="1691">ROUND(J316*(365/12/7)*IF($S$4="5인 이상",1.5,1),0)</f>
        <v>0</v>
      </c>
      <c r="K317" s="239">
        <f t="shared" ref="K317:K380" si="1692">ROUND(K316*IF($S$4="5인 이상",1.5,1),0)</f>
        <v>0</v>
      </c>
      <c r="L317" s="239">
        <f t="shared" ref="L317:L380" si="1693">ROUND(L316*IF($S$4="5인 이상",1.5,1)+L316*IF($S$4="5인 이상",0.5,1),0)</f>
        <v>0</v>
      </c>
      <c r="M317" s="240"/>
      <c r="N317" s="236"/>
      <c r="O317" s="241"/>
      <c r="P317" s="241"/>
      <c r="Q317" s="241"/>
      <c r="R317" s="241"/>
      <c r="S317" s="241"/>
      <c r="T317" s="241"/>
      <c r="U317" s="241"/>
    </row>
    <row r="318" spans="2:21" ht="21.5" customHeight="1">
      <c r="B318" s="225">
        <f>'임금대장 양식'!B318</f>
        <v>0</v>
      </c>
      <c r="C318" s="225" cm="1">
        <f t="array" ref="C318:C319">'임금대장 양식'!C318:C319</f>
        <v>0</v>
      </c>
      <c r="D318" s="225">
        <f>'임금대장 양식'!D318</f>
        <v>0</v>
      </c>
      <c r="E318" s="226">
        <f>'임금대장 양식'!E318</f>
        <v>0</v>
      </c>
      <c r="F318" s="227">
        <f>'임금대장 양식'!F318</f>
        <v>0</v>
      </c>
      <c r="G318" s="228">
        <f t="shared" ref="G318" si="1694">IFERROR((F318)/M318,0)</f>
        <v>0</v>
      </c>
      <c r="H318" s="229">
        <f t="shared" ref="H318:H381" si="1695">IF(F318=0,0,ROUND((8*5)*(365/12/7),0))</f>
        <v>0</v>
      </c>
      <c r="I318" s="229">
        <f t="shared" ref="I318:I381" si="1696">IF(F318=0,0,ROUND(8*365/12/7,0))</f>
        <v>0</v>
      </c>
      <c r="J318" s="230">
        <f>'임금대장 양식'!J318</f>
        <v>0</v>
      </c>
      <c r="K318" s="231">
        <f>'임금대장 양식'!K318</f>
        <v>0</v>
      </c>
      <c r="L318" s="231">
        <f>'임금대장 양식'!L318</f>
        <v>0</v>
      </c>
      <c r="M318" s="232">
        <f t="shared" ref="M318:M381" si="1697">H318+I318+J319+K319+L319</f>
        <v>0</v>
      </c>
      <c r="N318" s="227">
        <f t="shared" ref="N318:N381" si="1698">IF(G318=0,0,G318*(H318+I318)-(R318+S318+T318+U318))</f>
        <v>0</v>
      </c>
      <c r="O318" s="233">
        <f t="shared" ref="O318:O381" si="1699">G318*J319</f>
        <v>0</v>
      </c>
      <c r="P318" s="233">
        <f t="shared" ref="P318:P381" si="1700">G318*K319</f>
        <v>0</v>
      </c>
      <c r="Q318" s="233">
        <f t="shared" ref="Q318:Q381" si="1701">G318*L319</f>
        <v>0</v>
      </c>
      <c r="R318" s="233">
        <f>'임금대장 양식'!R318</f>
        <v>0</v>
      </c>
      <c r="S318" s="233">
        <f>'임금대장 양식'!S318</f>
        <v>0</v>
      </c>
      <c r="T318" s="233">
        <f>'임금대장 양식'!T318</f>
        <v>0</v>
      </c>
      <c r="U318" s="233">
        <f>'임금대장 양식'!U318</f>
        <v>0</v>
      </c>
    </row>
    <row r="319" spans="2:21" ht="21.5" customHeight="1">
      <c r="B319" s="234"/>
      <c r="C319" s="234">
        <v>0</v>
      </c>
      <c r="D319" s="210">
        <f>'임금대장 양식'!D319</f>
        <v>0</v>
      </c>
      <c r="E319" s="235"/>
      <c r="F319" s="236"/>
      <c r="G319" s="237"/>
      <c r="H319" s="238"/>
      <c r="I319" s="238"/>
      <c r="J319" s="239">
        <f t="shared" ref="J319:J382" si="1702">ROUND(J318*(365/12/7)*IF($S$4="5인 이상",1.5,1),0)</f>
        <v>0</v>
      </c>
      <c r="K319" s="239">
        <f t="shared" ref="K319:K382" si="1703">ROUND(K318*IF($S$4="5인 이상",1.5,1),0)</f>
        <v>0</v>
      </c>
      <c r="L319" s="239">
        <f t="shared" ref="L319:L382" si="1704">ROUND(L318*IF($S$4="5인 이상",1.5,1)+L318*IF($S$4="5인 이상",0.5,1),0)</f>
        <v>0</v>
      </c>
      <c r="M319" s="240"/>
      <c r="N319" s="236"/>
      <c r="O319" s="241"/>
      <c r="P319" s="241"/>
      <c r="Q319" s="241"/>
      <c r="R319" s="241"/>
      <c r="S319" s="241"/>
      <c r="T319" s="241"/>
      <c r="U319" s="241"/>
    </row>
    <row r="320" spans="2:21" ht="21.5" customHeight="1">
      <c r="B320" s="225">
        <f>'임금대장 양식'!B320</f>
        <v>0</v>
      </c>
      <c r="C320" s="225" cm="1">
        <f t="array" ref="C320:C321">'임금대장 양식'!C320:C321</f>
        <v>0</v>
      </c>
      <c r="D320" s="225">
        <f>'임금대장 양식'!D320</f>
        <v>0</v>
      </c>
      <c r="E320" s="226">
        <f>'임금대장 양식'!E320</f>
        <v>0</v>
      </c>
      <c r="F320" s="227">
        <f>'임금대장 양식'!F320</f>
        <v>0</v>
      </c>
      <c r="G320" s="228">
        <f t="shared" ref="G320" si="1705">IFERROR((F320)/M320,0)</f>
        <v>0</v>
      </c>
      <c r="H320" s="229">
        <f t="shared" ref="H320:H383" si="1706">IF(F320=0,0,ROUND((8*5)*(365/12/7),0))</f>
        <v>0</v>
      </c>
      <c r="I320" s="229">
        <f t="shared" ref="I320:I383" si="1707">IF(F320=0,0,ROUND(8*365/12/7,0))</f>
        <v>0</v>
      </c>
      <c r="J320" s="230">
        <f>'임금대장 양식'!J320</f>
        <v>0</v>
      </c>
      <c r="K320" s="231">
        <f>'임금대장 양식'!K320</f>
        <v>0</v>
      </c>
      <c r="L320" s="231">
        <f>'임금대장 양식'!L320</f>
        <v>0</v>
      </c>
      <c r="M320" s="232">
        <f t="shared" ref="M320:M383" si="1708">H320+I320+J321+K321+L321</f>
        <v>0</v>
      </c>
      <c r="N320" s="227">
        <f t="shared" ref="N320:N383" si="1709">IF(G320=0,0,G320*(H320+I320)-(R320+S320+T320+U320))</f>
        <v>0</v>
      </c>
      <c r="O320" s="233">
        <f t="shared" ref="O320:O383" si="1710">G320*J321</f>
        <v>0</v>
      </c>
      <c r="P320" s="233">
        <f t="shared" ref="P320:P383" si="1711">G320*K321</f>
        <v>0</v>
      </c>
      <c r="Q320" s="233">
        <f t="shared" ref="Q320:Q383" si="1712">G320*L321</f>
        <v>0</v>
      </c>
      <c r="R320" s="233">
        <f>'임금대장 양식'!R320</f>
        <v>0</v>
      </c>
      <c r="S320" s="233">
        <f>'임금대장 양식'!S320</f>
        <v>0</v>
      </c>
      <c r="T320" s="233">
        <f>'임금대장 양식'!T320</f>
        <v>0</v>
      </c>
      <c r="U320" s="233">
        <f>'임금대장 양식'!U320</f>
        <v>0</v>
      </c>
    </row>
    <row r="321" spans="2:21" ht="21.5" customHeight="1">
      <c r="B321" s="234"/>
      <c r="C321" s="234">
        <v>0</v>
      </c>
      <c r="D321" s="210">
        <f>'임금대장 양식'!D321</f>
        <v>0</v>
      </c>
      <c r="E321" s="235"/>
      <c r="F321" s="236"/>
      <c r="G321" s="237"/>
      <c r="H321" s="238"/>
      <c r="I321" s="238"/>
      <c r="J321" s="239">
        <f t="shared" ref="J321:J384" si="1713">ROUND(J320*(365/12/7)*IF($S$4="5인 이상",1.5,1),0)</f>
        <v>0</v>
      </c>
      <c r="K321" s="239">
        <f t="shared" ref="K321:K384" si="1714">ROUND(K320*IF($S$4="5인 이상",1.5,1),0)</f>
        <v>0</v>
      </c>
      <c r="L321" s="239">
        <f t="shared" ref="L321:L384" si="1715">ROUND(L320*IF($S$4="5인 이상",1.5,1)+L320*IF($S$4="5인 이상",0.5,1),0)</f>
        <v>0</v>
      </c>
      <c r="M321" s="240"/>
      <c r="N321" s="236"/>
      <c r="O321" s="241"/>
      <c r="P321" s="241"/>
      <c r="Q321" s="241"/>
      <c r="R321" s="241"/>
      <c r="S321" s="241"/>
      <c r="T321" s="241"/>
      <c r="U321" s="241"/>
    </row>
    <row r="322" spans="2:21" ht="21.5" customHeight="1">
      <c r="B322" s="225">
        <f>'임금대장 양식'!B322</f>
        <v>0</v>
      </c>
      <c r="C322" s="225" cm="1">
        <f t="array" ref="C322:C323">'임금대장 양식'!C322:C323</f>
        <v>0</v>
      </c>
      <c r="D322" s="225">
        <f>'임금대장 양식'!D322</f>
        <v>0</v>
      </c>
      <c r="E322" s="226">
        <f>'임금대장 양식'!E322</f>
        <v>0</v>
      </c>
      <c r="F322" s="227">
        <f>'임금대장 양식'!F322</f>
        <v>0</v>
      </c>
      <c r="G322" s="228">
        <f t="shared" ref="G322" si="1716">IFERROR((F322)/M322,0)</f>
        <v>0</v>
      </c>
      <c r="H322" s="229">
        <f t="shared" ref="H322:H385" si="1717">IF(F322=0,0,ROUND((8*5)*(365/12/7),0))</f>
        <v>0</v>
      </c>
      <c r="I322" s="229">
        <f t="shared" ref="I322:I385" si="1718">IF(F322=0,0,ROUND(8*365/12/7,0))</f>
        <v>0</v>
      </c>
      <c r="J322" s="230">
        <f>'임금대장 양식'!J322</f>
        <v>0</v>
      </c>
      <c r="K322" s="231">
        <f>'임금대장 양식'!K322</f>
        <v>0</v>
      </c>
      <c r="L322" s="231">
        <f>'임금대장 양식'!L322</f>
        <v>0</v>
      </c>
      <c r="M322" s="232">
        <f t="shared" ref="M322:M385" si="1719">H322+I322+J323+K323+L323</f>
        <v>0</v>
      </c>
      <c r="N322" s="227">
        <f t="shared" ref="N322:N385" si="1720">IF(G322=0,0,G322*(H322+I322)-(R322+S322+T322+U322))</f>
        <v>0</v>
      </c>
      <c r="O322" s="233">
        <f t="shared" ref="O322:O385" si="1721">G322*J323</f>
        <v>0</v>
      </c>
      <c r="P322" s="233">
        <f t="shared" ref="P322:P385" si="1722">G322*K323</f>
        <v>0</v>
      </c>
      <c r="Q322" s="233">
        <f t="shared" ref="Q322:Q385" si="1723">G322*L323</f>
        <v>0</v>
      </c>
      <c r="R322" s="233">
        <f>'임금대장 양식'!R322</f>
        <v>0</v>
      </c>
      <c r="S322" s="233">
        <f>'임금대장 양식'!S322</f>
        <v>0</v>
      </c>
      <c r="T322" s="233">
        <f>'임금대장 양식'!T322</f>
        <v>0</v>
      </c>
      <c r="U322" s="233">
        <f>'임금대장 양식'!U322</f>
        <v>0</v>
      </c>
    </row>
    <row r="323" spans="2:21" ht="21.5" customHeight="1">
      <c r="B323" s="234"/>
      <c r="C323" s="234">
        <v>0</v>
      </c>
      <c r="D323" s="210">
        <f>'임금대장 양식'!D323</f>
        <v>0</v>
      </c>
      <c r="E323" s="235"/>
      <c r="F323" s="236"/>
      <c r="G323" s="237"/>
      <c r="H323" s="238"/>
      <c r="I323" s="238"/>
      <c r="J323" s="239">
        <f t="shared" ref="J323:J386" si="1724">ROUND(J322*(365/12/7)*IF($S$4="5인 이상",1.5,1),0)</f>
        <v>0</v>
      </c>
      <c r="K323" s="239">
        <f t="shared" ref="K323:K386" si="1725">ROUND(K322*IF($S$4="5인 이상",1.5,1),0)</f>
        <v>0</v>
      </c>
      <c r="L323" s="239">
        <f t="shared" ref="L323:L386" si="1726">ROUND(L322*IF($S$4="5인 이상",1.5,1)+L322*IF($S$4="5인 이상",0.5,1),0)</f>
        <v>0</v>
      </c>
      <c r="M323" s="240"/>
      <c r="N323" s="236"/>
      <c r="O323" s="241"/>
      <c r="P323" s="241"/>
      <c r="Q323" s="241"/>
      <c r="R323" s="241"/>
      <c r="S323" s="241"/>
      <c r="T323" s="241"/>
      <c r="U323" s="241"/>
    </row>
    <row r="324" spans="2:21" ht="21.5" customHeight="1">
      <c r="B324" s="225">
        <f>'임금대장 양식'!B324</f>
        <v>0</v>
      </c>
      <c r="C324" s="225" cm="1">
        <f t="array" ref="C324:C325">'임금대장 양식'!C324:C325</f>
        <v>0</v>
      </c>
      <c r="D324" s="225">
        <f>'임금대장 양식'!D324</f>
        <v>0</v>
      </c>
      <c r="E324" s="226">
        <f>'임금대장 양식'!E324</f>
        <v>0</v>
      </c>
      <c r="F324" s="227">
        <f>'임금대장 양식'!F324</f>
        <v>0</v>
      </c>
      <c r="G324" s="228">
        <f t="shared" ref="G324" si="1727">IFERROR((F324)/M324,0)</f>
        <v>0</v>
      </c>
      <c r="H324" s="229">
        <f t="shared" ref="H324:H387" si="1728">IF(F324=0,0,ROUND((8*5)*(365/12/7),0))</f>
        <v>0</v>
      </c>
      <c r="I324" s="229">
        <f t="shared" ref="I324:I387" si="1729">IF(F324=0,0,ROUND(8*365/12/7,0))</f>
        <v>0</v>
      </c>
      <c r="J324" s="230">
        <f>'임금대장 양식'!J324</f>
        <v>0</v>
      </c>
      <c r="K324" s="231">
        <f>'임금대장 양식'!K324</f>
        <v>0</v>
      </c>
      <c r="L324" s="231">
        <f>'임금대장 양식'!L324</f>
        <v>0</v>
      </c>
      <c r="M324" s="232">
        <f t="shared" ref="M324:M387" si="1730">H324+I324+J325+K325+L325</f>
        <v>0</v>
      </c>
      <c r="N324" s="227">
        <f t="shared" ref="N324:N387" si="1731">IF(G324=0,0,G324*(H324+I324)-(R324+S324+T324+U324))</f>
        <v>0</v>
      </c>
      <c r="O324" s="233">
        <f t="shared" ref="O324:O387" si="1732">G324*J325</f>
        <v>0</v>
      </c>
      <c r="P324" s="233">
        <f t="shared" ref="P324:P387" si="1733">G324*K325</f>
        <v>0</v>
      </c>
      <c r="Q324" s="233">
        <f t="shared" ref="Q324:Q387" si="1734">G324*L325</f>
        <v>0</v>
      </c>
      <c r="R324" s="233">
        <f>'임금대장 양식'!R324</f>
        <v>0</v>
      </c>
      <c r="S324" s="233">
        <f>'임금대장 양식'!S324</f>
        <v>0</v>
      </c>
      <c r="T324" s="233">
        <f>'임금대장 양식'!T324</f>
        <v>0</v>
      </c>
      <c r="U324" s="233">
        <f>'임금대장 양식'!U324</f>
        <v>0</v>
      </c>
    </row>
    <row r="325" spans="2:21" ht="21.5" customHeight="1">
      <c r="B325" s="234"/>
      <c r="C325" s="234">
        <v>0</v>
      </c>
      <c r="D325" s="210">
        <f>'임금대장 양식'!D325</f>
        <v>0</v>
      </c>
      <c r="E325" s="235"/>
      <c r="F325" s="236"/>
      <c r="G325" s="237"/>
      <c r="H325" s="238"/>
      <c r="I325" s="238"/>
      <c r="J325" s="239">
        <f t="shared" ref="J325:J388" si="1735">ROUND(J324*(365/12/7)*IF($S$4="5인 이상",1.5,1),0)</f>
        <v>0</v>
      </c>
      <c r="K325" s="239">
        <f t="shared" ref="K325:K388" si="1736">ROUND(K324*IF($S$4="5인 이상",1.5,1),0)</f>
        <v>0</v>
      </c>
      <c r="L325" s="239">
        <f t="shared" ref="L325:L388" si="1737">ROUND(L324*IF($S$4="5인 이상",1.5,1)+L324*IF($S$4="5인 이상",0.5,1),0)</f>
        <v>0</v>
      </c>
      <c r="M325" s="240"/>
      <c r="N325" s="236"/>
      <c r="O325" s="241"/>
      <c r="P325" s="241"/>
      <c r="Q325" s="241"/>
      <c r="R325" s="241"/>
      <c r="S325" s="241"/>
      <c r="T325" s="241"/>
      <c r="U325" s="241"/>
    </row>
    <row r="326" spans="2:21" ht="21.5" customHeight="1">
      <c r="B326" s="225">
        <f>'임금대장 양식'!B326</f>
        <v>0</v>
      </c>
      <c r="C326" s="225" cm="1">
        <f t="array" ref="C326:C327">'임금대장 양식'!C326:C327</f>
        <v>0</v>
      </c>
      <c r="D326" s="225">
        <f>'임금대장 양식'!D326</f>
        <v>0</v>
      </c>
      <c r="E326" s="226">
        <f>'임금대장 양식'!E326</f>
        <v>0</v>
      </c>
      <c r="F326" s="227">
        <f>'임금대장 양식'!F326</f>
        <v>0</v>
      </c>
      <c r="G326" s="228">
        <f t="shared" ref="G326" si="1738">IFERROR((F326)/M326,0)</f>
        <v>0</v>
      </c>
      <c r="H326" s="229">
        <f t="shared" ref="H326:H389" si="1739">IF(F326=0,0,ROUND((8*5)*(365/12/7),0))</f>
        <v>0</v>
      </c>
      <c r="I326" s="229">
        <f t="shared" ref="I326:I389" si="1740">IF(F326=0,0,ROUND(8*365/12/7,0))</f>
        <v>0</v>
      </c>
      <c r="J326" s="230">
        <f>'임금대장 양식'!J326</f>
        <v>0</v>
      </c>
      <c r="K326" s="231">
        <f>'임금대장 양식'!K326</f>
        <v>0</v>
      </c>
      <c r="L326" s="231">
        <f>'임금대장 양식'!L326</f>
        <v>0</v>
      </c>
      <c r="M326" s="232">
        <f t="shared" ref="M326:M389" si="1741">H326+I326+J327+K327+L327</f>
        <v>0</v>
      </c>
      <c r="N326" s="227">
        <f t="shared" ref="N326:N389" si="1742">IF(G326=0,0,G326*(H326+I326)-(R326+S326+T326+U326))</f>
        <v>0</v>
      </c>
      <c r="O326" s="233">
        <f t="shared" ref="O326:O389" si="1743">G326*J327</f>
        <v>0</v>
      </c>
      <c r="P326" s="233">
        <f t="shared" ref="P326:P389" si="1744">G326*K327</f>
        <v>0</v>
      </c>
      <c r="Q326" s="233">
        <f t="shared" ref="Q326:Q389" si="1745">G326*L327</f>
        <v>0</v>
      </c>
      <c r="R326" s="233">
        <f>'임금대장 양식'!R326</f>
        <v>0</v>
      </c>
      <c r="S326" s="233">
        <f>'임금대장 양식'!S326</f>
        <v>0</v>
      </c>
      <c r="T326" s="233">
        <f>'임금대장 양식'!T326</f>
        <v>0</v>
      </c>
      <c r="U326" s="233">
        <f>'임금대장 양식'!U326</f>
        <v>0</v>
      </c>
    </row>
    <row r="327" spans="2:21" ht="21.5" customHeight="1">
      <c r="B327" s="234"/>
      <c r="C327" s="234">
        <v>0</v>
      </c>
      <c r="D327" s="210">
        <f>'임금대장 양식'!D327</f>
        <v>0</v>
      </c>
      <c r="E327" s="235"/>
      <c r="F327" s="236"/>
      <c r="G327" s="237"/>
      <c r="H327" s="238"/>
      <c r="I327" s="238"/>
      <c r="J327" s="239">
        <f t="shared" ref="J327:J390" si="1746">ROUND(J326*(365/12/7)*IF($S$4="5인 이상",1.5,1),0)</f>
        <v>0</v>
      </c>
      <c r="K327" s="239">
        <f t="shared" ref="K327:K390" si="1747">ROUND(K326*IF($S$4="5인 이상",1.5,1),0)</f>
        <v>0</v>
      </c>
      <c r="L327" s="239">
        <f t="shared" ref="L327:L390" si="1748">ROUND(L326*IF($S$4="5인 이상",1.5,1)+L326*IF($S$4="5인 이상",0.5,1),0)</f>
        <v>0</v>
      </c>
      <c r="M327" s="240"/>
      <c r="N327" s="236"/>
      <c r="O327" s="241"/>
      <c r="P327" s="241"/>
      <c r="Q327" s="241"/>
      <c r="R327" s="241"/>
      <c r="S327" s="241"/>
      <c r="T327" s="241"/>
      <c r="U327" s="241"/>
    </row>
    <row r="328" spans="2:21" ht="21.5" customHeight="1">
      <c r="B328" s="225">
        <f>'임금대장 양식'!B328</f>
        <v>0</v>
      </c>
      <c r="C328" s="225" cm="1">
        <f t="array" ref="C328:C329">'임금대장 양식'!C328:C329</f>
        <v>0</v>
      </c>
      <c r="D328" s="225">
        <f>'임금대장 양식'!D328</f>
        <v>0</v>
      </c>
      <c r="E328" s="226">
        <f>'임금대장 양식'!E328</f>
        <v>0</v>
      </c>
      <c r="F328" s="227">
        <f>'임금대장 양식'!F328</f>
        <v>0</v>
      </c>
      <c r="G328" s="228">
        <f t="shared" ref="G328" si="1749">IFERROR((F328)/M328,0)</f>
        <v>0</v>
      </c>
      <c r="H328" s="229">
        <f t="shared" ref="H328:H391" si="1750">IF(F328=0,0,ROUND((8*5)*(365/12/7),0))</f>
        <v>0</v>
      </c>
      <c r="I328" s="229">
        <f t="shared" ref="I328:I391" si="1751">IF(F328=0,0,ROUND(8*365/12/7,0))</f>
        <v>0</v>
      </c>
      <c r="J328" s="230">
        <f>'임금대장 양식'!J328</f>
        <v>0</v>
      </c>
      <c r="K328" s="231">
        <f>'임금대장 양식'!K328</f>
        <v>0</v>
      </c>
      <c r="L328" s="231">
        <f>'임금대장 양식'!L328</f>
        <v>0</v>
      </c>
      <c r="M328" s="232">
        <f t="shared" ref="M328:M391" si="1752">H328+I328+J329+K329+L329</f>
        <v>0</v>
      </c>
      <c r="N328" s="227">
        <f t="shared" ref="N328:N391" si="1753">IF(G328=0,0,G328*(H328+I328)-(R328+S328+T328+U328))</f>
        <v>0</v>
      </c>
      <c r="O328" s="233">
        <f t="shared" ref="O328:O391" si="1754">G328*J329</f>
        <v>0</v>
      </c>
      <c r="P328" s="233">
        <f t="shared" ref="P328:P391" si="1755">G328*K329</f>
        <v>0</v>
      </c>
      <c r="Q328" s="233">
        <f t="shared" ref="Q328:Q391" si="1756">G328*L329</f>
        <v>0</v>
      </c>
      <c r="R328" s="233">
        <f>'임금대장 양식'!R328</f>
        <v>0</v>
      </c>
      <c r="S328" s="233">
        <f>'임금대장 양식'!S328</f>
        <v>0</v>
      </c>
      <c r="T328" s="233">
        <f>'임금대장 양식'!T328</f>
        <v>0</v>
      </c>
      <c r="U328" s="233">
        <f>'임금대장 양식'!U328</f>
        <v>0</v>
      </c>
    </row>
    <row r="329" spans="2:21" ht="21.5" customHeight="1">
      <c r="B329" s="234"/>
      <c r="C329" s="234">
        <v>0</v>
      </c>
      <c r="D329" s="210">
        <f>'임금대장 양식'!D329</f>
        <v>0</v>
      </c>
      <c r="E329" s="235"/>
      <c r="F329" s="236"/>
      <c r="G329" s="237"/>
      <c r="H329" s="238"/>
      <c r="I329" s="238"/>
      <c r="J329" s="239">
        <f t="shared" ref="J329:J392" si="1757">ROUND(J328*(365/12/7)*IF($S$4="5인 이상",1.5,1),0)</f>
        <v>0</v>
      </c>
      <c r="K329" s="239">
        <f t="shared" ref="K329:K392" si="1758">ROUND(K328*IF($S$4="5인 이상",1.5,1),0)</f>
        <v>0</v>
      </c>
      <c r="L329" s="239">
        <f t="shared" ref="L329:L392" si="1759">ROUND(L328*IF($S$4="5인 이상",1.5,1)+L328*IF($S$4="5인 이상",0.5,1),0)</f>
        <v>0</v>
      </c>
      <c r="M329" s="240"/>
      <c r="N329" s="236"/>
      <c r="O329" s="241"/>
      <c r="P329" s="241"/>
      <c r="Q329" s="241"/>
      <c r="R329" s="241"/>
      <c r="S329" s="241"/>
      <c r="T329" s="241"/>
      <c r="U329" s="241"/>
    </row>
    <row r="330" spans="2:21" ht="21.5" customHeight="1">
      <c r="B330" s="225">
        <f>'임금대장 양식'!B330</f>
        <v>0</v>
      </c>
      <c r="C330" s="225" cm="1">
        <f t="array" ref="C330:C331">'임금대장 양식'!C330:C331</f>
        <v>0</v>
      </c>
      <c r="D330" s="225">
        <f>'임금대장 양식'!D330</f>
        <v>0</v>
      </c>
      <c r="E330" s="226">
        <f>'임금대장 양식'!E330</f>
        <v>0</v>
      </c>
      <c r="F330" s="227">
        <f>'임금대장 양식'!F330</f>
        <v>0</v>
      </c>
      <c r="G330" s="228">
        <f t="shared" ref="G330" si="1760">IFERROR((F330)/M330,0)</f>
        <v>0</v>
      </c>
      <c r="H330" s="229">
        <f t="shared" ref="H330:H393" si="1761">IF(F330=0,0,ROUND((8*5)*(365/12/7),0))</f>
        <v>0</v>
      </c>
      <c r="I330" s="229">
        <f t="shared" ref="I330:I393" si="1762">IF(F330=0,0,ROUND(8*365/12/7,0))</f>
        <v>0</v>
      </c>
      <c r="J330" s="230">
        <f>'임금대장 양식'!J330</f>
        <v>0</v>
      </c>
      <c r="K330" s="231">
        <f>'임금대장 양식'!K330</f>
        <v>0</v>
      </c>
      <c r="L330" s="231">
        <f>'임금대장 양식'!L330</f>
        <v>0</v>
      </c>
      <c r="M330" s="232">
        <f t="shared" ref="M330:M393" si="1763">H330+I330+J331+K331+L331</f>
        <v>0</v>
      </c>
      <c r="N330" s="227">
        <f t="shared" ref="N330:N393" si="1764">IF(G330=0,0,G330*(H330+I330)-(R330+S330+T330+U330))</f>
        <v>0</v>
      </c>
      <c r="O330" s="233">
        <f t="shared" ref="O330:O393" si="1765">G330*J331</f>
        <v>0</v>
      </c>
      <c r="P330" s="233">
        <f t="shared" ref="P330:P393" si="1766">G330*K331</f>
        <v>0</v>
      </c>
      <c r="Q330" s="233">
        <f t="shared" ref="Q330:Q393" si="1767">G330*L331</f>
        <v>0</v>
      </c>
      <c r="R330" s="233">
        <f>'임금대장 양식'!R330</f>
        <v>0</v>
      </c>
      <c r="S330" s="233">
        <f>'임금대장 양식'!S330</f>
        <v>0</v>
      </c>
      <c r="T330" s="233">
        <f>'임금대장 양식'!T330</f>
        <v>0</v>
      </c>
      <c r="U330" s="233">
        <f>'임금대장 양식'!U330</f>
        <v>0</v>
      </c>
    </row>
    <row r="331" spans="2:21" ht="21.5" customHeight="1">
      <c r="B331" s="234"/>
      <c r="C331" s="234">
        <v>0</v>
      </c>
      <c r="D331" s="210">
        <f>'임금대장 양식'!D331</f>
        <v>0</v>
      </c>
      <c r="E331" s="235"/>
      <c r="F331" s="236"/>
      <c r="G331" s="237"/>
      <c r="H331" s="238"/>
      <c r="I331" s="238"/>
      <c r="J331" s="239">
        <f t="shared" ref="J331:J394" si="1768">ROUND(J330*(365/12/7)*IF($S$4="5인 이상",1.5,1),0)</f>
        <v>0</v>
      </c>
      <c r="K331" s="239">
        <f t="shared" ref="K331:K394" si="1769">ROUND(K330*IF($S$4="5인 이상",1.5,1),0)</f>
        <v>0</v>
      </c>
      <c r="L331" s="239">
        <f t="shared" ref="L331:L394" si="1770">ROUND(L330*IF($S$4="5인 이상",1.5,1)+L330*IF($S$4="5인 이상",0.5,1),0)</f>
        <v>0</v>
      </c>
      <c r="M331" s="240"/>
      <c r="N331" s="236"/>
      <c r="O331" s="241"/>
      <c r="P331" s="241"/>
      <c r="Q331" s="241"/>
      <c r="R331" s="241"/>
      <c r="S331" s="241"/>
      <c r="T331" s="241"/>
      <c r="U331" s="241"/>
    </row>
    <row r="332" spans="2:21" ht="21.5" customHeight="1">
      <c r="B332" s="225">
        <f>'임금대장 양식'!B332</f>
        <v>0</v>
      </c>
      <c r="C332" s="225" cm="1">
        <f t="array" ref="C332:C333">'임금대장 양식'!C332:C333</f>
        <v>0</v>
      </c>
      <c r="D332" s="225">
        <f>'임금대장 양식'!D332</f>
        <v>0</v>
      </c>
      <c r="E332" s="226">
        <f>'임금대장 양식'!E332</f>
        <v>0</v>
      </c>
      <c r="F332" s="227">
        <f>'임금대장 양식'!F332</f>
        <v>0</v>
      </c>
      <c r="G332" s="228">
        <f t="shared" ref="G332" si="1771">IFERROR((F332)/M332,0)</f>
        <v>0</v>
      </c>
      <c r="H332" s="229">
        <f t="shared" ref="H332:H395" si="1772">IF(F332=0,0,ROUND((8*5)*(365/12/7),0))</f>
        <v>0</v>
      </c>
      <c r="I332" s="229">
        <f t="shared" ref="I332:I395" si="1773">IF(F332=0,0,ROUND(8*365/12/7,0))</f>
        <v>0</v>
      </c>
      <c r="J332" s="230">
        <f>'임금대장 양식'!J332</f>
        <v>0</v>
      </c>
      <c r="K332" s="231">
        <f>'임금대장 양식'!K332</f>
        <v>0</v>
      </c>
      <c r="L332" s="231">
        <f>'임금대장 양식'!L332</f>
        <v>0</v>
      </c>
      <c r="M332" s="232">
        <f t="shared" ref="M332:M395" si="1774">H332+I332+J333+K333+L333</f>
        <v>0</v>
      </c>
      <c r="N332" s="227">
        <f t="shared" ref="N332:N395" si="1775">IF(G332=0,0,G332*(H332+I332)-(R332+S332+T332+U332))</f>
        <v>0</v>
      </c>
      <c r="O332" s="233">
        <f t="shared" ref="O332:O395" si="1776">G332*J333</f>
        <v>0</v>
      </c>
      <c r="P332" s="233">
        <f t="shared" ref="P332:P395" si="1777">G332*K333</f>
        <v>0</v>
      </c>
      <c r="Q332" s="233">
        <f t="shared" ref="Q332:Q395" si="1778">G332*L333</f>
        <v>0</v>
      </c>
      <c r="R332" s="233">
        <f>'임금대장 양식'!R332</f>
        <v>0</v>
      </c>
      <c r="S332" s="233">
        <f>'임금대장 양식'!S332</f>
        <v>0</v>
      </c>
      <c r="T332" s="233">
        <f>'임금대장 양식'!T332</f>
        <v>0</v>
      </c>
      <c r="U332" s="233">
        <f>'임금대장 양식'!U332</f>
        <v>0</v>
      </c>
    </row>
    <row r="333" spans="2:21" ht="21.5" customHeight="1">
      <c r="B333" s="234"/>
      <c r="C333" s="234">
        <v>0</v>
      </c>
      <c r="D333" s="210">
        <f>'임금대장 양식'!D333</f>
        <v>0</v>
      </c>
      <c r="E333" s="235"/>
      <c r="F333" s="236"/>
      <c r="G333" s="237"/>
      <c r="H333" s="238"/>
      <c r="I333" s="238"/>
      <c r="J333" s="239">
        <f t="shared" ref="J333:J396" si="1779">ROUND(J332*(365/12/7)*IF($S$4="5인 이상",1.5,1),0)</f>
        <v>0</v>
      </c>
      <c r="K333" s="239">
        <f t="shared" ref="K333:K396" si="1780">ROUND(K332*IF($S$4="5인 이상",1.5,1),0)</f>
        <v>0</v>
      </c>
      <c r="L333" s="239">
        <f t="shared" ref="L333:L396" si="1781">ROUND(L332*IF($S$4="5인 이상",1.5,1)+L332*IF($S$4="5인 이상",0.5,1),0)</f>
        <v>0</v>
      </c>
      <c r="M333" s="240"/>
      <c r="N333" s="236"/>
      <c r="O333" s="241"/>
      <c r="P333" s="241"/>
      <c r="Q333" s="241"/>
      <c r="R333" s="241"/>
      <c r="S333" s="241"/>
      <c r="T333" s="241"/>
      <c r="U333" s="241"/>
    </row>
    <row r="334" spans="2:21" ht="21.5" customHeight="1">
      <c r="B334" s="225">
        <f>'임금대장 양식'!B334</f>
        <v>0</v>
      </c>
      <c r="C334" s="225" cm="1">
        <f t="array" ref="C334:C335">'임금대장 양식'!C334:C335</f>
        <v>0</v>
      </c>
      <c r="D334" s="225">
        <f>'임금대장 양식'!D334</f>
        <v>0</v>
      </c>
      <c r="E334" s="226">
        <f>'임금대장 양식'!E334</f>
        <v>0</v>
      </c>
      <c r="F334" s="227">
        <f>'임금대장 양식'!F334</f>
        <v>0</v>
      </c>
      <c r="G334" s="228">
        <f t="shared" ref="G334" si="1782">IFERROR((F334)/M334,0)</f>
        <v>0</v>
      </c>
      <c r="H334" s="229">
        <f t="shared" ref="H334:H397" si="1783">IF(F334=0,0,ROUND((8*5)*(365/12/7),0))</f>
        <v>0</v>
      </c>
      <c r="I334" s="229">
        <f t="shared" ref="I334:I397" si="1784">IF(F334=0,0,ROUND(8*365/12/7,0))</f>
        <v>0</v>
      </c>
      <c r="J334" s="230">
        <f>'임금대장 양식'!J334</f>
        <v>0</v>
      </c>
      <c r="K334" s="231">
        <f>'임금대장 양식'!K334</f>
        <v>0</v>
      </c>
      <c r="L334" s="231">
        <f>'임금대장 양식'!L334</f>
        <v>0</v>
      </c>
      <c r="M334" s="232">
        <f t="shared" ref="M334:M397" si="1785">H334+I334+J335+K335+L335</f>
        <v>0</v>
      </c>
      <c r="N334" s="227">
        <f t="shared" ref="N334:N397" si="1786">IF(G334=0,0,G334*(H334+I334)-(R334+S334+T334+U334))</f>
        <v>0</v>
      </c>
      <c r="O334" s="233">
        <f t="shared" ref="O334:O397" si="1787">G334*J335</f>
        <v>0</v>
      </c>
      <c r="P334" s="233">
        <f t="shared" ref="P334:P397" si="1788">G334*K335</f>
        <v>0</v>
      </c>
      <c r="Q334" s="233">
        <f t="shared" ref="Q334:Q397" si="1789">G334*L335</f>
        <v>0</v>
      </c>
      <c r="R334" s="233">
        <f>'임금대장 양식'!R334</f>
        <v>0</v>
      </c>
      <c r="S334" s="233">
        <f>'임금대장 양식'!S334</f>
        <v>0</v>
      </c>
      <c r="T334" s="233">
        <f>'임금대장 양식'!T334</f>
        <v>0</v>
      </c>
      <c r="U334" s="233">
        <f>'임금대장 양식'!U334</f>
        <v>0</v>
      </c>
    </row>
    <row r="335" spans="2:21" ht="21.5" customHeight="1">
      <c r="B335" s="234"/>
      <c r="C335" s="234">
        <v>0</v>
      </c>
      <c r="D335" s="210">
        <f>'임금대장 양식'!D335</f>
        <v>0</v>
      </c>
      <c r="E335" s="235"/>
      <c r="F335" s="236"/>
      <c r="G335" s="237"/>
      <c r="H335" s="238"/>
      <c r="I335" s="238"/>
      <c r="J335" s="239">
        <f t="shared" ref="J335:J398" si="1790">ROUND(J334*(365/12/7)*IF($S$4="5인 이상",1.5,1),0)</f>
        <v>0</v>
      </c>
      <c r="K335" s="239">
        <f t="shared" ref="K335:K398" si="1791">ROUND(K334*IF($S$4="5인 이상",1.5,1),0)</f>
        <v>0</v>
      </c>
      <c r="L335" s="239">
        <f t="shared" ref="L335:L398" si="1792">ROUND(L334*IF($S$4="5인 이상",1.5,1)+L334*IF($S$4="5인 이상",0.5,1),0)</f>
        <v>0</v>
      </c>
      <c r="M335" s="240"/>
      <c r="N335" s="236"/>
      <c r="O335" s="241"/>
      <c r="P335" s="241"/>
      <c r="Q335" s="241"/>
      <c r="R335" s="241"/>
      <c r="S335" s="241"/>
      <c r="T335" s="241"/>
      <c r="U335" s="241"/>
    </row>
    <row r="336" spans="2:21" ht="21.5" customHeight="1">
      <c r="B336" s="225">
        <f>'임금대장 양식'!B336</f>
        <v>0</v>
      </c>
      <c r="C336" s="225" cm="1">
        <f t="array" ref="C336:C337">'임금대장 양식'!C336:C337</f>
        <v>0</v>
      </c>
      <c r="D336" s="225">
        <f>'임금대장 양식'!D336</f>
        <v>0</v>
      </c>
      <c r="E336" s="226">
        <f>'임금대장 양식'!E336</f>
        <v>0</v>
      </c>
      <c r="F336" s="227">
        <f>'임금대장 양식'!F336</f>
        <v>0</v>
      </c>
      <c r="G336" s="228">
        <f t="shared" ref="G336" si="1793">IFERROR((F336)/M336,0)</f>
        <v>0</v>
      </c>
      <c r="H336" s="229">
        <f t="shared" ref="H336:H399" si="1794">IF(F336=0,0,ROUND((8*5)*(365/12/7),0))</f>
        <v>0</v>
      </c>
      <c r="I336" s="229">
        <f t="shared" ref="I336:I399" si="1795">IF(F336=0,0,ROUND(8*365/12/7,0))</f>
        <v>0</v>
      </c>
      <c r="J336" s="230">
        <f>'임금대장 양식'!J336</f>
        <v>0</v>
      </c>
      <c r="K336" s="231">
        <f>'임금대장 양식'!K336</f>
        <v>0</v>
      </c>
      <c r="L336" s="231">
        <f>'임금대장 양식'!L336</f>
        <v>0</v>
      </c>
      <c r="M336" s="232">
        <f t="shared" ref="M336:M399" si="1796">H336+I336+J337+K337+L337</f>
        <v>0</v>
      </c>
      <c r="N336" s="227">
        <f t="shared" ref="N336:N399" si="1797">IF(G336=0,0,G336*(H336+I336)-(R336+S336+T336+U336))</f>
        <v>0</v>
      </c>
      <c r="O336" s="233">
        <f t="shared" ref="O336:O399" si="1798">G336*J337</f>
        <v>0</v>
      </c>
      <c r="P336" s="233">
        <f t="shared" ref="P336:P399" si="1799">G336*K337</f>
        <v>0</v>
      </c>
      <c r="Q336" s="233">
        <f t="shared" ref="Q336:Q399" si="1800">G336*L337</f>
        <v>0</v>
      </c>
      <c r="R336" s="233">
        <f>'임금대장 양식'!R336</f>
        <v>0</v>
      </c>
      <c r="S336" s="233">
        <f>'임금대장 양식'!S336</f>
        <v>0</v>
      </c>
      <c r="T336" s="233">
        <f>'임금대장 양식'!T336</f>
        <v>0</v>
      </c>
      <c r="U336" s="233">
        <f>'임금대장 양식'!U336</f>
        <v>0</v>
      </c>
    </row>
    <row r="337" spans="2:21" ht="21.5" customHeight="1">
      <c r="B337" s="234"/>
      <c r="C337" s="234">
        <v>0</v>
      </c>
      <c r="D337" s="210">
        <f>'임금대장 양식'!D337</f>
        <v>0</v>
      </c>
      <c r="E337" s="235"/>
      <c r="F337" s="236"/>
      <c r="G337" s="237"/>
      <c r="H337" s="238"/>
      <c r="I337" s="238"/>
      <c r="J337" s="239">
        <f t="shared" ref="J337:J400" si="1801">ROUND(J336*(365/12/7)*IF($S$4="5인 이상",1.5,1),0)</f>
        <v>0</v>
      </c>
      <c r="K337" s="239">
        <f t="shared" ref="K337:K400" si="1802">ROUND(K336*IF($S$4="5인 이상",1.5,1),0)</f>
        <v>0</v>
      </c>
      <c r="L337" s="239">
        <f t="shared" ref="L337:L400" si="1803">ROUND(L336*IF($S$4="5인 이상",1.5,1)+L336*IF($S$4="5인 이상",0.5,1),0)</f>
        <v>0</v>
      </c>
      <c r="M337" s="240"/>
      <c r="N337" s="236"/>
      <c r="O337" s="241"/>
      <c r="P337" s="241"/>
      <c r="Q337" s="241"/>
      <c r="R337" s="241"/>
      <c r="S337" s="241"/>
      <c r="T337" s="241"/>
      <c r="U337" s="241"/>
    </row>
    <row r="338" spans="2:21" ht="21.5" customHeight="1">
      <c r="B338" s="225">
        <f>'임금대장 양식'!B338</f>
        <v>0</v>
      </c>
      <c r="C338" s="225" cm="1">
        <f t="array" ref="C338:C339">'임금대장 양식'!C338:C339</f>
        <v>0</v>
      </c>
      <c r="D338" s="225">
        <f>'임금대장 양식'!D338</f>
        <v>0</v>
      </c>
      <c r="E338" s="226">
        <f>'임금대장 양식'!E338</f>
        <v>0</v>
      </c>
      <c r="F338" s="227">
        <f>'임금대장 양식'!F338</f>
        <v>0</v>
      </c>
      <c r="G338" s="228">
        <f t="shared" ref="G338" si="1804">IFERROR((F338)/M338,0)</f>
        <v>0</v>
      </c>
      <c r="H338" s="229">
        <f t="shared" ref="H338:H401" si="1805">IF(F338=0,0,ROUND((8*5)*(365/12/7),0))</f>
        <v>0</v>
      </c>
      <c r="I338" s="229">
        <f t="shared" ref="I338:I401" si="1806">IF(F338=0,0,ROUND(8*365/12/7,0))</f>
        <v>0</v>
      </c>
      <c r="J338" s="230">
        <f>'임금대장 양식'!J338</f>
        <v>0</v>
      </c>
      <c r="K338" s="231">
        <f>'임금대장 양식'!K338</f>
        <v>0</v>
      </c>
      <c r="L338" s="231">
        <f>'임금대장 양식'!L338</f>
        <v>0</v>
      </c>
      <c r="M338" s="232">
        <f t="shared" ref="M338:M401" si="1807">H338+I338+J339+K339+L339</f>
        <v>0</v>
      </c>
      <c r="N338" s="227">
        <f t="shared" ref="N338:N401" si="1808">IF(G338=0,0,G338*(H338+I338)-(R338+S338+T338+U338))</f>
        <v>0</v>
      </c>
      <c r="O338" s="233">
        <f t="shared" ref="O338:O401" si="1809">G338*J339</f>
        <v>0</v>
      </c>
      <c r="P338" s="233">
        <f t="shared" ref="P338:P401" si="1810">G338*K339</f>
        <v>0</v>
      </c>
      <c r="Q338" s="233">
        <f t="shared" ref="Q338:Q401" si="1811">G338*L339</f>
        <v>0</v>
      </c>
      <c r="R338" s="233">
        <f>'임금대장 양식'!R338</f>
        <v>0</v>
      </c>
      <c r="S338" s="233">
        <f>'임금대장 양식'!S338</f>
        <v>0</v>
      </c>
      <c r="T338" s="233">
        <f>'임금대장 양식'!T338</f>
        <v>0</v>
      </c>
      <c r="U338" s="233">
        <f>'임금대장 양식'!U338</f>
        <v>0</v>
      </c>
    </row>
    <row r="339" spans="2:21" ht="21.5" customHeight="1">
      <c r="B339" s="234"/>
      <c r="C339" s="234">
        <v>0</v>
      </c>
      <c r="D339" s="210">
        <f>'임금대장 양식'!D339</f>
        <v>0</v>
      </c>
      <c r="E339" s="235"/>
      <c r="F339" s="236"/>
      <c r="G339" s="237"/>
      <c r="H339" s="238"/>
      <c r="I339" s="238"/>
      <c r="J339" s="239">
        <f t="shared" ref="J339:J402" si="1812">ROUND(J338*(365/12/7)*IF($S$4="5인 이상",1.5,1),0)</f>
        <v>0</v>
      </c>
      <c r="K339" s="239">
        <f t="shared" ref="K339:K402" si="1813">ROUND(K338*IF($S$4="5인 이상",1.5,1),0)</f>
        <v>0</v>
      </c>
      <c r="L339" s="239">
        <f t="shared" ref="L339:L402" si="1814">ROUND(L338*IF($S$4="5인 이상",1.5,1)+L338*IF($S$4="5인 이상",0.5,1),0)</f>
        <v>0</v>
      </c>
      <c r="M339" s="240"/>
      <c r="N339" s="236"/>
      <c r="O339" s="241"/>
      <c r="P339" s="241"/>
      <c r="Q339" s="241"/>
      <c r="R339" s="241"/>
      <c r="S339" s="241"/>
      <c r="T339" s="241"/>
      <c r="U339" s="241"/>
    </row>
    <row r="340" spans="2:21" ht="21.5" customHeight="1">
      <c r="B340" s="225">
        <f>'임금대장 양식'!B340</f>
        <v>0</v>
      </c>
      <c r="C340" s="225" cm="1">
        <f t="array" ref="C340:C341">'임금대장 양식'!C340:C341</f>
        <v>0</v>
      </c>
      <c r="D340" s="225">
        <f>'임금대장 양식'!D340</f>
        <v>0</v>
      </c>
      <c r="E340" s="226">
        <f>'임금대장 양식'!E340</f>
        <v>0</v>
      </c>
      <c r="F340" s="227">
        <f>'임금대장 양식'!F340</f>
        <v>0</v>
      </c>
      <c r="G340" s="228">
        <f t="shared" ref="G340" si="1815">IFERROR((F340)/M340,0)</f>
        <v>0</v>
      </c>
      <c r="H340" s="229">
        <f t="shared" ref="H340:H403" si="1816">IF(F340=0,0,ROUND((8*5)*(365/12/7),0))</f>
        <v>0</v>
      </c>
      <c r="I340" s="229">
        <f t="shared" ref="I340:I403" si="1817">IF(F340=0,0,ROUND(8*365/12/7,0))</f>
        <v>0</v>
      </c>
      <c r="J340" s="230">
        <f>'임금대장 양식'!J340</f>
        <v>0</v>
      </c>
      <c r="K340" s="231">
        <f>'임금대장 양식'!K340</f>
        <v>0</v>
      </c>
      <c r="L340" s="231">
        <f>'임금대장 양식'!L340</f>
        <v>0</v>
      </c>
      <c r="M340" s="232">
        <f t="shared" ref="M340:M403" si="1818">H340+I340+J341+K341+L341</f>
        <v>0</v>
      </c>
      <c r="N340" s="227">
        <f t="shared" ref="N340:N403" si="1819">IF(G340=0,0,G340*(H340+I340)-(R340+S340+T340+U340))</f>
        <v>0</v>
      </c>
      <c r="O340" s="233">
        <f t="shared" ref="O340:O403" si="1820">G340*J341</f>
        <v>0</v>
      </c>
      <c r="P340" s="233">
        <f t="shared" ref="P340:P403" si="1821">G340*K341</f>
        <v>0</v>
      </c>
      <c r="Q340" s="233">
        <f t="shared" ref="Q340:Q403" si="1822">G340*L341</f>
        <v>0</v>
      </c>
      <c r="R340" s="233">
        <f>'임금대장 양식'!R340</f>
        <v>0</v>
      </c>
      <c r="S340" s="233">
        <f>'임금대장 양식'!S340</f>
        <v>0</v>
      </c>
      <c r="T340" s="233">
        <f>'임금대장 양식'!T340</f>
        <v>0</v>
      </c>
      <c r="U340" s="233">
        <f>'임금대장 양식'!U340</f>
        <v>0</v>
      </c>
    </row>
    <row r="341" spans="2:21" ht="21.5" customHeight="1">
      <c r="B341" s="234"/>
      <c r="C341" s="234">
        <v>0</v>
      </c>
      <c r="D341" s="210">
        <f>'임금대장 양식'!D341</f>
        <v>0</v>
      </c>
      <c r="E341" s="235"/>
      <c r="F341" s="236"/>
      <c r="G341" s="237"/>
      <c r="H341" s="238"/>
      <c r="I341" s="238"/>
      <c r="J341" s="239">
        <f t="shared" ref="J341:J404" si="1823">ROUND(J340*(365/12/7)*IF($S$4="5인 이상",1.5,1),0)</f>
        <v>0</v>
      </c>
      <c r="K341" s="239">
        <f t="shared" ref="K341:K404" si="1824">ROUND(K340*IF($S$4="5인 이상",1.5,1),0)</f>
        <v>0</v>
      </c>
      <c r="L341" s="239">
        <f t="shared" ref="L341:L404" si="1825">ROUND(L340*IF($S$4="5인 이상",1.5,1)+L340*IF($S$4="5인 이상",0.5,1),0)</f>
        <v>0</v>
      </c>
      <c r="M341" s="240"/>
      <c r="N341" s="236"/>
      <c r="O341" s="241"/>
      <c r="P341" s="241"/>
      <c r="Q341" s="241"/>
      <c r="R341" s="241"/>
      <c r="S341" s="241"/>
      <c r="T341" s="241"/>
      <c r="U341" s="241"/>
    </row>
    <row r="342" spans="2:21" ht="21.5" customHeight="1">
      <c r="B342" s="225">
        <f>'임금대장 양식'!B342</f>
        <v>0</v>
      </c>
      <c r="C342" s="225" cm="1">
        <f t="array" ref="C342:C343">'임금대장 양식'!C342:C343</f>
        <v>0</v>
      </c>
      <c r="D342" s="225">
        <f>'임금대장 양식'!D342</f>
        <v>0</v>
      </c>
      <c r="E342" s="226">
        <f>'임금대장 양식'!E342</f>
        <v>0</v>
      </c>
      <c r="F342" s="227">
        <f>'임금대장 양식'!F342</f>
        <v>0</v>
      </c>
      <c r="G342" s="228">
        <f t="shared" ref="G342" si="1826">IFERROR((F342)/M342,0)</f>
        <v>0</v>
      </c>
      <c r="H342" s="229">
        <f t="shared" ref="H342:H405" si="1827">IF(F342=0,0,ROUND((8*5)*(365/12/7),0))</f>
        <v>0</v>
      </c>
      <c r="I342" s="229">
        <f t="shared" ref="I342:I405" si="1828">IF(F342=0,0,ROUND(8*365/12/7,0))</f>
        <v>0</v>
      </c>
      <c r="J342" s="230">
        <f>'임금대장 양식'!J342</f>
        <v>0</v>
      </c>
      <c r="K342" s="231">
        <f>'임금대장 양식'!K342</f>
        <v>0</v>
      </c>
      <c r="L342" s="231">
        <f>'임금대장 양식'!L342</f>
        <v>0</v>
      </c>
      <c r="M342" s="232">
        <f t="shared" ref="M342:M405" si="1829">H342+I342+J343+K343+L343</f>
        <v>0</v>
      </c>
      <c r="N342" s="227">
        <f t="shared" ref="N342:N405" si="1830">IF(G342=0,0,G342*(H342+I342)-(R342+S342+T342+U342))</f>
        <v>0</v>
      </c>
      <c r="O342" s="233">
        <f t="shared" ref="O342:O405" si="1831">G342*J343</f>
        <v>0</v>
      </c>
      <c r="P342" s="233">
        <f t="shared" ref="P342:P405" si="1832">G342*K343</f>
        <v>0</v>
      </c>
      <c r="Q342" s="233">
        <f t="shared" ref="Q342:Q405" si="1833">G342*L343</f>
        <v>0</v>
      </c>
      <c r="R342" s="233">
        <f>'임금대장 양식'!R342</f>
        <v>0</v>
      </c>
      <c r="S342" s="233">
        <f>'임금대장 양식'!S342</f>
        <v>0</v>
      </c>
      <c r="T342" s="233">
        <f>'임금대장 양식'!T342</f>
        <v>0</v>
      </c>
      <c r="U342" s="233">
        <f>'임금대장 양식'!U342</f>
        <v>0</v>
      </c>
    </row>
    <row r="343" spans="2:21" ht="21.5" customHeight="1">
      <c r="B343" s="234"/>
      <c r="C343" s="234">
        <v>0</v>
      </c>
      <c r="D343" s="210">
        <f>'임금대장 양식'!D343</f>
        <v>0</v>
      </c>
      <c r="E343" s="235"/>
      <c r="F343" s="236"/>
      <c r="G343" s="237"/>
      <c r="H343" s="238"/>
      <c r="I343" s="238"/>
      <c r="J343" s="239">
        <f t="shared" ref="J343:J406" si="1834">ROUND(J342*(365/12/7)*IF($S$4="5인 이상",1.5,1),0)</f>
        <v>0</v>
      </c>
      <c r="K343" s="239">
        <f t="shared" ref="K343:K406" si="1835">ROUND(K342*IF($S$4="5인 이상",1.5,1),0)</f>
        <v>0</v>
      </c>
      <c r="L343" s="239">
        <f t="shared" ref="L343:L406" si="1836">ROUND(L342*IF($S$4="5인 이상",1.5,1)+L342*IF($S$4="5인 이상",0.5,1),0)</f>
        <v>0</v>
      </c>
      <c r="M343" s="240"/>
      <c r="N343" s="236"/>
      <c r="O343" s="241"/>
      <c r="P343" s="241"/>
      <c r="Q343" s="241"/>
      <c r="R343" s="241"/>
      <c r="S343" s="241"/>
      <c r="T343" s="241"/>
      <c r="U343" s="241"/>
    </row>
    <row r="344" spans="2:21" ht="21.5" customHeight="1">
      <c r="B344" s="225">
        <f>'임금대장 양식'!B344</f>
        <v>0</v>
      </c>
      <c r="C344" s="225" cm="1">
        <f t="array" ref="C344:C345">'임금대장 양식'!C344:C345</f>
        <v>0</v>
      </c>
      <c r="D344" s="225">
        <f>'임금대장 양식'!D344</f>
        <v>0</v>
      </c>
      <c r="E344" s="226">
        <f>'임금대장 양식'!E344</f>
        <v>0</v>
      </c>
      <c r="F344" s="227">
        <f>'임금대장 양식'!F344</f>
        <v>0</v>
      </c>
      <c r="G344" s="228">
        <f t="shared" ref="G344" si="1837">IFERROR((F344)/M344,0)</f>
        <v>0</v>
      </c>
      <c r="H344" s="229">
        <f t="shared" ref="H344:H407" si="1838">IF(F344=0,0,ROUND((8*5)*(365/12/7),0))</f>
        <v>0</v>
      </c>
      <c r="I344" s="229">
        <f t="shared" ref="I344:I407" si="1839">IF(F344=0,0,ROUND(8*365/12/7,0))</f>
        <v>0</v>
      </c>
      <c r="J344" s="230">
        <f>'임금대장 양식'!J344</f>
        <v>0</v>
      </c>
      <c r="K344" s="231">
        <f>'임금대장 양식'!K344</f>
        <v>0</v>
      </c>
      <c r="L344" s="231">
        <f>'임금대장 양식'!L344</f>
        <v>0</v>
      </c>
      <c r="M344" s="232">
        <f t="shared" ref="M344:M407" si="1840">H344+I344+J345+K345+L345</f>
        <v>0</v>
      </c>
      <c r="N344" s="227">
        <f t="shared" ref="N344:N407" si="1841">IF(G344=0,0,G344*(H344+I344)-(R344+S344+T344+U344))</f>
        <v>0</v>
      </c>
      <c r="O344" s="233">
        <f t="shared" ref="O344:O407" si="1842">G344*J345</f>
        <v>0</v>
      </c>
      <c r="P344" s="233">
        <f t="shared" ref="P344:P407" si="1843">G344*K345</f>
        <v>0</v>
      </c>
      <c r="Q344" s="233">
        <f t="shared" ref="Q344:Q407" si="1844">G344*L345</f>
        <v>0</v>
      </c>
      <c r="R344" s="233">
        <f>'임금대장 양식'!R344</f>
        <v>0</v>
      </c>
      <c r="S344" s="233">
        <f>'임금대장 양식'!S344</f>
        <v>0</v>
      </c>
      <c r="T344" s="233">
        <f>'임금대장 양식'!T344</f>
        <v>0</v>
      </c>
      <c r="U344" s="233">
        <f>'임금대장 양식'!U344</f>
        <v>0</v>
      </c>
    </row>
    <row r="345" spans="2:21" ht="21.5" customHeight="1">
      <c r="B345" s="234"/>
      <c r="C345" s="234">
        <v>0</v>
      </c>
      <c r="D345" s="210">
        <f>'임금대장 양식'!D345</f>
        <v>0</v>
      </c>
      <c r="E345" s="235"/>
      <c r="F345" s="236"/>
      <c r="G345" s="237"/>
      <c r="H345" s="238"/>
      <c r="I345" s="238"/>
      <c r="J345" s="239">
        <f t="shared" ref="J345:J408" si="1845">ROUND(J344*(365/12/7)*IF($S$4="5인 이상",1.5,1),0)</f>
        <v>0</v>
      </c>
      <c r="K345" s="239">
        <f t="shared" ref="K345:K408" si="1846">ROUND(K344*IF($S$4="5인 이상",1.5,1),0)</f>
        <v>0</v>
      </c>
      <c r="L345" s="239">
        <f t="shared" ref="L345:L408" si="1847">ROUND(L344*IF($S$4="5인 이상",1.5,1)+L344*IF($S$4="5인 이상",0.5,1),0)</f>
        <v>0</v>
      </c>
      <c r="M345" s="240"/>
      <c r="N345" s="236"/>
      <c r="O345" s="241"/>
      <c r="P345" s="241"/>
      <c r="Q345" s="241"/>
      <c r="R345" s="241"/>
      <c r="S345" s="241"/>
      <c r="T345" s="241"/>
      <c r="U345" s="241"/>
    </row>
    <row r="346" spans="2:21" ht="21.5" customHeight="1">
      <c r="B346" s="225">
        <f>'임금대장 양식'!B346</f>
        <v>0</v>
      </c>
      <c r="C346" s="225" cm="1">
        <f t="array" ref="C346:C347">'임금대장 양식'!C346:C347</f>
        <v>0</v>
      </c>
      <c r="D346" s="225">
        <f>'임금대장 양식'!D346</f>
        <v>0</v>
      </c>
      <c r="E346" s="226">
        <f>'임금대장 양식'!E346</f>
        <v>0</v>
      </c>
      <c r="F346" s="227">
        <f>'임금대장 양식'!F346</f>
        <v>0</v>
      </c>
      <c r="G346" s="228">
        <f t="shared" ref="G346" si="1848">IFERROR((F346)/M346,0)</f>
        <v>0</v>
      </c>
      <c r="H346" s="229">
        <f t="shared" ref="H346:H409" si="1849">IF(F346=0,0,ROUND((8*5)*(365/12/7),0))</f>
        <v>0</v>
      </c>
      <c r="I346" s="229">
        <f t="shared" ref="I346:I409" si="1850">IF(F346=0,0,ROUND(8*365/12/7,0))</f>
        <v>0</v>
      </c>
      <c r="J346" s="230">
        <f>'임금대장 양식'!J346</f>
        <v>0</v>
      </c>
      <c r="K346" s="231">
        <f>'임금대장 양식'!K346</f>
        <v>0</v>
      </c>
      <c r="L346" s="231">
        <f>'임금대장 양식'!L346</f>
        <v>0</v>
      </c>
      <c r="M346" s="232">
        <f t="shared" ref="M346:M409" si="1851">H346+I346+J347+K347+L347</f>
        <v>0</v>
      </c>
      <c r="N346" s="227">
        <f t="shared" ref="N346:N409" si="1852">IF(G346=0,0,G346*(H346+I346)-(R346+S346+T346+U346))</f>
        <v>0</v>
      </c>
      <c r="O346" s="233">
        <f t="shared" ref="O346:O409" si="1853">G346*J347</f>
        <v>0</v>
      </c>
      <c r="P346" s="233">
        <f t="shared" ref="P346:P409" si="1854">G346*K347</f>
        <v>0</v>
      </c>
      <c r="Q346" s="233">
        <f t="shared" ref="Q346:Q409" si="1855">G346*L347</f>
        <v>0</v>
      </c>
      <c r="R346" s="233">
        <f>'임금대장 양식'!R346</f>
        <v>0</v>
      </c>
      <c r="S346" s="233">
        <f>'임금대장 양식'!S346</f>
        <v>0</v>
      </c>
      <c r="T346" s="233">
        <f>'임금대장 양식'!T346</f>
        <v>0</v>
      </c>
      <c r="U346" s="233">
        <f>'임금대장 양식'!U346</f>
        <v>0</v>
      </c>
    </row>
    <row r="347" spans="2:21" ht="21.5" customHeight="1">
      <c r="B347" s="234"/>
      <c r="C347" s="234">
        <v>0</v>
      </c>
      <c r="D347" s="210">
        <f>'임금대장 양식'!D347</f>
        <v>0</v>
      </c>
      <c r="E347" s="235"/>
      <c r="F347" s="236"/>
      <c r="G347" s="237"/>
      <c r="H347" s="238"/>
      <c r="I347" s="238"/>
      <c r="J347" s="239">
        <f t="shared" ref="J347:J410" si="1856">ROUND(J346*(365/12/7)*IF($S$4="5인 이상",1.5,1),0)</f>
        <v>0</v>
      </c>
      <c r="K347" s="239">
        <f t="shared" ref="K347:K410" si="1857">ROUND(K346*IF($S$4="5인 이상",1.5,1),0)</f>
        <v>0</v>
      </c>
      <c r="L347" s="239">
        <f t="shared" ref="L347:L410" si="1858">ROUND(L346*IF($S$4="5인 이상",1.5,1)+L346*IF($S$4="5인 이상",0.5,1),0)</f>
        <v>0</v>
      </c>
      <c r="M347" s="240"/>
      <c r="N347" s="236"/>
      <c r="O347" s="241"/>
      <c r="P347" s="241"/>
      <c r="Q347" s="241"/>
      <c r="R347" s="241"/>
      <c r="S347" s="241"/>
      <c r="T347" s="241"/>
      <c r="U347" s="241"/>
    </row>
    <row r="348" spans="2:21" ht="21.5" customHeight="1">
      <c r="B348" s="225">
        <f>'임금대장 양식'!B348</f>
        <v>0</v>
      </c>
      <c r="C348" s="225" cm="1">
        <f t="array" ref="C348:C349">'임금대장 양식'!C348:C349</f>
        <v>0</v>
      </c>
      <c r="D348" s="225">
        <f>'임금대장 양식'!D348</f>
        <v>0</v>
      </c>
      <c r="E348" s="226">
        <f>'임금대장 양식'!E348</f>
        <v>0</v>
      </c>
      <c r="F348" s="227">
        <f>'임금대장 양식'!F348</f>
        <v>0</v>
      </c>
      <c r="G348" s="228">
        <f t="shared" ref="G348" si="1859">IFERROR((F348)/M348,0)</f>
        <v>0</v>
      </c>
      <c r="H348" s="229">
        <f t="shared" ref="H348:H411" si="1860">IF(F348=0,0,ROUND((8*5)*(365/12/7),0))</f>
        <v>0</v>
      </c>
      <c r="I348" s="229">
        <f t="shared" ref="I348:I411" si="1861">IF(F348=0,0,ROUND(8*365/12/7,0))</f>
        <v>0</v>
      </c>
      <c r="J348" s="230">
        <f>'임금대장 양식'!J348</f>
        <v>0</v>
      </c>
      <c r="K348" s="231">
        <f>'임금대장 양식'!K348</f>
        <v>0</v>
      </c>
      <c r="L348" s="231">
        <f>'임금대장 양식'!L348</f>
        <v>0</v>
      </c>
      <c r="M348" s="232">
        <f t="shared" ref="M348:M411" si="1862">H348+I348+J349+K349+L349</f>
        <v>0</v>
      </c>
      <c r="N348" s="227">
        <f t="shared" ref="N348:N411" si="1863">IF(G348=0,0,G348*(H348+I348)-(R348+S348+T348+U348))</f>
        <v>0</v>
      </c>
      <c r="O348" s="233">
        <f t="shared" ref="O348:O411" si="1864">G348*J349</f>
        <v>0</v>
      </c>
      <c r="P348" s="233">
        <f t="shared" ref="P348:P411" si="1865">G348*K349</f>
        <v>0</v>
      </c>
      <c r="Q348" s="233">
        <f t="shared" ref="Q348:Q411" si="1866">G348*L349</f>
        <v>0</v>
      </c>
      <c r="R348" s="233">
        <f>'임금대장 양식'!R348</f>
        <v>0</v>
      </c>
      <c r="S348" s="233">
        <f>'임금대장 양식'!S348</f>
        <v>0</v>
      </c>
      <c r="T348" s="233">
        <f>'임금대장 양식'!T348</f>
        <v>0</v>
      </c>
      <c r="U348" s="233">
        <f>'임금대장 양식'!U348</f>
        <v>0</v>
      </c>
    </row>
    <row r="349" spans="2:21" ht="21.5" customHeight="1">
      <c r="B349" s="234"/>
      <c r="C349" s="234">
        <v>0</v>
      </c>
      <c r="D349" s="210">
        <f>'임금대장 양식'!D349</f>
        <v>0</v>
      </c>
      <c r="E349" s="235"/>
      <c r="F349" s="236"/>
      <c r="G349" s="237"/>
      <c r="H349" s="238"/>
      <c r="I349" s="238"/>
      <c r="J349" s="239">
        <f t="shared" ref="J349:J412" si="1867">ROUND(J348*(365/12/7)*IF($S$4="5인 이상",1.5,1),0)</f>
        <v>0</v>
      </c>
      <c r="K349" s="239">
        <f t="shared" ref="K349:K412" si="1868">ROUND(K348*IF($S$4="5인 이상",1.5,1),0)</f>
        <v>0</v>
      </c>
      <c r="L349" s="239">
        <f t="shared" ref="L349:L412" si="1869">ROUND(L348*IF($S$4="5인 이상",1.5,1)+L348*IF($S$4="5인 이상",0.5,1),0)</f>
        <v>0</v>
      </c>
      <c r="M349" s="240"/>
      <c r="N349" s="236"/>
      <c r="O349" s="241"/>
      <c r="P349" s="241"/>
      <c r="Q349" s="241"/>
      <c r="R349" s="241"/>
      <c r="S349" s="241"/>
      <c r="T349" s="241"/>
      <c r="U349" s="241"/>
    </row>
    <row r="350" spans="2:21" ht="21.5" customHeight="1">
      <c r="B350" s="225">
        <f>'임금대장 양식'!B350</f>
        <v>0</v>
      </c>
      <c r="C350" s="225" cm="1">
        <f t="array" ref="C350:C351">'임금대장 양식'!C350:C351</f>
        <v>0</v>
      </c>
      <c r="D350" s="225">
        <f>'임금대장 양식'!D350</f>
        <v>0</v>
      </c>
      <c r="E350" s="226">
        <f>'임금대장 양식'!E350</f>
        <v>0</v>
      </c>
      <c r="F350" s="227">
        <f>'임금대장 양식'!F350</f>
        <v>0</v>
      </c>
      <c r="G350" s="228">
        <f t="shared" ref="G350" si="1870">IFERROR((F350)/M350,0)</f>
        <v>0</v>
      </c>
      <c r="H350" s="229">
        <f t="shared" ref="H350:H413" si="1871">IF(F350=0,0,ROUND((8*5)*(365/12/7),0))</f>
        <v>0</v>
      </c>
      <c r="I350" s="229">
        <f t="shared" ref="I350:I413" si="1872">IF(F350=0,0,ROUND(8*365/12/7,0))</f>
        <v>0</v>
      </c>
      <c r="J350" s="230">
        <f>'임금대장 양식'!J350</f>
        <v>0</v>
      </c>
      <c r="K350" s="231">
        <f>'임금대장 양식'!K350</f>
        <v>0</v>
      </c>
      <c r="L350" s="231">
        <f>'임금대장 양식'!L350</f>
        <v>0</v>
      </c>
      <c r="M350" s="232">
        <f t="shared" ref="M350:M413" si="1873">H350+I350+J351+K351+L351</f>
        <v>0</v>
      </c>
      <c r="N350" s="227">
        <f t="shared" ref="N350:N413" si="1874">IF(G350=0,0,G350*(H350+I350)-(R350+S350+T350+U350))</f>
        <v>0</v>
      </c>
      <c r="O350" s="233">
        <f t="shared" ref="O350:O413" si="1875">G350*J351</f>
        <v>0</v>
      </c>
      <c r="P350" s="233">
        <f t="shared" ref="P350:P413" si="1876">G350*K351</f>
        <v>0</v>
      </c>
      <c r="Q350" s="233">
        <f t="shared" ref="Q350:Q413" si="1877">G350*L351</f>
        <v>0</v>
      </c>
      <c r="R350" s="233">
        <f>'임금대장 양식'!R350</f>
        <v>0</v>
      </c>
      <c r="S350" s="233">
        <f>'임금대장 양식'!S350</f>
        <v>0</v>
      </c>
      <c r="T350" s="233">
        <f>'임금대장 양식'!T350</f>
        <v>0</v>
      </c>
      <c r="U350" s="233">
        <f>'임금대장 양식'!U350</f>
        <v>0</v>
      </c>
    </row>
    <row r="351" spans="2:21" ht="21.5" customHeight="1">
      <c r="B351" s="234"/>
      <c r="C351" s="234">
        <v>0</v>
      </c>
      <c r="D351" s="210">
        <f>'임금대장 양식'!D351</f>
        <v>0</v>
      </c>
      <c r="E351" s="235"/>
      <c r="F351" s="236"/>
      <c r="G351" s="237"/>
      <c r="H351" s="238"/>
      <c r="I351" s="238"/>
      <c r="J351" s="239">
        <f t="shared" ref="J351:J414" si="1878">ROUND(J350*(365/12/7)*IF($S$4="5인 이상",1.5,1),0)</f>
        <v>0</v>
      </c>
      <c r="K351" s="239">
        <f t="shared" ref="K351:K414" si="1879">ROUND(K350*IF($S$4="5인 이상",1.5,1),0)</f>
        <v>0</v>
      </c>
      <c r="L351" s="239">
        <f t="shared" ref="L351:L414" si="1880">ROUND(L350*IF($S$4="5인 이상",1.5,1)+L350*IF($S$4="5인 이상",0.5,1),0)</f>
        <v>0</v>
      </c>
      <c r="M351" s="240"/>
      <c r="N351" s="236"/>
      <c r="O351" s="241"/>
      <c r="P351" s="241"/>
      <c r="Q351" s="241"/>
      <c r="R351" s="241"/>
      <c r="S351" s="241"/>
      <c r="T351" s="241"/>
      <c r="U351" s="241"/>
    </row>
    <row r="352" spans="2:21" ht="21.5" customHeight="1">
      <c r="B352" s="225">
        <f>'임금대장 양식'!B352</f>
        <v>0</v>
      </c>
      <c r="C352" s="225" cm="1">
        <f t="array" ref="C352:C353">'임금대장 양식'!C352:C353</f>
        <v>0</v>
      </c>
      <c r="D352" s="225">
        <f>'임금대장 양식'!D352</f>
        <v>0</v>
      </c>
      <c r="E352" s="226">
        <f>'임금대장 양식'!E352</f>
        <v>0</v>
      </c>
      <c r="F352" s="227">
        <f>'임금대장 양식'!F352</f>
        <v>0</v>
      </c>
      <c r="G352" s="228">
        <f t="shared" ref="G352" si="1881">IFERROR((F352)/M352,0)</f>
        <v>0</v>
      </c>
      <c r="H352" s="229">
        <f t="shared" ref="H352:H415" si="1882">IF(F352=0,0,ROUND((8*5)*(365/12/7),0))</f>
        <v>0</v>
      </c>
      <c r="I352" s="229">
        <f t="shared" ref="I352:I415" si="1883">IF(F352=0,0,ROUND(8*365/12/7,0))</f>
        <v>0</v>
      </c>
      <c r="J352" s="230">
        <f>'임금대장 양식'!J352</f>
        <v>0</v>
      </c>
      <c r="K352" s="231">
        <f>'임금대장 양식'!K352</f>
        <v>0</v>
      </c>
      <c r="L352" s="231">
        <f>'임금대장 양식'!L352</f>
        <v>0</v>
      </c>
      <c r="M352" s="232">
        <f t="shared" ref="M352:M415" si="1884">H352+I352+J353+K353+L353</f>
        <v>0</v>
      </c>
      <c r="N352" s="227">
        <f t="shared" ref="N352:N415" si="1885">IF(G352=0,0,G352*(H352+I352)-(R352+S352+T352+U352))</f>
        <v>0</v>
      </c>
      <c r="O352" s="233">
        <f t="shared" ref="O352:O415" si="1886">G352*J353</f>
        <v>0</v>
      </c>
      <c r="P352" s="233">
        <f t="shared" ref="P352:P415" si="1887">G352*K353</f>
        <v>0</v>
      </c>
      <c r="Q352" s="233">
        <f t="shared" ref="Q352:Q415" si="1888">G352*L353</f>
        <v>0</v>
      </c>
      <c r="R352" s="233">
        <f>'임금대장 양식'!R352</f>
        <v>0</v>
      </c>
      <c r="S352" s="233">
        <f>'임금대장 양식'!S352</f>
        <v>0</v>
      </c>
      <c r="T352" s="233">
        <f>'임금대장 양식'!T352</f>
        <v>0</v>
      </c>
      <c r="U352" s="233">
        <f>'임금대장 양식'!U352</f>
        <v>0</v>
      </c>
    </row>
    <row r="353" spans="2:21" ht="21.5" customHeight="1">
      <c r="B353" s="234"/>
      <c r="C353" s="234">
        <v>0</v>
      </c>
      <c r="D353" s="210">
        <f>'임금대장 양식'!D353</f>
        <v>0</v>
      </c>
      <c r="E353" s="235"/>
      <c r="F353" s="236"/>
      <c r="G353" s="237"/>
      <c r="H353" s="238"/>
      <c r="I353" s="238"/>
      <c r="J353" s="239">
        <f t="shared" ref="J353:J416" si="1889">ROUND(J352*(365/12/7)*IF($S$4="5인 이상",1.5,1),0)</f>
        <v>0</v>
      </c>
      <c r="K353" s="239">
        <f t="shared" ref="K353:K416" si="1890">ROUND(K352*IF($S$4="5인 이상",1.5,1),0)</f>
        <v>0</v>
      </c>
      <c r="L353" s="239">
        <f t="shared" ref="L353:L416" si="1891">ROUND(L352*IF($S$4="5인 이상",1.5,1)+L352*IF($S$4="5인 이상",0.5,1),0)</f>
        <v>0</v>
      </c>
      <c r="M353" s="240"/>
      <c r="N353" s="236"/>
      <c r="O353" s="241"/>
      <c r="P353" s="241"/>
      <c r="Q353" s="241"/>
      <c r="R353" s="241"/>
      <c r="S353" s="241"/>
      <c r="T353" s="241"/>
      <c r="U353" s="241"/>
    </row>
    <row r="354" spans="2:21" ht="21.5" customHeight="1">
      <c r="B354" s="225">
        <f>'임금대장 양식'!B354</f>
        <v>0</v>
      </c>
      <c r="C354" s="225" cm="1">
        <f t="array" ref="C354:C355">'임금대장 양식'!C354:C355</f>
        <v>0</v>
      </c>
      <c r="D354" s="225">
        <f>'임금대장 양식'!D354</f>
        <v>0</v>
      </c>
      <c r="E354" s="226">
        <f>'임금대장 양식'!E354</f>
        <v>0</v>
      </c>
      <c r="F354" s="227">
        <f>'임금대장 양식'!F354</f>
        <v>0</v>
      </c>
      <c r="G354" s="228">
        <f t="shared" ref="G354" si="1892">IFERROR((F354)/M354,0)</f>
        <v>0</v>
      </c>
      <c r="H354" s="229">
        <f t="shared" ref="H354:H417" si="1893">IF(F354=0,0,ROUND((8*5)*(365/12/7),0))</f>
        <v>0</v>
      </c>
      <c r="I354" s="229">
        <f t="shared" ref="I354:I417" si="1894">IF(F354=0,0,ROUND(8*365/12/7,0))</f>
        <v>0</v>
      </c>
      <c r="J354" s="230">
        <f>'임금대장 양식'!J354</f>
        <v>0</v>
      </c>
      <c r="K354" s="231">
        <f>'임금대장 양식'!K354</f>
        <v>0</v>
      </c>
      <c r="L354" s="231">
        <f>'임금대장 양식'!L354</f>
        <v>0</v>
      </c>
      <c r="M354" s="232">
        <f t="shared" ref="M354:M417" si="1895">H354+I354+J355+K355+L355</f>
        <v>0</v>
      </c>
      <c r="N354" s="227">
        <f t="shared" ref="N354:N417" si="1896">IF(G354=0,0,G354*(H354+I354)-(R354+S354+T354+U354))</f>
        <v>0</v>
      </c>
      <c r="O354" s="233">
        <f t="shared" ref="O354:O417" si="1897">G354*J355</f>
        <v>0</v>
      </c>
      <c r="P354" s="233">
        <f t="shared" ref="P354:P417" si="1898">G354*K355</f>
        <v>0</v>
      </c>
      <c r="Q354" s="233">
        <f t="shared" ref="Q354:Q417" si="1899">G354*L355</f>
        <v>0</v>
      </c>
      <c r="R354" s="233">
        <f>'임금대장 양식'!R354</f>
        <v>0</v>
      </c>
      <c r="S354" s="233">
        <f>'임금대장 양식'!S354</f>
        <v>0</v>
      </c>
      <c r="T354" s="233">
        <f>'임금대장 양식'!T354</f>
        <v>0</v>
      </c>
      <c r="U354" s="233">
        <f>'임금대장 양식'!U354</f>
        <v>0</v>
      </c>
    </row>
    <row r="355" spans="2:21" ht="21.5" customHeight="1">
      <c r="B355" s="234"/>
      <c r="C355" s="234">
        <v>0</v>
      </c>
      <c r="D355" s="210">
        <f>'임금대장 양식'!D355</f>
        <v>0</v>
      </c>
      <c r="E355" s="235"/>
      <c r="F355" s="236"/>
      <c r="G355" s="237"/>
      <c r="H355" s="238"/>
      <c r="I355" s="238"/>
      <c r="J355" s="239">
        <f t="shared" ref="J355:J418" si="1900">ROUND(J354*(365/12/7)*IF($S$4="5인 이상",1.5,1),0)</f>
        <v>0</v>
      </c>
      <c r="K355" s="239">
        <f t="shared" ref="K355:K418" si="1901">ROUND(K354*IF($S$4="5인 이상",1.5,1),0)</f>
        <v>0</v>
      </c>
      <c r="L355" s="239">
        <f t="shared" ref="L355:L418" si="1902">ROUND(L354*IF($S$4="5인 이상",1.5,1)+L354*IF($S$4="5인 이상",0.5,1),0)</f>
        <v>0</v>
      </c>
      <c r="M355" s="240"/>
      <c r="N355" s="236"/>
      <c r="O355" s="241"/>
      <c r="P355" s="241"/>
      <c r="Q355" s="241"/>
      <c r="R355" s="241"/>
      <c r="S355" s="241"/>
      <c r="T355" s="241"/>
      <c r="U355" s="241"/>
    </row>
    <row r="356" spans="2:21" ht="21.5" customHeight="1">
      <c r="B356" s="225">
        <f>'임금대장 양식'!B356</f>
        <v>0</v>
      </c>
      <c r="C356" s="225" cm="1">
        <f t="array" ref="C356:C357">'임금대장 양식'!C356:C357</f>
        <v>0</v>
      </c>
      <c r="D356" s="225">
        <f>'임금대장 양식'!D356</f>
        <v>0</v>
      </c>
      <c r="E356" s="226">
        <f>'임금대장 양식'!E356</f>
        <v>0</v>
      </c>
      <c r="F356" s="227">
        <f>'임금대장 양식'!F356</f>
        <v>0</v>
      </c>
      <c r="G356" s="228">
        <f t="shared" ref="G356" si="1903">IFERROR((F356)/M356,0)</f>
        <v>0</v>
      </c>
      <c r="H356" s="229">
        <f t="shared" ref="H356:H419" si="1904">IF(F356=0,0,ROUND((8*5)*(365/12/7),0))</f>
        <v>0</v>
      </c>
      <c r="I356" s="229">
        <f t="shared" ref="I356:I419" si="1905">IF(F356=0,0,ROUND(8*365/12/7,0))</f>
        <v>0</v>
      </c>
      <c r="J356" s="230">
        <f>'임금대장 양식'!J356</f>
        <v>0</v>
      </c>
      <c r="K356" s="231">
        <f>'임금대장 양식'!K356</f>
        <v>0</v>
      </c>
      <c r="L356" s="231">
        <f>'임금대장 양식'!L356</f>
        <v>0</v>
      </c>
      <c r="M356" s="232">
        <f t="shared" ref="M356:M419" si="1906">H356+I356+J357+K357+L357</f>
        <v>0</v>
      </c>
      <c r="N356" s="227">
        <f t="shared" ref="N356:N419" si="1907">IF(G356=0,0,G356*(H356+I356)-(R356+S356+T356+U356))</f>
        <v>0</v>
      </c>
      <c r="O356" s="233">
        <f t="shared" ref="O356:O419" si="1908">G356*J357</f>
        <v>0</v>
      </c>
      <c r="P356" s="233">
        <f t="shared" ref="P356:P419" si="1909">G356*K357</f>
        <v>0</v>
      </c>
      <c r="Q356" s="233">
        <f t="shared" ref="Q356:Q419" si="1910">G356*L357</f>
        <v>0</v>
      </c>
      <c r="R356" s="233">
        <f>'임금대장 양식'!R356</f>
        <v>0</v>
      </c>
      <c r="S356" s="233">
        <f>'임금대장 양식'!S356</f>
        <v>0</v>
      </c>
      <c r="T356" s="233">
        <f>'임금대장 양식'!T356</f>
        <v>0</v>
      </c>
      <c r="U356" s="233">
        <f>'임금대장 양식'!U356</f>
        <v>0</v>
      </c>
    </row>
    <row r="357" spans="2:21" ht="21.5" customHeight="1">
      <c r="B357" s="234"/>
      <c r="C357" s="234">
        <v>0</v>
      </c>
      <c r="D357" s="210">
        <f>'임금대장 양식'!D357</f>
        <v>0</v>
      </c>
      <c r="E357" s="235"/>
      <c r="F357" s="236"/>
      <c r="G357" s="237"/>
      <c r="H357" s="238"/>
      <c r="I357" s="238"/>
      <c r="J357" s="239">
        <f t="shared" ref="J357:J420" si="1911">ROUND(J356*(365/12/7)*IF($S$4="5인 이상",1.5,1),0)</f>
        <v>0</v>
      </c>
      <c r="K357" s="239">
        <f t="shared" ref="K357:K420" si="1912">ROUND(K356*IF($S$4="5인 이상",1.5,1),0)</f>
        <v>0</v>
      </c>
      <c r="L357" s="239">
        <f t="shared" ref="L357:L420" si="1913">ROUND(L356*IF($S$4="5인 이상",1.5,1)+L356*IF($S$4="5인 이상",0.5,1),0)</f>
        <v>0</v>
      </c>
      <c r="M357" s="240"/>
      <c r="N357" s="236"/>
      <c r="O357" s="241"/>
      <c r="P357" s="241"/>
      <c r="Q357" s="241"/>
      <c r="R357" s="241"/>
      <c r="S357" s="241"/>
      <c r="T357" s="241"/>
      <c r="U357" s="241"/>
    </row>
    <row r="358" spans="2:21" ht="21.5" customHeight="1">
      <c r="B358" s="225">
        <f>'임금대장 양식'!B358</f>
        <v>0</v>
      </c>
      <c r="C358" s="225" cm="1">
        <f t="array" ref="C358:C359">'임금대장 양식'!C358:C359</f>
        <v>0</v>
      </c>
      <c r="D358" s="225">
        <f>'임금대장 양식'!D358</f>
        <v>0</v>
      </c>
      <c r="E358" s="226">
        <f>'임금대장 양식'!E358</f>
        <v>0</v>
      </c>
      <c r="F358" s="227">
        <f>'임금대장 양식'!F358</f>
        <v>0</v>
      </c>
      <c r="G358" s="228">
        <f t="shared" ref="G358" si="1914">IFERROR((F358)/M358,0)</f>
        <v>0</v>
      </c>
      <c r="H358" s="229">
        <f t="shared" ref="H358:H421" si="1915">IF(F358=0,0,ROUND((8*5)*(365/12/7),0))</f>
        <v>0</v>
      </c>
      <c r="I358" s="229">
        <f t="shared" ref="I358:I421" si="1916">IF(F358=0,0,ROUND(8*365/12/7,0))</f>
        <v>0</v>
      </c>
      <c r="J358" s="230">
        <f>'임금대장 양식'!J358</f>
        <v>0</v>
      </c>
      <c r="K358" s="231">
        <f>'임금대장 양식'!K358</f>
        <v>0</v>
      </c>
      <c r="L358" s="231">
        <f>'임금대장 양식'!L358</f>
        <v>0</v>
      </c>
      <c r="M358" s="232">
        <f t="shared" ref="M358:M421" si="1917">H358+I358+J359+K359+L359</f>
        <v>0</v>
      </c>
      <c r="N358" s="227">
        <f t="shared" ref="N358:N421" si="1918">IF(G358=0,0,G358*(H358+I358)-(R358+S358+T358+U358))</f>
        <v>0</v>
      </c>
      <c r="O358" s="233">
        <f t="shared" ref="O358:O421" si="1919">G358*J359</f>
        <v>0</v>
      </c>
      <c r="P358" s="233">
        <f t="shared" ref="P358:P421" si="1920">G358*K359</f>
        <v>0</v>
      </c>
      <c r="Q358" s="233">
        <f t="shared" ref="Q358:Q421" si="1921">G358*L359</f>
        <v>0</v>
      </c>
      <c r="R358" s="233">
        <f>'임금대장 양식'!R358</f>
        <v>0</v>
      </c>
      <c r="S358" s="233">
        <f>'임금대장 양식'!S358</f>
        <v>0</v>
      </c>
      <c r="T358" s="233">
        <f>'임금대장 양식'!T358</f>
        <v>0</v>
      </c>
      <c r="U358" s="233">
        <f>'임금대장 양식'!U358</f>
        <v>0</v>
      </c>
    </row>
    <row r="359" spans="2:21" ht="21.5" customHeight="1">
      <c r="B359" s="234"/>
      <c r="C359" s="234">
        <v>0</v>
      </c>
      <c r="D359" s="210">
        <f>'임금대장 양식'!D359</f>
        <v>0</v>
      </c>
      <c r="E359" s="235"/>
      <c r="F359" s="236"/>
      <c r="G359" s="237"/>
      <c r="H359" s="238"/>
      <c r="I359" s="238"/>
      <c r="J359" s="239">
        <f t="shared" ref="J359:J422" si="1922">ROUND(J358*(365/12/7)*IF($S$4="5인 이상",1.5,1),0)</f>
        <v>0</v>
      </c>
      <c r="K359" s="239">
        <f t="shared" ref="K359:K422" si="1923">ROUND(K358*IF($S$4="5인 이상",1.5,1),0)</f>
        <v>0</v>
      </c>
      <c r="L359" s="239">
        <f t="shared" ref="L359:L422" si="1924">ROUND(L358*IF($S$4="5인 이상",1.5,1)+L358*IF($S$4="5인 이상",0.5,1),0)</f>
        <v>0</v>
      </c>
      <c r="M359" s="240"/>
      <c r="N359" s="236"/>
      <c r="O359" s="241"/>
      <c r="P359" s="241"/>
      <c r="Q359" s="241"/>
      <c r="R359" s="241"/>
      <c r="S359" s="241"/>
      <c r="T359" s="241"/>
      <c r="U359" s="241"/>
    </row>
    <row r="360" spans="2:21" ht="21.5" customHeight="1">
      <c r="B360" s="225">
        <f>'임금대장 양식'!B360</f>
        <v>0</v>
      </c>
      <c r="C360" s="225" cm="1">
        <f t="array" ref="C360:C361">'임금대장 양식'!C360:C361</f>
        <v>0</v>
      </c>
      <c r="D360" s="225">
        <f>'임금대장 양식'!D360</f>
        <v>0</v>
      </c>
      <c r="E360" s="226">
        <f>'임금대장 양식'!E360</f>
        <v>0</v>
      </c>
      <c r="F360" s="227">
        <f>'임금대장 양식'!F360</f>
        <v>0</v>
      </c>
      <c r="G360" s="228">
        <f t="shared" ref="G360" si="1925">IFERROR((F360)/M360,0)</f>
        <v>0</v>
      </c>
      <c r="H360" s="229">
        <f t="shared" ref="H360:H423" si="1926">IF(F360=0,0,ROUND((8*5)*(365/12/7),0))</f>
        <v>0</v>
      </c>
      <c r="I360" s="229">
        <f t="shared" ref="I360:I423" si="1927">IF(F360=0,0,ROUND(8*365/12/7,0))</f>
        <v>0</v>
      </c>
      <c r="J360" s="230">
        <f>'임금대장 양식'!J360</f>
        <v>0</v>
      </c>
      <c r="K360" s="231">
        <f>'임금대장 양식'!K360</f>
        <v>0</v>
      </c>
      <c r="L360" s="231">
        <f>'임금대장 양식'!L360</f>
        <v>0</v>
      </c>
      <c r="M360" s="232">
        <f t="shared" ref="M360:M423" si="1928">H360+I360+J361+K361+L361</f>
        <v>0</v>
      </c>
      <c r="N360" s="227">
        <f t="shared" ref="N360:N423" si="1929">IF(G360=0,0,G360*(H360+I360)-(R360+S360+T360+U360))</f>
        <v>0</v>
      </c>
      <c r="O360" s="233">
        <f t="shared" ref="O360:O423" si="1930">G360*J361</f>
        <v>0</v>
      </c>
      <c r="P360" s="233">
        <f t="shared" ref="P360:P423" si="1931">G360*K361</f>
        <v>0</v>
      </c>
      <c r="Q360" s="233">
        <f t="shared" ref="Q360:Q423" si="1932">G360*L361</f>
        <v>0</v>
      </c>
      <c r="R360" s="233">
        <f>'임금대장 양식'!R360</f>
        <v>0</v>
      </c>
      <c r="S360" s="233">
        <f>'임금대장 양식'!S360</f>
        <v>0</v>
      </c>
      <c r="T360" s="233">
        <f>'임금대장 양식'!T360</f>
        <v>0</v>
      </c>
      <c r="U360" s="233">
        <f>'임금대장 양식'!U360</f>
        <v>0</v>
      </c>
    </row>
    <row r="361" spans="2:21" ht="21.5" customHeight="1">
      <c r="B361" s="234"/>
      <c r="C361" s="234">
        <v>0</v>
      </c>
      <c r="D361" s="210">
        <f>'임금대장 양식'!D361</f>
        <v>0</v>
      </c>
      <c r="E361" s="235"/>
      <c r="F361" s="236"/>
      <c r="G361" s="237"/>
      <c r="H361" s="238"/>
      <c r="I361" s="238"/>
      <c r="J361" s="239">
        <f t="shared" ref="J361:J424" si="1933">ROUND(J360*(365/12/7)*IF($S$4="5인 이상",1.5,1),0)</f>
        <v>0</v>
      </c>
      <c r="K361" s="239">
        <f t="shared" ref="K361:K424" si="1934">ROUND(K360*IF($S$4="5인 이상",1.5,1),0)</f>
        <v>0</v>
      </c>
      <c r="L361" s="239">
        <f t="shared" ref="L361:L424" si="1935">ROUND(L360*IF($S$4="5인 이상",1.5,1)+L360*IF($S$4="5인 이상",0.5,1),0)</f>
        <v>0</v>
      </c>
      <c r="M361" s="240"/>
      <c r="N361" s="236"/>
      <c r="O361" s="241"/>
      <c r="P361" s="241"/>
      <c r="Q361" s="241"/>
      <c r="R361" s="241"/>
      <c r="S361" s="241"/>
      <c r="T361" s="241"/>
      <c r="U361" s="241"/>
    </row>
    <row r="362" spans="2:21" ht="21.5" customHeight="1">
      <c r="B362" s="225">
        <f>'임금대장 양식'!B362</f>
        <v>0</v>
      </c>
      <c r="C362" s="225" cm="1">
        <f t="array" ref="C362:C363">'임금대장 양식'!C362:C363</f>
        <v>0</v>
      </c>
      <c r="D362" s="225">
        <f>'임금대장 양식'!D362</f>
        <v>0</v>
      </c>
      <c r="E362" s="226">
        <f>'임금대장 양식'!E362</f>
        <v>0</v>
      </c>
      <c r="F362" s="227">
        <f>'임금대장 양식'!F362</f>
        <v>0</v>
      </c>
      <c r="G362" s="228">
        <f t="shared" ref="G362" si="1936">IFERROR((F362)/M362,0)</f>
        <v>0</v>
      </c>
      <c r="H362" s="229">
        <f t="shared" ref="H362:H425" si="1937">IF(F362=0,0,ROUND((8*5)*(365/12/7),0))</f>
        <v>0</v>
      </c>
      <c r="I362" s="229">
        <f t="shared" ref="I362:I425" si="1938">IF(F362=0,0,ROUND(8*365/12/7,0))</f>
        <v>0</v>
      </c>
      <c r="J362" s="230">
        <f>'임금대장 양식'!J362</f>
        <v>0</v>
      </c>
      <c r="K362" s="231">
        <f>'임금대장 양식'!K362</f>
        <v>0</v>
      </c>
      <c r="L362" s="231">
        <f>'임금대장 양식'!L362</f>
        <v>0</v>
      </c>
      <c r="M362" s="232">
        <f t="shared" ref="M362:M425" si="1939">H362+I362+J363+K363+L363</f>
        <v>0</v>
      </c>
      <c r="N362" s="227">
        <f t="shared" ref="N362:N425" si="1940">IF(G362=0,0,G362*(H362+I362)-(R362+S362+T362+U362))</f>
        <v>0</v>
      </c>
      <c r="O362" s="233">
        <f t="shared" ref="O362:O425" si="1941">G362*J363</f>
        <v>0</v>
      </c>
      <c r="P362" s="233">
        <f t="shared" ref="P362:P425" si="1942">G362*K363</f>
        <v>0</v>
      </c>
      <c r="Q362" s="233">
        <f t="shared" ref="Q362:Q425" si="1943">G362*L363</f>
        <v>0</v>
      </c>
      <c r="R362" s="233">
        <f>'임금대장 양식'!R362</f>
        <v>0</v>
      </c>
      <c r="S362" s="233">
        <f>'임금대장 양식'!S362</f>
        <v>0</v>
      </c>
      <c r="T362" s="233">
        <f>'임금대장 양식'!T362</f>
        <v>0</v>
      </c>
      <c r="U362" s="233">
        <f>'임금대장 양식'!U362</f>
        <v>0</v>
      </c>
    </row>
    <row r="363" spans="2:21" ht="21.5" customHeight="1">
      <c r="B363" s="234"/>
      <c r="C363" s="234">
        <v>0</v>
      </c>
      <c r="D363" s="210">
        <f>'임금대장 양식'!D363</f>
        <v>0</v>
      </c>
      <c r="E363" s="235"/>
      <c r="F363" s="236"/>
      <c r="G363" s="237"/>
      <c r="H363" s="238"/>
      <c r="I363" s="238"/>
      <c r="J363" s="239">
        <f t="shared" ref="J363:J426" si="1944">ROUND(J362*(365/12/7)*IF($S$4="5인 이상",1.5,1),0)</f>
        <v>0</v>
      </c>
      <c r="K363" s="239">
        <f t="shared" ref="K363:K426" si="1945">ROUND(K362*IF($S$4="5인 이상",1.5,1),0)</f>
        <v>0</v>
      </c>
      <c r="L363" s="239">
        <f t="shared" ref="L363:L426" si="1946">ROUND(L362*IF($S$4="5인 이상",1.5,1)+L362*IF($S$4="5인 이상",0.5,1),0)</f>
        <v>0</v>
      </c>
      <c r="M363" s="240"/>
      <c r="N363" s="236"/>
      <c r="O363" s="241"/>
      <c r="P363" s="241"/>
      <c r="Q363" s="241"/>
      <c r="R363" s="241"/>
      <c r="S363" s="241"/>
      <c r="T363" s="241"/>
      <c r="U363" s="241"/>
    </row>
    <row r="364" spans="2:21" ht="21.5" customHeight="1">
      <c r="B364" s="225">
        <f>'임금대장 양식'!B364</f>
        <v>0</v>
      </c>
      <c r="C364" s="225" cm="1">
        <f t="array" ref="C364:C365">'임금대장 양식'!C364:C365</f>
        <v>0</v>
      </c>
      <c r="D364" s="225">
        <f>'임금대장 양식'!D364</f>
        <v>0</v>
      </c>
      <c r="E364" s="226">
        <f>'임금대장 양식'!E364</f>
        <v>0</v>
      </c>
      <c r="F364" s="227">
        <f>'임금대장 양식'!F364</f>
        <v>0</v>
      </c>
      <c r="G364" s="228">
        <f t="shared" ref="G364" si="1947">IFERROR((F364)/M364,0)</f>
        <v>0</v>
      </c>
      <c r="H364" s="229">
        <f t="shared" ref="H364:H427" si="1948">IF(F364=0,0,ROUND((8*5)*(365/12/7),0))</f>
        <v>0</v>
      </c>
      <c r="I364" s="229">
        <f t="shared" ref="I364:I427" si="1949">IF(F364=0,0,ROUND(8*365/12/7,0))</f>
        <v>0</v>
      </c>
      <c r="J364" s="230">
        <f>'임금대장 양식'!J364</f>
        <v>0</v>
      </c>
      <c r="K364" s="231">
        <f>'임금대장 양식'!K364</f>
        <v>0</v>
      </c>
      <c r="L364" s="231">
        <f>'임금대장 양식'!L364</f>
        <v>0</v>
      </c>
      <c r="M364" s="232">
        <f t="shared" ref="M364:M427" si="1950">H364+I364+J365+K365+L365</f>
        <v>0</v>
      </c>
      <c r="N364" s="227">
        <f t="shared" ref="N364:N427" si="1951">IF(G364=0,0,G364*(H364+I364)-(R364+S364+T364+U364))</f>
        <v>0</v>
      </c>
      <c r="O364" s="233">
        <f t="shared" ref="O364:O427" si="1952">G364*J365</f>
        <v>0</v>
      </c>
      <c r="P364" s="233">
        <f t="shared" ref="P364:P427" si="1953">G364*K365</f>
        <v>0</v>
      </c>
      <c r="Q364" s="233">
        <f t="shared" ref="Q364:Q427" si="1954">G364*L365</f>
        <v>0</v>
      </c>
      <c r="R364" s="233">
        <f>'임금대장 양식'!R364</f>
        <v>0</v>
      </c>
      <c r="S364" s="233">
        <f>'임금대장 양식'!S364</f>
        <v>0</v>
      </c>
      <c r="T364" s="233">
        <f>'임금대장 양식'!T364</f>
        <v>0</v>
      </c>
      <c r="U364" s="233">
        <f>'임금대장 양식'!U364</f>
        <v>0</v>
      </c>
    </row>
    <row r="365" spans="2:21" ht="21.5" customHeight="1">
      <c r="B365" s="234"/>
      <c r="C365" s="234">
        <v>0</v>
      </c>
      <c r="D365" s="210">
        <f>'임금대장 양식'!D365</f>
        <v>0</v>
      </c>
      <c r="E365" s="235"/>
      <c r="F365" s="236"/>
      <c r="G365" s="237"/>
      <c r="H365" s="238"/>
      <c r="I365" s="238"/>
      <c r="J365" s="239">
        <f t="shared" ref="J365:J428" si="1955">ROUND(J364*(365/12/7)*IF($S$4="5인 이상",1.5,1),0)</f>
        <v>0</v>
      </c>
      <c r="K365" s="239">
        <f t="shared" ref="K365:K428" si="1956">ROUND(K364*IF($S$4="5인 이상",1.5,1),0)</f>
        <v>0</v>
      </c>
      <c r="L365" s="239">
        <f t="shared" ref="L365:L428" si="1957">ROUND(L364*IF($S$4="5인 이상",1.5,1)+L364*IF($S$4="5인 이상",0.5,1),0)</f>
        <v>0</v>
      </c>
      <c r="M365" s="240"/>
      <c r="N365" s="236"/>
      <c r="O365" s="241"/>
      <c r="P365" s="241"/>
      <c r="Q365" s="241"/>
      <c r="R365" s="241"/>
      <c r="S365" s="241"/>
      <c r="T365" s="241"/>
      <c r="U365" s="241"/>
    </row>
    <row r="366" spans="2:21" ht="21.5" customHeight="1">
      <c r="B366" s="225">
        <f>'임금대장 양식'!B366</f>
        <v>0</v>
      </c>
      <c r="C366" s="225" cm="1">
        <f t="array" ref="C366:C367">'임금대장 양식'!C366:C367</f>
        <v>0</v>
      </c>
      <c r="D366" s="225">
        <f>'임금대장 양식'!D366</f>
        <v>0</v>
      </c>
      <c r="E366" s="226">
        <f>'임금대장 양식'!E366</f>
        <v>0</v>
      </c>
      <c r="F366" s="227">
        <f>'임금대장 양식'!F366</f>
        <v>0</v>
      </c>
      <c r="G366" s="228">
        <f t="shared" ref="G366" si="1958">IFERROR((F366)/M366,0)</f>
        <v>0</v>
      </c>
      <c r="H366" s="229">
        <f t="shared" ref="H366:H429" si="1959">IF(F366=0,0,ROUND((8*5)*(365/12/7),0))</f>
        <v>0</v>
      </c>
      <c r="I366" s="229">
        <f t="shared" ref="I366:I429" si="1960">IF(F366=0,0,ROUND(8*365/12/7,0))</f>
        <v>0</v>
      </c>
      <c r="J366" s="230">
        <f>'임금대장 양식'!J366</f>
        <v>0</v>
      </c>
      <c r="K366" s="231">
        <f>'임금대장 양식'!K366</f>
        <v>0</v>
      </c>
      <c r="L366" s="231">
        <f>'임금대장 양식'!L366</f>
        <v>0</v>
      </c>
      <c r="M366" s="232">
        <f t="shared" ref="M366:M429" si="1961">H366+I366+J367+K367+L367</f>
        <v>0</v>
      </c>
      <c r="N366" s="227">
        <f t="shared" ref="N366:N429" si="1962">IF(G366=0,0,G366*(H366+I366)-(R366+S366+T366+U366))</f>
        <v>0</v>
      </c>
      <c r="O366" s="233">
        <f t="shared" ref="O366:O429" si="1963">G366*J367</f>
        <v>0</v>
      </c>
      <c r="P366" s="233">
        <f t="shared" ref="P366:P429" si="1964">G366*K367</f>
        <v>0</v>
      </c>
      <c r="Q366" s="233">
        <f t="shared" ref="Q366:Q429" si="1965">G366*L367</f>
        <v>0</v>
      </c>
      <c r="R366" s="233">
        <f>'임금대장 양식'!R366</f>
        <v>0</v>
      </c>
      <c r="S366" s="233">
        <f>'임금대장 양식'!S366</f>
        <v>0</v>
      </c>
      <c r="T366" s="233">
        <f>'임금대장 양식'!T366</f>
        <v>0</v>
      </c>
      <c r="U366" s="233">
        <f>'임금대장 양식'!U366</f>
        <v>0</v>
      </c>
    </row>
    <row r="367" spans="2:21" ht="21.5" customHeight="1">
      <c r="B367" s="234"/>
      <c r="C367" s="234">
        <v>0</v>
      </c>
      <c r="D367" s="210">
        <f>'임금대장 양식'!D367</f>
        <v>0</v>
      </c>
      <c r="E367" s="235"/>
      <c r="F367" s="236"/>
      <c r="G367" s="237"/>
      <c r="H367" s="238"/>
      <c r="I367" s="238"/>
      <c r="J367" s="239">
        <f t="shared" ref="J367:J430" si="1966">ROUND(J366*(365/12/7)*IF($S$4="5인 이상",1.5,1),0)</f>
        <v>0</v>
      </c>
      <c r="K367" s="239">
        <f t="shared" ref="K367:K430" si="1967">ROUND(K366*IF($S$4="5인 이상",1.5,1),0)</f>
        <v>0</v>
      </c>
      <c r="L367" s="239">
        <f t="shared" ref="L367:L430" si="1968">ROUND(L366*IF($S$4="5인 이상",1.5,1)+L366*IF($S$4="5인 이상",0.5,1),0)</f>
        <v>0</v>
      </c>
      <c r="M367" s="240"/>
      <c r="N367" s="236"/>
      <c r="O367" s="241"/>
      <c r="P367" s="241"/>
      <c r="Q367" s="241"/>
      <c r="R367" s="241"/>
      <c r="S367" s="241"/>
      <c r="T367" s="241"/>
      <c r="U367" s="241"/>
    </row>
    <row r="368" spans="2:21" ht="21.5" customHeight="1">
      <c r="B368" s="225">
        <f>'임금대장 양식'!B368</f>
        <v>0</v>
      </c>
      <c r="C368" s="225" cm="1">
        <f t="array" ref="C368:C369">'임금대장 양식'!C368:C369</f>
        <v>0</v>
      </c>
      <c r="D368" s="225">
        <f>'임금대장 양식'!D368</f>
        <v>0</v>
      </c>
      <c r="E368" s="226">
        <f>'임금대장 양식'!E368</f>
        <v>0</v>
      </c>
      <c r="F368" s="227">
        <f>'임금대장 양식'!F368</f>
        <v>0</v>
      </c>
      <c r="G368" s="228">
        <f t="shared" ref="G368" si="1969">IFERROR((F368)/M368,0)</f>
        <v>0</v>
      </c>
      <c r="H368" s="229">
        <f t="shared" ref="H368:H431" si="1970">IF(F368=0,0,ROUND((8*5)*(365/12/7),0))</f>
        <v>0</v>
      </c>
      <c r="I368" s="229">
        <f t="shared" ref="I368:I431" si="1971">IF(F368=0,0,ROUND(8*365/12/7,0))</f>
        <v>0</v>
      </c>
      <c r="J368" s="230">
        <f>'임금대장 양식'!J368</f>
        <v>0</v>
      </c>
      <c r="K368" s="231">
        <f>'임금대장 양식'!K368</f>
        <v>0</v>
      </c>
      <c r="L368" s="231">
        <f>'임금대장 양식'!L368</f>
        <v>0</v>
      </c>
      <c r="M368" s="232">
        <f t="shared" ref="M368:M431" si="1972">H368+I368+J369+K369+L369</f>
        <v>0</v>
      </c>
      <c r="N368" s="227">
        <f t="shared" ref="N368:N431" si="1973">IF(G368=0,0,G368*(H368+I368)-(R368+S368+T368+U368))</f>
        <v>0</v>
      </c>
      <c r="O368" s="233">
        <f t="shared" ref="O368:O431" si="1974">G368*J369</f>
        <v>0</v>
      </c>
      <c r="P368" s="233">
        <f t="shared" ref="P368:P431" si="1975">G368*K369</f>
        <v>0</v>
      </c>
      <c r="Q368" s="233">
        <f t="shared" ref="Q368:Q431" si="1976">G368*L369</f>
        <v>0</v>
      </c>
      <c r="R368" s="233">
        <f>'임금대장 양식'!R368</f>
        <v>0</v>
      </c>
      <c r="S368" s="233">
        <f>'임금대장 양식'!S368</f>
        <v>0</v>
      </c>
      <c r="T368" s="233">
        <f>'임금대장 양식'!T368</f>
        <v>0</v>
      </c>
      <c r="U368" s="233">
        <f>'임금대장 양식'!U368</f>
        <v>0</v>
      </c>
    </row>
    <row r="369" spans="2:21" ht="21.5" customHeight="1">
      <c r="B369" s="234"/>
      <c r="C369" s="234">
        <v>0</v>
      </c>
      <c r="D369" s="210">
        <f>'임금대장 양식'!D369</f>
        <v>0</v>
      </c>
      <c r="E369" s="235"/>
      <c r="F369" s="236"/>
      <c r="G369" s="237"/>
      <c r="H369" s="238"/>
      <c r="I369" s="238"/>
      <c r="J369" s="239">
        <f t="shared" ref="J369:J432" si="1977">ROUND(J368*(365/12/7)*IF($S$4="5인 이상",1.5,1),0)</f>
        <v>0</v>
      </c>
      <c r="K369" s="239">
        <f t="shared" ref="K369:K432" si="1978">ROUND(K368*IF($S$4="5인 이상",1.5,1),0)</f>
        <v>0</v>
      </c>
      <c r="L369" s="239">
        <f t="shared" ref="L369:L432" si="1979">ROUND(L368*IF($S$4="5인 이상",1.5,1)+L368*IF($S$4="5인 이상",0.5,1),0)</f>
        <v>0</v>
      </c>
      <c r="M369" s="240"/>
      <c r="N369" s="236"/>
      <c r="O369" s="241"/>
      <c r="P369" s="241"/>
      <c r="Q369" s="241"/>
      <c r="R369" s="241"/>
      <c r="S369" s="241"/>
      <c r="T369" s="241"/>
      <c r="U369" s="241"/>
    </row>
    <row r="370" spans="2:21" ht="21.5" customHeight="1">
      <c r="B370" s="225">
        <f>'임금대장 양식'!B370</f>
        <v>0</v>
      </c>
      <c r="C370" s="225" cm="1">
        <f t="array" ref="C370:C371">'임금대장 양식'!C370:C371</f>
        <v>0</v>
      </c>
      <c r="D370" s="225">
        <f>'임금대장 양식'!D370</f>
        <v>0</v>
      </c>
      <c r="E370" s="226">
        <f>'임금대장 양식'!E370</f>
        <v>0</v>
      </c>
      <c r="F370" s="227">
        <f>'임금대장 양식'!F370</f>
        <v>0</v>
      </c>
      <c r="G370" s="228">
        <f t="shared" ref="G370" si="1980">IFERROR((F370)/M370,0)</f>
        <v>0</v>
      </c>
      <c r="H370" s="229">
        <f t="shared" ref="H370:H433" si="1981">IF(F370=0,0,ROUND((8*5)*(365/12/7),0))</f>
        <v>0</v>
      </c>
      <c r="I370" s="229">
        <f t="shared" ref="I370:I433" si="1982">IF(F370=0,0,ROUND(8*365/12/7,0))</f>
        <v>0</v>
      </c>
      <c r="J370" s="230">
        <f>'임금대장 양식'!J370</f>
        <v>0</v>
      </c>
      <c r="K370" s="231">
        <f>'임금대장 양식'!K370</f>
        <v>0</v>
      </c>
      <c r="L370" s="231">
        <f>'임금대장 양식'!L370</f>
        <v>0</v>
      </c>
      <c r="M370" s="232">
        <f t="shared" ref="M370:M433" si="1983">H370+I370+J371+K371+L371</f>
        <v>0</v>
      </c>
      <c r="N370" s="227">
        <f t="shared" ref="N370:N433" si="1984">IF(G370=0,0,G370*(H370+I370)-(R370+S370+T370+U370))</f>
        <v>0</v>
      </c>
      <c r="O370" s="233">
        <f t="shared" ref="O370:O433" si="1985">G370*J371</f>
        <v>0</v>
      </c>
      <c r="P370" s="233">
        <f t="shared" ref="P370:P433" si="1986">G370*K371</f>
        <v>0</v>
      </c>
      <c r="Q370" s="233">
        <f t="shared" ref="Q370:Q433" si="1987">G370*L371</f>
        <v>0</v>
      </c>
      <c r="R370" s="233">
        <f>'임금대장 양식'!R370</f>
        <v>0</v>
      </c>
      <c r="S370" s="233">
        <f>'임금대장 양식'!S370</f>
        <v>0</v>
      </c>
      <c r="T370" s="233">
        <f>'임금대장 양식'!T370</f>
        <v>0</v>
      </c>
      <c r="U370" s="233">
        <f>'임금대장 양식'!U370</f>
        <v>0</v>
      </c>
    </row>
    <row r="371" spans="2:21" ht="21.5" customHeight="1">
      <c r="B371" s="234"/>
      <c r="C371" s="234">
        <v>0</v>
      </c>
      <c r="D371" s="210">
        <f>'임금대장 양식'!D371</f>
        <v>0</v>
      </c>
      <c r="E371" s="235"/>
      <c r="F371" s="236"/>
      <c r="G371" s="237"/>
      <c r="H371" s="238"/>
      <c r="I371" s="238"/>
      <c r="J371" s="239">
        <f t="shared" ref="J371:J434" si="1988">ROUND(J370*(365/12/7)*IF($S$4="5인 이상",1.5,1),0)</f>
        <v>0</v>
      </c>
      <c r="K371" s="239">
        <f t="shared" ref="K371:K434" si="1989">ROUND(K370*IF($S$4="5인 이상",1.5,1),0)</f>
        <v>0</v>
      </c>
      <c r="L371" s="239">
        <f t="shared" ref="L371:L434" si="1990">ROUND(L370*IF($S$4="5인 이상",1.5,1)+L370*IF($S$4="5인 이상",0.5,1),0)</f>
        <v>0</v>
      </c>
      <c r="M371" s="240"/>
      <c r="N371" s="236"/>
      <c r="O371" s="241"/>
      <c r="P371" s="241"/>
      <c r="Q371" s="241"/>
      <c r="R371" s="241"/>
      <c r="S371" s="241"/>
      <c r="T371" s="241"/>
      <c r="U371" s="241"/>
    </row>
    <row r="372" spans="2:21" ht="21.5" customHeight="1">
      <c r="B372" s="225">
        <f>'임금대장 양식'!B372</f>
        <v>0</v>
      </c>
      <c r="C372" s="225" cm="1">
        <f t="array" ref="C372:C373">'임금대장 양식'!C372:C373</f>
        <v>0</v>
      </c>
      <c r="D372" s="225">
        <f>'임금대장 양식'!D372</f>
        <v>0</v>
      </c>
      <c r="E372" s="226">
        <f>'임금대장 양식'!E372</f>
        <v>0</v>
      </c>
      <c r="F372" s="227">
        <f>'임금대장 양식'!F372</f>
        <v>0</v>
      </c>
      <c r="G372" s="228">
        <f t="shared" ref="G372" si="1991">IFERROR((F372)/M372,0)</f>
        <v>0</v>
      </c>
      <c r="H372" s="229">
        <f t="shared" ref="H372:H435" si="1992">IF(F372=0,0,ROUND((8*5)*(365/12/7),0))</f>
        <v>0</v>
      </c>
      <c r="I372" s="229">
        <f t="shared" ref="I372:I435" si="1993">IF(F372=0,0,ROUND(8*365/12/7,0))</f>
        <v>0</v>
      </c>
      <c r="J372" s="230">
        <f>'임금대장 양식'!J372</f>
        <v>0</v>
      </c>
      <c r="K372" s="231">
        <f>'임금대장 양식'!K372</f>
        <v>0</v>
      </c>
      <c r="L372" s="231">
        <f>'임금대장 양식'!L372</f>
        <v>0</v>
      </c>
      <c r="M372" s="232">
        <f t="shared" ref="M372:M435" si="1994">H372+I372+J373+K373+L373</f>
        <v>0</v>
      </c>
      <c r="N372" s="227">
        <f t="shared" ref="N372:N435" si="1995">IF(G372=0,0,G372*(H372+I372)-(R372+S372+T372+U372))</f>
        <v>0</v>
      </c>
      <c r="O372" s="233">
        <f t="shared" ref="O372:O435" si="1996">G372*J373</f>
        <v>0</v>
      </c>
      <c r="P372" s="233">
        <f t="shared" ref="P372:P435" si="1997">G372*K373</f>
        <v>0</v>
      </c>
      <c r="Q372" s="233">
        <f t="shared" ref="Q372:Q435" si="1998">G372*L373</f>
        <v>0</v>
      </c>
      <c r="R372" s="233">
        <f>'임금대장 양식'!R372</f>
        <v>0</v>
      </c>
      <c r="S372" s="233">
        <f>'임금대장 양식'!S372</f>
        <v>0</v>
      </c>
      <c r="T372" s="233">
        <f>'임금대장 양식'!T372</f>
        <v>0</v>
      </c>
      <c r="U372" s="233">
        <f>'임금대장 양식'!U372</f>
        <v>0</v>
      </c>
    </row>
    <row r="373" spans="2:21" ht="21.5" customHeight="1">
      <c r="B373" s="234"/>
      <c r="C373" s="234">
        <v>0</v>
      </c>
      <c r="D373" s="210">
        <f>'임금대장 양식'!D373</f>
        <v>0</v>
      </c>
      <c r="E373" s="235"/>
      <c r="F373" s="236"/>
      <c r="G373" s="237"/>
      <c r="H373" s="238"/>
      <c r="I373" s="238"/>
      <c r="J373" s="239">
        <f t="shared" ref="J373:J436" si="1999">ROUND(J372*(365/12/7)*IF($S$4="5인 이상",1.5,1),0)</f>
        <v>0</v>
      </c>
      <c r="K373" s="239">
        <f t="shared" ref="K373:K436" si="2000">ROUND(K372*IF($S$4="5인 이상",1.5,1),0)</f>
        <v>0</v>
      </c>
      <c r="L373" s="239">
        <f t="shared" ref="L373:L436" si="2001">ROUND(L372*IF($S$4="5인 이상",1.5,1)+L372*IF($S$4="5인 이상",0.5,1),0)</f>
        <v>0</v>
      </c>
      <c r="M373" s="240"/>
      <c r="N373" s="236"/>
      <c r="O373" s="241"/>
      <c r="P373" s="241"/>
      <c r="Q373" s="241"/>
      <c r="R373" s="241"/>
      <c r="S373" s="241"/>
      <c r="T373" s="241"/>
      <c r="U373" s="241"/>
    </row>
    <row r="374" spans="2:21" ht="21.5" customHeight="1">
      <c r="B374" s="225">
        <f>'임금대장 양식'!B374</f>
        <v>0</v>
      </c>
      <c r="C374" s="225" cm="1">
        <f t="array" ref="C374:C375">'임금대장 양식'!C374:C375</f>
        <v>0</v>
      </c>
      <c r="D374" s="225">
        <f>'임금대장 양식'!D374</f>
        <v>0</v>
      </c>
      <c r="E374" s="226">
        <f>'임금대장 양식'!E374</f>
        <v>0</v>
      </c>
      <c r="F374" s="227">
        <f>'임금대장 양식'!F374</f>
        <v>0</v>
      </c>
      <c r="G374" s="228">
        <f t="shared" ref="G374" si="2002">IFERROR((F374)/M374,0)</f>
        <v>0</v>
      </c>
      <c r="H374" s="229">
        <f t="shared" ref="H374:H437" si="2003">IF(F374=0,0,ROUND((8*5)*(365/12/7),0))</f>
        <v>0</v>
      </c>
      <c r="I374" s="229">
        <f t="shared" ref="I374:I437" si="2004">IF(F374=0,0,ROUND(8*365/12/7,0))</f>
        <v>0</v>
      </c>
      <c r="J374" s="230">
        <f>'임금대장 양식'!J374</f>
        <v>0</v>
      </c>
      <c r="K374" s="231">
        <f>'임금대장 양식'!K374</f>
        <v>0</v>
      </c>
      <c r="L374" s="231">
        <f>'임금대장 양식'!L374</f>
        <v>0</v>
      </c>
      <c r="M374" s="232">
        <f t="shared" ref="M374:M437" si="2005">H374+I374+J375+K375+L375</f>
        <v>0</v>
      </c>
      <c r="N374" s="227">
        <f t="shared" ref="N374:N437" si="2006">IF(G374=0,0,G374*(H374+I374)-(R374+S374+T374+U374))</f>
        <v>0</v>
      </c>
      <c r="O374" s="233">
        <f t="shared" ref="O374:O437" si="2007">G374*J375</f>
        <v>0</v>
      </c>
      <c r="P374" s="233">
        <f t="shared" ref="P374:P437" si="2008">G374*K375</f>
        <v>0</v>
      </c>
      <c r="Q374" s="233">
        <f t="shared" ref="Q374:Q437" si="2009">G374*L375</f>
        <v>0</v>
      </c>
      <c r="R374" s="233">
        <f>'임금대장 양식'!R374</f>
        <v>0</v>
      </c>
      <c r="S374" s="233">
        <f>'임금대장 양식'!S374</f>
        <v>0</v>
      </c>
      <c r="T374" s="233">
        <f>'임금대장 양식'!T374</f>
        <v>0</v>
      </c>
      <c r="U374" s="233">
        <f>'임금대장 양식'!U374</f>
        <v>0</v>
      </c>
    </row>
    <row r="375" spans="2:21" ht="21.5" customHeight="1">
      <c r="B375" s="234"/>
      <c r="C375" s="234">
        <v>0</v>
      </c>
      <c r="D375" s="210">
        <f>'임금대장 양식'!D375</f>
        <v>0</v>
      </c>
      <c r="E375" s="235"/>
      <c r="F375" s="236"/>
      <c r="G375" s="237"/>
      <c r="H375" s="238"/>
      <c r="I375" s="238"/>
      <c r="J375" s="239">
        <f t="shared" ref="J375:J438" si="2010">ROUND(J374*(365/12/7)*IF($S$4="5인 이상",1.5,1),0)</f>
        <v>0</v>
      </c>
      <c r="K375" s="239">
        <f t="shared" ref="K375:K438" si="2011">ROUND(K374*IF($S$4="5인 이상",1.5,1),0)</f>
        <v>0</v>
      </c>
      <c r="L375" s="239">
        <f t="shared" ref="L375:L438" si="2012">ROUND(L374*IF($S$4="5인 이상",1.5,1)+L374*IF($S$4="5인 이상",0.5,1),0)</f>
        <v>0</v>
      </c>
      <c r="M375" s="240"/>
      <c r="N375" s="236"/>
      <c r="O375" s="241"/>
      <c r="P375" s="241"/>
      <c r="Q375" s="241"/>
      <c r="R375" s="241"/>
      <c r="S375" s="241"/>
      <c r="T375" s="241"/>
      <c r="U375" s="241"/>
    </row>
    <row r="376" spans="2:21" ht="21.5" customHeight="1">
      <c r="B376" s="225">
        <f>'임금대장 양식'!B376</f>
        <v>0</v>
      </c>
      <c r="C376" s="225" cm="1">
        <f t="array" ref="C376:C377">'임금대장 양식'!C376:C377</f>
        <v>0</v>
      </c>
      <c r="D376" s="225">
        <f>'임금대장 양식'!D376</f>
        <v>0</v>
      </c>
      <c r="E376" s="226">
        <f>'임금대장 양식'!E376</f>
        <v>0</v>
      </c>
      <c r="F376" s="227">
        <f>'임금대장 양식'!F376</f>
        <v>0</v>
      </c>
      <c r="G376" s="228">
        <f t="shared" ref="G376" si="2013">IFERROR((F376)/M376,0)</f>
        <v>0</v>
      </c>
      <c r="H376" s="229">
        <f t="shared" ref="H376:H439" si="2014">IF(F376=0,0,ROUND((8*5)*(365/12/7),0))</f>
        <v>0</v>
      </c>
      <c r="I376" s="229">
        <f t="shared" ref="I376:I439" si="2015">IF(F376=0,0,ROUND(8*365/12/7,0))</f>
        <v>0</v>
      </c>
      <c r="J376" s="230">
        <f>'임금대장 양식'!J376</f>
        <v>0</v>
      </c>
      <c r="K376" s="231">
        <f>'임금대장 양식'!K376</f>
        <v>0</v>
      </c>
      <c r="L376" s="231">
        <f>'임금대장 양식'!L376</f>
        <v>0</v>
      </c>
      <c r="M376" s="232">
        <f t="shared" ref="M376:M439" si="2016">H376+I376+J377+K377+L377</f>
        <v>0</v>
      </c>
      <c r="N376" s="227">
        <f t="shared" ref="N376:N439" si="2017">IF(G376=0,0,G376*(H376+I376)-(R376+S376+T376+U376))</f>
        <v>0</v>
      </c>
      <c r="O376" s="233">
        <f t="shared" ref="O376:O439" si="2018">G376*J377</f>
        <v>0</v>
      </c>
      <c r="P376" s="233">
        <f t="shared" ref="P376:P439" si="2019">G376*K377</f>
        <v>0</v>
      </c>
      <c r="Q376" s="233">
        <f t="shared" ref="Q376:Q439" si="2020">G376*L377</f>
        <v>0</v>
      </c>
      <c r="R376" s="233">
        <f>'임금대장 양식'!R376</f>
        <v>0</v>
      </c>
      <c r="S376" s="233">
        <f>'임금대장 양식'!S376</f>
        <v>0</v>
      </c>
      <c r="T376" s="233">
        <f>'임금대장 양식'!T376</f>
        <v>0</v>
      </c>
      <c r="U376" s="233">
        <f>'임금대장 양식'!U376</f>
        <v>0</v>
      </c>
    </row>
    <row r="377" spans="2:21" ht="21.5" customHeight="1">
      <c r="B377" s="234"/>
      <c r="C377" s="234">
        <v>0</v>
      </c>
      <c r="D377" s="210">
        <f>'임금대장 양식'!D377</f>
        <v>0</v>
      </c>
      <c r="E377" s="235"/>
      <c r="F377" s="236"/>
      <c r="G377" s="237"/>
      <c r="H377" s="238"/>
      <c r="I377" s="238"/>
      <c r="J377" s="239">
        <f t="shared" ref="J377:J440" si="2021">ROUND(J376*(365/12/7)*IF($S$4="5인 이상",1.5,1),0)</f>
        <v>0</v>
      </c>
      <c r="K377" s="239">
        <f t="shared" ref="K377:K440" si="2022">ROUND(K376*IF($S$4="5인 이상",1.5,1),0)</f>
        <v>0</v>
      </c>
      <c r="L377" s="239">
        <f t="shared" ref="L377:L440" si="2023">ROUND(L376*IF($S$4="5인 이상",1.5,1)+L376*IF($S$4="5인 이상",0.5,1),0)</f>
        <v>0</v>
      </c>
      <c r="M377" s="240"/>
      <c r="N377" s="236"/>
      <c r="O377" s="241"/>
      <c r="P377" s="241"/>
      <c r="Q377" s="241"/>
      <c r="R377" s="241"/>
      <c r="S377" s="241"/>
      <c r="T377" s="241"/>
      <c r="U377" s="241"/>
    </row>
    <row r="378" spans="2:21" ht="21.5" customHeight="1">
      <c r="B378" s="225">
        <f>'임금대장 양식'!B378</f>
        <v>0</v>
      </c>
      <c r="C378" s="225" cm="1">
        <f t="array" ref="C378:C379">'임금대장 양식'!C378:C379</f>
        <v>0</v>
      </c>
      <c r="D378" s="225">
        <f>'임금대장 양식'!D378</f>
        <v>0</v>
      </c>
      <c r="E378" s="226">
        <f>'임금대장 양식'!E378</f>
        <v>0</v>
      </c>
      <c r="F378" s="227">
        <f>'임금대장 양식'!F378</f>
        <v>0</v>
      </c>
      <c r="G378" s="228">
        <f t="shared" ref="G378" si="2024">IFERROR((F378)/M378,0)</f>
        <v>0</v>
      </c>
      <c r="H378" s="229">
        <f t="shared" ref="H378:H441" si="2025">IF(F378=0,0,ROUND((8*5)*(365/12/7),0))</f>
        <v>0</v>
      </c>
      <c r="I378" s="229">
        <f t="shared" ref="I378:I441" si="2026">IF(F378=0,0,ROUND(8*365/12/7,0))</f>
        <v>0</v>
      </c>
      <c r="J378" s="230">
        <f>'임금대장 양식'!J378</f>
        <v>0</v>
      </c>
      <c r="K378" s="231">
        <f>'임금대장 양식'!K378</f>
        <v>0</v>
      </c>
      <c r="L378" s="231">
        <f>'임금대장 양식'!L378</f>
        <v>0</v>
      </c>
      <c r="M378" s="232">
        <f t="shared" ref="M378:M441" si="2027">H378+I378+J379+K379+L379</f>
        <v>0</v>
      </c>
      <c r="N378" s="227">
        <f t="shared" ref="N378:N441" si="2028">IF(G378=0,0,G378*(H378+I378)-(R378+S378+T378+U378))</f>
        <v>0</v>
      </c>
      <c r="O378" s="233">
        <f t="shared" ref="O378:O441" si="2029">G378*J379</f>
        <v>0</v>
      </c>
      <c r="P378" s="233">
        <f t="shared" ref="P378:P441" si="2030">G378*K379</f>
        <v>0</v>
      </c>
      <c r="Q378" s="233">
        <f t="shared" ref="Q378:Q441" si="2031">G378*L379</f>
        <v>0</v>
      </c>
      <c r="R378" s="233">
        <f>'임금대장 양식'!R378</f>
        <v>0</v>
      </c>
      <c r="S378" s="233">
        <f>'임금대장 양식'!S378</f>
        <v>0</v>
      </c>
      <c r="T378" s="233">
        <f>'임금대장 양식'!T378</f>
        <v>0</v>
      </c>
      <c r="U378" s="233">
        <f>'임금대장 양식'!U378</f>
        <v>0</v>
      </c>
    </row>
    <row r="379" spans="2:21" ht="21.5" customHeight="1">
      <c r="B379" s="234"/>
      <c r="C379" s="234">
        <v>0</v>
      </c>
      <c r="D379" s="210">
        <f>'임금대장 양식'!D379</f>
        <v>0</v>
      </c>
      <c r="E379" s="235"/>
      <c r="F379" s="236"/>
      <c r="G379" s="237"/>
      <c r="H379" s="238"/>
      <c r="I379" s="238"/>
      <c r="J379" s="239">
        <f t="shared" ref="J379:J442" si="2032">ROUND(J378*(365/12/7)*IF($S$4="5인 이상",1.5,1),0)</f>
        <v>0</v>
      </c>
      <c r="K379" s="239">
        <f t="shared" ref="K379:K442" si="2033">ROUND(K378*IF($S$4="5인 이상",1.5,1),0)</f>
        <v>0</v>
      </c>
      <c r="L379" s="239">
        <f t="shared" ref="L379:L442" si="2034">ROUND(L378*IF($S$4="5인 이상",1.5,1)+L378*IF($S$4="5인 이상",0.5,1),0)</f>
        <v>0</v>
      </c>
      <c r="M379" s="240"/>
      <c r="N379" s="236"/>
      <c r="O379" s="241"/>
      <c r="P379" s="241"/>
      <c r="Q379" s="241"/>
      <c r="R379" s="241"/>
      <c r="S379" s="241"/>
      <c r="T379" s="241"/>
      <c r="U379" s="241"/>
    </row>
    <row r="380" spans="2:21" ht="21.5" customHeight="1">
      <c r="B380" s="225">
        <f>'임금대장 양식'!B380</f>
        <v>0</v>
      </c>
      <c r="C380" s="225" cm="1">
        <f t="array" ref="C380:C381">'임금대장 양식'!C380:C381</f>
        <v>0</v>
      </c>
      <c r="D380" s="225">
        <f>'임금대장 양식'!D380</f>
        <v>0</v>
      </c>
      <c r="E380" s="226">
        <f>'임금대장 양식'!E380</f>
        <v>0</v>
      </c>
      <c r="F380" s="227">
        <f>'임금대장 양식'!F380</f>
        <v>0</v>
      </c>
      <c r="G380" s="228">
        <f t="shared" ref="G380" si="2035">IFERROR((F380)/M380,0)</f>
        <v>0</v>
      </c>
      <c r="H380" s="229">
        <f t="shared" ref="H380:H443" si="2036">IF(F380=0,0,ROUND((8*5)*(365/12/7),0))</f>
        <v>0</v>
      </c>
      <c r="I380" s="229">
        <f t="shared" ref="I380:I443" si="2037">IF(F380=0,0,ROUND(8*365/12/7,0))</f>
        <v>0</v>
      </c>
      <c r="J380" s="230">
        <f>'임금대장 양식'!J380</f>
        <v>0</v>
      </c>
      <c r="K380" s="231">
        <f>'임금대장 양식'!K380</f>
        <v>0</v>
      </c>
      <c r="L380" s="231">
        <f>'임금대장 양식'!L380</f>
        <v>0</v>
      </c>
      <c r="M380" s="232">
        <f t="shared" ref="M380:M443" si="2038">H380+I380+J381+K381+L381</f>
        <v>0</v>
      </c>
      <c r="N380" s="227">
        <f t="shared" ref="N380:N443" si="2039">IF(G380=0,0,G380*(H380+I380)-(R380+S380+T380+U380))</f>
        <v>0</v>
      </c>
      <c r="O380" s="233">
        <f t="shared" ref="O380:O443" si="2040">G380*J381</f>
        <v>0</v>
      </c>
      <c r="P380" s="233">
        <f t="shared" ref="P380:P443" si="2041">G380*K381</f>
        <v>0</v>
      </c>
      <c r="Q380" s="233">
        <f t="shared" ref="Q380:Q443" si="2042">G380*L381</f>
        <v>0</v>
      </c>
      <c r="R380" s="233">
        <f>'임금대장 양식'!R380</f>
        <v>0</v>
      </c>
      <c r="S380" s="233">
        <f>'임금대장 양식'!S380</f>
        <v>0</v>
      </c>
      <c r="T380" s="233">
        <f>'임금대장 양식'!T380</f>
        <v>0</v>
      </c>
      <c r="U380" s="233">
        <f>'임금대장 양식'!U380</f>
        <v>0</v>
      </c>
    </row>
    <row r="381" spans="2:21" ht="21.5" customHeight="1">
      <c r="B381" s="234"/>
      <c r="C381" s="234">
        <v>0</v>
      </c>
      <c r="D381" s="210">
        <f>'임금대장 양식'!D381</f>
        <v>0</v>
      </c>
      <c r="E381" s="235"/>
      <c r="F381" s="236"/>
      <c r="G381" s="237"/>
      <c r="H381" s="238"/>
      <c r="I381" s="238"/>
      <c r="J381" s="239">
        <f t="shared" ref="J381:J444" si="2043">ROUND(J380*(365/12/7)*IF($S$4="5인 이상",1.5,1),0)</f>
        <v>0</v>
      </c>
      <c r="K381" s="239">
        <f t="shared" ref="K381:K444" si="2044">ROUND(K380*IF($S$4="5인 이상",1.5,1),0)</f>
        <v>0</v>
      </c>
      <c r="L381" s="239">
        <f t="shared" ref="L381:L444" si="2045">ROUND(L380*IF($S$4="5인 이상",1.5,1)+L380*IF($S$4="5인 이상",0.5,1),0)</f>
        <v>0</v>
      </c>
      <c r="M381" s="240"/>
      <c r="N381" s="236"/>
      <c r="O381" s="241"/>
      <c r="P381" s="241"/>
      <c r="Q381" s="241"/>
      <c r="R381" s="241"/>
      <c r="S381" s="241"/>
      <c r="T381" s="241"/>
      <c r="U381" s="241"/>
    </row>
    <row r="382" spans="2:21" ht="21.5" customHeight="1">
      <c r="B382" s="225">
        <f>'임금대장 양식'!B382</f>
        <v>0</v>
      </c>
      <c r="C382" s="225" cm="1">
        <f t="array" ref="C382:C383">'임금대장 양식'!C382:C383</f>
        <v>0</v>
      </c>
      <c r="D382" s="225">
        <f>'임금대장 양식'!D382</f>
        <v>0</v>
      </c>
      <c r="E382" s="226">
        <f>'임금대장 양식'!E382</f>
        <v>0</v>
      </c>
      <c r="F382" s="227">
        <f>'임금대장 양식'!F382</f>
        <v>0</v>
      </c>
      <c r="G382" s="228">
        <f t="shared" ref="G382" si="2046">IFERROR((F382)/M382,0)</f>
        <v>0</v>
      </c>
      <c r="H382" s="229">
        <f t="shared" ref="H382:H445" si="2047">IF(F382=0,0,ROUND((8*5)*(365/12/7),0))</f>
        <v>0</v>
      </c>
      <c r="I382" s="229">
        <f t="shared" ref="I382:I445" si="2048">IF(F382=0,0,ROUND(8*365/12/7,0))</f>
        <v>0</v>
      </c>
      <c r="J382" s="230">
        <f>'임금대장 양식'!J382</f>
        <v>0</v>
      </c>
      <c r="K382" s="231">
        <f>'임금대장 양식'!K382</f>
        <v>0</v>
      </c>
      <c r="L382" s="231">
        <f>'임금대장 양식'!L382</f>
        <v>0</v>
      </c>
      <c r="M382" s="232">
        <f t="shared" ref="M382:M445" si="2049">H382+I382+J383+K383+L383</f>
        <v>0</v>
      </c>
      <c r="N382" s="227">
        <f t="shared" ref="N382:N445" si="2050">IF(G382=0,0,G382*(H382+I382)-(R382+S382+T382+U382))</f>
        <v>0</v>
      </c>
      <c r="O382" s="233">
        <f t="shared" ref="O382:O445" si="2051">G382*J383</f>
        <v>0</v>
      </c>
      <c r="P382" s="233">
        <f t="shared" ref="P382:P445" si="2052">G382*K383</f>
        <v>0</v>
      </c>
      <c r="Q382" s="233">
        <f t="shared" ref="Q382:Q445" si="2053">G382*L383</f>
        <v>0</v>
      </c>
      <c r="R382" s="233">
        <f>'임금대장 양식'!R382</f>
        <v>0</v>
      </c>
      <c r="S382" s="233">
        <f>'임금대장 양식'!S382</f>
        <v>0</v>
      </c>
      <c r="T382" s="233">
        <f>'임금대장 양식'!T382</f>
        <v>0</v>
      </c>
      <c r="U382" s="233">
        <f>'임금대장 양식'!U382</f>
        <v>0</v>
      </c>
    </row>
    <row r="383" spans="2:21" ht="21.5" customHeight="1">
      <c r="B383" s="234"/>
      <c r="C383" s="234">
        <v>0</v>
      </c>
      <c r="D383" s="210">
        <f>'임금대장 양식'!D383</f>
        <v>0</v>
      </c>
      <c r="E383" s="235"/>
      <c r="F383" s="236"/>
      <c r="G383" s="237"/>
      <c r="H383" s="238"/>
      <c r="I383" s="238"/>
      <c r="J383" s="239">
        <f t="shared" ref="J383:J446" si="2054">ROUND(J382*(365/12/7)*IF($S$4="5인 이상",1.5,1),0)</f>
        <v>0</v>
      </c>
      <c r="K383" s="239">
        <f t="shared" ref="K383:K446" si="2055">ROUND(K382*IF($S$4="5인 이상",1.5,1),0)</f>
        <v>0</v>
      </c>
      <c r="L383" s="239">
        <f t="shared" ref="L383:L446" si="2056">ROUND(L382*IF($S$4="5인 이상",1.5,1)+L382*IF($S$4="5인 이상",0.5,1),0)</f>
        <v>0</v>
      </c>
      <c r="M383" s="240"/>
      <c r="N383" s="236"/>
      <c r="O383" s="241"/>
      <c r="P383" s="241"/>
      <c r="Q383" s="241"/>
      <c r="R383" s="241"/>
      <c r="S383" s="241"/>
      <c r="T383" s="241"/>
      <c r="U383" s="241"/>
    </row>
    <row r="384" spans="2:21" ht="21.5" customHeight="1">
      <c r="B384" s="225">
        <f>'임금대장 양식'!B384</f>
        <v>0</v>
      </c>
      <c r="C384" s="225" cm="1">
        <f t="array" ref="C384:C385">'임금대장 양식'!C384:C385</f>
        <v>0</v>
      </c>
      <c r="D384" s="225">
        <f>'임금대장 양식'!D384</f>
        <v>0</v>
      </c>
      <c r="E384" s="226">
        <f>'임금대장 양식'!E384</f>
        <v>0</v>
      </c>
      <c r="F384" s="227">
        <f>'임금대장 양식'!F384</f>
        <v>0</v>
      </c>
      <c r="G384" s="228">
        <f t="shared" ref="G384" si="2057">IFERROR((F384)/M384,0)</f>
        <v>0</v>
      </c>
      <c r="H384" s="229">
        <f t="shared" ref="H384:H447" si="2058">IF(F384=0,0,ROUND((8*5)*(365/12/7),0))</f>
        <v>0</v>
      </c>
      <c r="I384" s="229">
        <f t="shared" ref="I384:I447" si="2059">IF(F384=0,0,ROUND(8*365/12/7,0))</f>
        <v>0</v>
      </c>
      <c r="J384" s="230">
        <f>'임금대장 양식'!J384</f>
        <v>0</v>
      </c>
      <c r="K384" s="231">
        <f>'임금대장 양식'!K384</f>
        <v>0</v>
      </c>
      <c r="L384" s="231">
        <f>'임금대장 양식'!L384</f>
        <v>0</v>
      </c>
      <c r="M384" s="232">
        <f t="shared" ref="M384:M447" si="2060">H384+I384+J385+K385+L385</f>
        <v>0</v>
      </c>
      <c r="N384" s="227">
        <f t="shared" ref="N384:N447" si="2061">IF(G384=0,0,G384*(H384+I384)-(R384+S384+T384+U384))</f>
        <v>0</v>
      </c>
      <c r="O384" s="233">
        <f t="shared" ref="O384:O447" si="2062">G384*J385</f>
        <v>0</v>
      </c>
      <c r="P384" s="233">
        <f t="shared" ref="P384:P447" si="2063">G384*K385</f>
        <v>0</v>
      </c>
      <c r="Q384" s="233">
        <f t="shared" ref="Q384:Q447" si="2064">G384*L385</f>
        <v>0</v>
      </c>
      <c r="R384" s="233">
        <f>'임금대장 양식'!R384</f>
        <v>0</v>
      </c>
      <c r="S384" s="233">
        <f>'임금대장 양식'!S384</f>
        <v>0</v>
      </c>
      <c r="T384" s="233">
        <f>'임금대장 양식'!T384</f>
        <v>0</v>
      </c>
      <c r="U384" s="233">
        <f>'임금대장 양식'!U384</f>
        <v>0</v>
      </c>
    </row>
    <row r="385" spans="2:21" ht="21.5" customHeight="1">
      <c r="B385" s="234"/>
      <c r="C385" s="234">
        <v>0</v>
      </c>
      <c r="D385" s="210">
        <f>'임금대장 양식'!D385</f>
        <v>0</v>
      </c>
      <c r="E385" s="235"/>
      <c r="F385" s="236"/>
      <c r="G385" s="237"/>
      <c r="H385" s="238"/>
      <c r="I385" s="238"/>
      <c r="J385" s="239">
        <f t="shared" ref="J385:J448" si="2065">ROUND(J384*(365/12/7)*IF($S$4="5인 이상",1.5,1),0)</f>
        <v>0</v>
      </c>
      <c r="K385" s="239">
        <f t="shared" ref="K385:K448" si="2066">ROUND(K384*IF($S$4="5인 이상",1.5,1),0)</f>
        <v>0</v>
      </c>
      <c r="L385" s="239">
        <f t="shared" ref="L385:L448" si="2067">ROUND(L384*IF($S$4="5인 이상",1.5,1)+L384*IF($S$4="5인 이상",0.5,1),0)</f>
        <v>0</v>
      </c>
      <c r="M385" s="240"/>
      <c r="N385" s="236"/>
      <c r="O385" s="241"/>
      <c r="P385" s="241"/>
      <c r="Q385" s="241"/>
      <c r="R385" s="241"/>
      <c r="S385" s="241"/>
      <c r="T385" s="241"/>
      <c r="U385" s="241"/>
    </row>
    <row r="386" spans="2:21" ht="21.5" customHeight="1">
      <c r="B386" s="225">
        <f>'임금대장 양식'!B386</f>
        <v>0</v>
      </c>
      <c r="C386" s="225" cm="1">
        <f t="array" ref="C386:C387">'임금대장 양식'!C386:C387</f>
        <v>0</v>
      </c>
      <c r="D386" s="225">
        <f>'임금대장 양식'!D386</f>
        <v>0</v>
      </c>
      <c r="E386" s="226">
        <f>'임금대장 양식'!E386</f>
        <v>0</v>
      </c>
      <c r="F386" s="227">
        <f>'임금대장 양식'!F386</f>
        <v>0</v>
      </c>
      <c r="G386" s="228">
        <f t="shared" ref="G386" si="2068">IFERROR((F386)/M386,0)</f>
        <v>0</v>
      </c>
      <c r="H386" s="229">
        <f t="shared" ref="H386:H449" si="2069">IF(F386=0,0,ROUND((8*5)*(365/12/7),0))</f>
        <v>0</v>
      </c>
      <c r="I386" s="229">
        <f t="shared" ref="I386:I449" si="2070">IF(F386=0,0,ROUND(8*365/12/7,0))</f>
        <v>0</v>
      </c>
      <c r="J386" s="230">
        <f>'임금대장 양식'!J386</f>
        <v>0</v>
      </c>
      <c r="K386" s="231">
        <f>'임금대장 양식'!K386</f>
        <v>0</v>
      </c>
      <c r="L386" s="231">
        <f>'임금대장 양식'!L386</f>
        <v>0</v>
      </c>
      <c r="M386" s="232">
        <f t="shared" ref="M386:M449" si="2071">H386+I386+J387+K387+L387</f>
        <v>0</v>
      </c>
      <c r="N386" s="227">
        <f t="shared" ref="N386:N449" si="2072">IF(G386=0,0,G386*(H386+I386)-(R386+S386+T386+U386))</f>
        <v>0</v>
      </c>
      <c r="O386" s="233">
        <f t="shared" ref="O386:O449" si="2073">G386*J387</f>
        <v>0</v>
      </c>
      <c r="P386" s="233">
        <f t="shared" ref="P386:P449" si="2074">G386*K387</f>
        <v>0</v>
      </c>
      <c r="Q386" s="233">
        <f t="shared" ref="Q386:Q449" si="2075">G386*L387</f>
        <v>0</v>
      </c>
      <c r="R386" s="233">
        <f>'임금대장 양식'!R386</f>
        <v>0</v>
      </c>
      <c r="S386" s="233">
        <f>'임금대장 양식'!S386</f>
        <v>0</v>
      </c>
      <c r="T386" s="233">
        <f>'임금대장 양식'!T386</f>
        <v>0</v>
      </c>
      <c r="U386" s="233">
        <f>'임금대장 양식'!U386</f>
        <v>0</v>
      </c>
    </row>
    <row r="387" spans="2:21" ht="21.5" customHeight="1">
      <c r="B387" s="234"/>
      <c r="C387" s="234">
        <v>0</v>
      </c>
      <c r="D387" s="210">
        <f>'임금대장 양식'!D387</f>
        <v>0</v>
      </c>
      <c r="E387" s="235"/>
      <c r="F387" s="236"/>
      <c r="G387" s="237"/>
      <c r="H387" s="238"/>
      <c r="I387" s="238"/>
      <c r="J387" s="239">
        <f t="shared" ref="J387:J450" si="2076">ROUND(J386*(365/12/7)*IF($S$4="5인 이상",1.5,1),0)</f>
        <v>0</v>
      </c>
      <c r="K387" s="239">
        <f t="shared" ref="K387:K450" si="2077">ROUND(K386*IF($S$4="5인 이상",1.5,1),0)</f>
        <v>0</v>
      </c>
      <c r="L387" s="239">
        <f t="shared" ref="L387:L450" si="2078">ROUND(L386*IF($S$4="5인 이상",1.5,1)+L386*IF($S$4="5인 이상",0.5,1),0)</f>
        <v>0</v>
      </c>
      <c r="M387" s="240"/>
      <c r="N387" s="236"/>
      <c r="O387" s="241"/>
      <c r="P387" s="241"/>
      <c r="Q387" s="241"/>
      <c r="R387" s="241"/>
      <c r="S387" s="241"/>
      <c r="T387" s="241"/>
      <c r="U387" s="241"/>
    </row>
    <row r="388" spans="2:21" ht="21.5" customHeight="1">
      <c r="B388" s="225">
        <f>'임금대장 양식'!B388</f>
        <v>0</v>
      </c>
      <c r="C388" s="225" cm="1">
        <f t="array" ref="C388:C389">'임금대장 양식'!C388:C389</f>
        <v>0</v>
      </c>
      <c r="D388" s="225">
        <f>'임금대장 양식'!D388</f>
        <v>0</v>
      </c>
      <c r="E388" s="226">
        <f>'임금대장 양식'!E388</f>
        <v>0</v>
      </c>
      <c r="F388" s="227">
        <f>'임금대장 양식'!F388</f>
        <v>0</v>
      </c>
      <c r="G388" s="228">
        <f t="shared" ref="G388" si="2079">IFERROR((F388)/M388,0)</f>
        <v>0</v>
      </c>
      <c r="H388" s="229">
        <f t="shared" ref="H388:H451" si="2080">IF(F388=0,0,ROUND((8*5)*(365/12/7),0))</f>
        <v>0</v>
      </c>
      <c r="I388" s="229">
        <f t="shared" ref="I388:I451" si="2081">IF(F388=0,0,ROUND(8*365/12/7,0))</f>
        <v>0</v>
      </c>
      <c r="J388" s="230">
        <f>'임금대장 양식'!J388</f>
        <v>0</v>
      </c>
      <c r="K388" s="231">
        <f>'임금대장 양식'!K388</f>
        <v>0</v>
      </c>
      <c r="L388" s="231">
        <f>'임금대장 양식'!L388</f>
        <v>0</v>
      </c>
      <c r="M388" s="232">
        <f t="shared" ref="M388:M451" si="2082">H388+I388+J389+K389+L389</f>
        <v>0</v>
      </c>
      <c r="N388" s="227">
        <f t="shared" ref="N388:N451" si="2083">IF(G388=0,0,G388*(H388+I388)-(R388+S388+T388+U388))</f>
        <v>0</v>
      </c>
      <c r="O388" s="233">
        <f t="shared" ref="O388:O451" si="2084">G388*J389</f>
        <v>0</v>
      </c>
      <c r="P388" s="233">
        <f t="shared" ref="P388:P451" si="2085">G388*K389</f>
        <v>0</v>
      </c>
      <c r="Q388" s="233">
        <f t="shared" ref="Q388:Q451" si="2086">G388*L389</f>
        <v>0</v>
      </c>
      <c r="R388" s="233">
        <f>'임금대장 양식'!R388</f>
        <v>0</v>
      </c>
      <c r="S388" s="233">
        <f>'임금대장 양식'!S388</f>
        <v>0</v>
      </c>
      <c r="T388" s="233">
        <f>'임금대장 양식'!T388</f>
        <v>0</v>
      </c>
      <c r="U388" s="233">
        <f>'임금대장 양식'!U388</f>
        <v>0</v>
      </c>
    </row>
    <row r="389" spans="2:21" ht="21.5" customHeight="1">
      <c r="B389" s="234"/>
      <c r="C389" s="234">
        <v>0</v>
      </c>
      <c r="D389" s="210">
        <f>'임금대장 양식'!D389</f>
        <v>0</v>
      </c>
      <c r="E389" s="235"/>
      <c r="F389" s="236"/>
      <c r="G389" s="237"/>
      <c r="H389" s="238"/>
      <c r="I389" s="238"/>
      <c r="J389" s="239">
        <f t="shared" ref="J389:J452" si="2087">ROUND(J388*(365/12/7)*IF($S$4="5인 이상",1.5,1),0)</f>
        <v>0</v>
      </c>
      <c r="K389" s="239">
        <f t="shared" ref="K389:K452" si="2088">ROUND(K388*IF($S$4="5인 이상",1.5,1),0)</f>
        <v>0</v>
      </c>
      <c r="L389" s="239">
        <f t="shared" ref="L389:L452" si="2089">ROUND(L388*IF($S$4="5인 이상",1.5,1)+L388*IF($S$4="5인 이상",0.5,1),0)</f>
        <v>0</v>
      </c>
      <c r="M389" s="240"/>
      <c r="N389" s="236"/>
      <c r="O389" s="241"/>
      <c r="P389" s="241"/>
      <c r="Q389" s="241"/>
      <c r="R389" s="241"/>
      <c r="S389" s="241"/>
      <c r="T389" s="241"/>
      <c r="U389" s="241"/>
    </row>
    <row r="390" spans="2:21" ht="21.5" customHeight="1">
      <c r="B390" s="225">
        <f>'임금대장 양식'!B390</f>
        <v>0</v>
      </c>
      <c r="C390" s="225" cm="1">
        <f t="array" ref="C390:C391">'임금대장 양식'!C390:C391</f>
        <v>0</v>
      </c>
      <c r="D390" s="225">
        <f>'임금대장 양식'!D390</f>
        <v>0</v>
      </c>
      <c r="E390" s="226">
        <f>'임금대장 양식'!E390</f>
        <v>0</v>
      </c>
      <c r="F390" s="227">
        <f>'임금대장 양식'!F390</f>
        <v>0</v>
      </c>
      <c r="G390" s="228">
        <f t="shared" ref="G390" si="2090">IFERROR((F390)/M390,0)</f>
        <v>0</v>
      </c>
      <c r="H390" s="229">
        <f t="shared" ref="H390:H453" si="2091">IF(F390=0,0,ROUND((8*5)*(365/12/7),0))</f>
        <v>0</v>
      </c>
      <c r="I390" s="229">
        <f t="shared" ref="I390:I453" si="2092">IF(F390=0,0,ROUND(8*365/12/7,0))</f>
        <v>0</v>
      </c>
      <c r="J390" s="230">
        <f>'임금대장 양식'!J390</f>
        <v>0</v>
      </c>
      <c r="K390" s="231">
        <f>'임금대장 양식'!K390</f>
        <v>0</v>
      </c>
      <c r="L390" s="231">
        <f>'임금대장 양식'!L390</f>
        <v>0</v>
      </c>
      <c r="M390" s="232">
        <f t="shared" ref="M390:M453" si="2093">H390+I390+J391+K391+L391</f>
        <v>0</v>
      </c>
      <c r="N390" s="227">
        <f t="shared" ref="N390:N453" si="2094">IF(G390=0,0,G390*(H390+I390)-(R390+S390+T390+U390))</f>
        <v>0</v>
      </c>
      <c r="O390" s="233">
        <f t="shared" ref="O390:O453" si="2095">G390*J391</f>
        <v>0</v>
      </c>
      <c r="P390" s="233">
        <f t="shared" ref="P390:P453" si="2096">G390*K391</f>
        <v>0</v>
      </c>
      <c r="Q390" s="233">
        <f t="shared" ref="Q390:Q453" si="2097">G390*L391</f>
        <v>0</v>
      </c>
      <c r="R390" s="233">
        <f>'임금대장 양식'!R390</f>
        <v>0</v>
      </c>
      <c r="S390" s="233">
        <f>'임금대장 양식'!S390</f>
        <v>0</v>
      </c>
      <c r="T390" s="233">
        <f>'임금대장 양식'!T390</f>
        <v>0</v>
      </c>
      <c r="U390" s="233">
        <f>'임금대장 양식'!U390</f>
        <v>0</v>
      </c>
    </row>
    <row r="391" spans="2:21" ht="21.5" customHeight="1">
      <c r="B391" s="234"/>
      <c r="C391" s="234">
        <v>0</v>
      </c>
      <c r="D391" s="210">
        <f>'임금대장 양식'!D391</f>
        <v>0</v>
      </c>
      <c r="E391" s="235"/>
      <c r="F391" s="236"/>
      <c r="G391" s="237"/>
      <c r="H391" s="238"/>
      <c r="I391" s="238"/>
      <c r="J391" s="239">
        <f t="shared" ref="J391:J454" si="2098">ROUND(J390*(365/12/7)*IF($S$4="5인 이상",1.5,1),0)</f>
        <v>0</v>
      </c>
      <c r="K391" s="239">
        <f t="shared" ref="K391:K454" si="2099">ROUND(K390*IF($S$4="5인 이상",1.5,1),0)</f>
        <v>0</v>
      </c>
      <c r="L391" s="239">
        <f t="shared" ref="L391:L454" si="2100">ROUND(L390*IF($S$4="5인 이상",1.5,1)+L390*IF($S$4="5인 이상",0.5,1),0)</f>
        <v>0</v>
      </c>
      <c r="M391" s="240"/>
      <c r="N391" s="236"/>
      <c r="O391" s="241"/>
      <c r="P391" s="241"/>
      <c r="Q391" s="241"/>
      <c r="R391" s="241"/>
      <c r="S391" s="241"/>
      <c r="T391" s="241"/>
      <c r="U391" s="241"/>
    </row>
    <row r="392" spans="2:21" ht="21.5" customHeight="1">
      <c r="B392" s="225">
        <f>'임금대장 양식'!B392</f>
        <v>0</v>
      </c>
      <c r="C392" s="225" cm="1">
        <f t="array" ref="C392:C393">'임금대장 양식'!C392:C393</f>
        <v>0</v>
      </c>
      <c r="D392" s="225">
        <f>'임금대장 양식'!D392</f>
        <v>0</v>
      </c>
      <c r="E392" s="226">
        <f>'임금대장 양식'!E392</f>
        <v>0</v>
      </c>
      <c r="F392" s="227">
        <f>'임금대장 양식'!F392</f>
        <v>0</v>
      </c>
      <c r="G392" s="228">
        <f t="shared" ref="G392" si="2101">IFERROR((F392)/M392,0)</f>
        <v>0</v>
      </c>
      <c r="H392" s="229">
        <f t="shared" ref="H392:H455" si="2102">IF(F392=0,0,ROUND((8*5)*(365/12/7),0))</f>
        <v>0</v>
      </c>
      <c r="I392" s="229">
        <f t="shared" ref="I392:I455" si="2103">IF(F392=0,0,ROUND(8*365/12/7,0))</f>
        <v>0</v>
      </c>
      <c r="J392" s="230">
        <f>'임금대장 양식'!J392</f>
        <v>0</v>
      </c>
      <c r="K392" s="231">
        <f>'임금대장 양식'!K392</f>
        <v>0</v>
      </c>
      <c r="L392" s="231">
        <f>'임금대장 양식'!L392</f>
        <v>0</v>
      </c>
      <c r="M392" s="232">
        <f t="shared" ref="M392:M455" si="2104">H392+I392+J393+K393+L393</f>
        <v>0</v>
      </c>
      <c r="N392" s="227">
        <f t="shared" ref="N392:N455" si="2105">IF(G392=0,0,G392*(H392+I392)-(R392+S392+T392+U392))</f>
        <v>0</v>
      </c>
      <c r="O392" s="233">
        <f t="shared" ref="O392:O455" si="2106">G392*J393</f>
        <v>0</v>
      </c>
      <c r="P392" s="233">
        <f t="shared" ref="P392:P455" si="2107">G392*K393</f>
        <v>0</v>
      </c>
      <c r="Q392" s="233">
        <f t="shared" ref="Q392:Q455" si="2108">G392*L393</f>
        <v>0</v>
      </c>
      <c r="R392" s="233">
        <f>'임금대장 양식'!R392</f>
        <v>0</v>
      </c>
      <c r="S392" s="233">
        <f>'임금대장 양식'!S392</f>
        <v>0</v>
      </c>
      <c r="T392" s="233">
        <f>'임금대장 양식'!T392</f>
        <v>0</v>
      </c>
      <c r="U392" s="233">
        <f>'임금대장 양식'!U392</f>
        <v>0</v>
      </c>
    </row>
    <row r="393" spans="2:21" ht="21.5" customHeight="1">
      <c r="B393" s="234"/>
      <c r="C393" s="234">
        <v>0</v>
      </c>
      <c r="D393" s="210">
        <f>'임금대장 양식'!D393</f>
        <v>0</v>
      </c>
      <c r="E393" s="235"/>
      <c r="F393" s="236"/>
      <c r="G393" s="237"/>
      <c r="H393" s="238"/>
      <c r="I393" s="238"/>
      <c r="J393" s="239">
        <f t="shared" ref="J393:J456" si="2109">ROUND(J392*(365/12/7)*IF($S$4="5인 이상",1.5,1),0)</f>
        <v>0</v>
      </c>
      <c r="K393" s="239">
        <f t="shared" ref="K393:K456" si="2110">ROUND(K392*IF($S$4="5인 이상",1.5,1),0)</f>
        <v>0</v>
      </c>
      <c r="L393" s="239">
        <f t="shared" ref="L393:L456" si="2111">ROUND(L392*IF($S$4="5인 이상",1.5,1)+L392*IF($S$4="5인 이상",0.5,1),0)</f>
        <v>0</v>
      </c>
      <c r="M393" s="240"/>
      <c r="N393" s="236"/>
      <c r="O393" s="241"/>
      <c r="P393" s="241"/>
      <c r="Q393" s="241"/>
      <c r="R393" s="241"/>
      <c r="S393" s="241"/>
      <c r="T393" s="241"/>
      <c r="U393" s="241"/>
    </row>
    <row r="394" spans="2:21" ht="21.5" customHeight="1">
      <c r="B394" s="225">
        <f>'임금대장 양식'!B394</f>
        <v>0</v>
      </c>
      <c r="C394" s="225" cm="1">
        <f t="array" ref="C394:C395">'임금대장 양식'!C394:C395</f>
        <v>0</v>
      </c>
      <c r="D394" s="225">
        <f>'임금대장 양식'!D394</f>
        <v>0</v>
      </c>
      <c r="E394" s="226">
        <f>'임금대장 양식'!E394</f>
        <v>0</v>
      </c>
      <c r="F394" s="227">
        <f>'임금대장 양식'!F394</f>
        <v>0</v>
      </c>
      <c r="G394" s="228">
        <f t="shared" ref="G394" si="2112">IFERROR((F394)/M394,0)</f>
        <v>0</v>
      </c>
      <c r="H394" s="229">
        <f t="shared" ref="H394:H457" si="2113">IF(F394=0,0,ROUND((8*5)*(365/12/7),0))</f>
        <v>0</v>
      </c>
      <c r="I394" s="229">
        <f t="shared" ref="I394:I457" si="2114">IF(F394=0,0,ROUND(8*365/12/7,0))</f>
        <v>0</v>
      </c>
      <c r="J394" s="230">
        <f>'임금대장 양식'!J394</f>
        <v>0</v>
      </c>
      <c r="K394" s="231">
        <f>'임금대장 양식'!K394</f>
        <v>0</v>
      </c>
      <c r="L394" s="231">
        <f>'임금대장 양식'!L394</f>
        <v>0</v>
      </c>
      <c r="M394" s="232">
        <f t="shared" ref="M394:M457" si="2115">H394+I394+J395+K395+L395</f>
        <v>0</v>
      </c>
      <c r="N394" s="227">
        <f t="shared" ref="N394:N457" si="2116">IF(G394=0,0,G394*(H394+I394)-(R394+S394+T394+U394))</f>
        <v>0</v>
      </c>
      <c r="O394" s="233">
        <f t="shared" ref="O394:O457" si="2117">G394*J395</f>
        <v>0</v>
      </c>
      <c r="P394" s="233">
        <f t="shared" ref="P394:P457" si="2118">G394*K395</f>
        <v>0</v>
      </c>
      <c r="Q394" s="233">
        <f t="shared" ref="Q394:Q457" si="2119">G394*L395</f>
        <v>0</v>
      </c>
      <c r="R394" s="233">
        <f>'임금대장 양식'!R394</f>
        <v>0</v>
      </c>
      <c r="S394" s="233">
        <f>'임금대장 양식'!S394</f>
        <v>0</v>
      </c>
      <c r="T394" s="233">
        <f>'임금대장 양식'!T394</f>
        <v>0</v>
      </c>
      <c r="U394" s="233">
        <f>'임금대장 양식'!U394</f>
        <v>0</v>
      </c>
    </row>
    <row r="395" spans="2:21" ht="21.5" customHeight="1">
      <c r="B395" s="234"/>
      <c r="C395" s="234">
        <v>0</v>
      </c>
      <c r="D395" s="210">
        <f>'임금대장 양식'!D395</f>
        <v>0</v>
      </c>
      <c r="E395" s="235"/>
      <c r="F395" s="236"/>
      <c r="G395" s="237"/>
      <c r="H395" s="238"/>
      <c r="I395" s="238"/>
      <c r="J395" s="239">
        <f t="shared" ref="J395:J458" si="2120">ROUND(J394*(365/12/7)*IF($S$4="5인 이상",1.5,1),0)</f>
        <v>0</v>
      </c>
      <c r="K395" s="239">
        <f t="shared" ref="K395:K458" si="2121">ROUND(K394*IF($S$4="5인 이상",1.5,1),0)</f>
        <v>0</v>
      </c>
      <c r="L395" s="239">
        <f t="shared" ref="L395:L458" si="2122">ROUND(L394*IF($S$4="5인 이상",1.5,1)+L394*IF($S$4="5인 이상",0.5,1),0)</f>
        <v>0</v>
      </c>
      <c r="M395" s="240"/>
      <c r="N395" s="236"/>
      <c r="O395" s="241"/>
      <c r="P395" s="241"/>
      <c r="Q395" s="241"/>
      <c r="R395" s="241"/>
      <c r="S395" s="241"/>
      <c r="T395" s="241"/>
      <c r="U395" s="241"/>
    </row>
    <row r="396" spans="2:21" ht="21.5" customHeight="1">
      <c r="B396" s="225">
        <f>'임금대장 양식'!B396</f>
        <v>0</v>
      </c>
      <c r="C396" s="225" cm="1">
        <f t="array" ref="C396:C397">'임금대장 양식'!C396:C397</f>
        <v>0</v>
      </c>
      <c r="D396" s="225">
        <f>'임금대장 양식'!D396</f>
        <v>0</v>
      </c>
      <c r="E396" s="226">
        <f>'임금대장 양식'!E396</f>
        <v>0</v>
      </c>
      <c r="F396" s="227">
        <f>'임금대장 양식'!F396</f>
        <v>0</v>
      </c>
      <c r="G396" s="228">
        <f t="shared" ref="G396" si="2123">IFERROR((F396)/M396,0)</f>
        <v>0</v>
      </c>
      <c r="H396" s="229">
        <f t="shared" ref="H396:H459" si="2124">IF(F396=0,0,ROUND((8*5)*(365/12/7),0))</f>
        <v>0</v>
      </c>
      <c r="I396" s="229">
        <f t="shared" ref="I396:I459" si="2125">IF(F396=0,0,ROUND(8*365/12/7,0))</f>
        <v>0</v>
      </c>
      <c r="J396" s="230">
        <f>'임금대장 양식'!J396</f>
        <v>0</v>
      </c>
      <c r="K396" s="231">
        <f>'임금대장 양식'!K396</f>
        <v>0</v>
      </c>
      <c r="L396" s="231">
        <f>'임금대장 양식'!L396</f>
        <v>0</v>
      </c>
      <c r="M396" s="232">
        <f t="shared" ref="M396:M459" si="2126">H396+I396+J397+K397+L397</f>
        <v>0</v>
      </c>
      <c r="N396" s="227">
        <f t="shared" ref="N396:N459" si="2127">IF(G396=0,0,G396*(H396+I396)-(R396+S396+T396+U396))</f>
        <v>0</v>
      </c>
      <c r="O396" s="233">
        <f t="shared" ref="O396:O459" si="2128">G396*J397</f>
        <v>0</v>
      </c>
      <c r="P396" s="233">
        <f t="shared" ref="P396:P459" si="2129">G396*K397</f>
        <v>0</v>
      </c>
      <c r="Q396" s="233">
        <f t="shared" ref="Q396:Q459" si="2130">G396*L397</f>
        <v>0</v>
      </c>
      <c r="R396" s="233">
        <f>'임금대장 양식'!R396</f>
        <v>0</v>
      </c>
      <c r="S396" s="233">
        <f>'임금대장 양식'!S396</f>
        <v>0</v>
      </c>
      <c r="T396" s="233">
        <f>'임금대장 양식'!T396</f>
        <v>0</v>
      </c>
      <c r="U396" s="233">
        <f>'임금대장 양식'!U396</f>
        <v>0</v>
      </c>
    </row>
    <row r="397" spans="2:21" ht="21.5" customHeight="1">
      <c r="B397" s="234"/>
      <c r="C397" s="234">
        <v>0</v>
      </c>
      <c r="D397" s="210">
        <f>'임금대장 양식'!D397</f>
        <v>0</v>
      </c>
      <c r="E397" s="235"/>
      <c r="F397" s="236"/>
      <c r="G397" s="237"/>
      <c r="H397" s="238"/>
      <c r="I397" s="238"/>
      <c r="J397" s="239">
        <f t="shared" ref="J397:J460" si="2131">ROUND(J396*(365/12/7)*IF($S$4="5인 이상",1.5,1),0)</f>
        <v>0</v>
      </c>
      <c r="K397" s="239">
        <f t="shared" ref="K397:K460" si="2132">ROUND(K396*IF($S$4="5인 이상",1.5,1),0)</f>
        <v>0</v>
      </c>
      <c r="L397" s="239">
        <f t="shared" ref="L397:L460" si="2133">ROUND(L396*IF($S$4="5인 이상",1.5,1)+L396*IF($S$4="5인 이상",0.5,1),0)</f>
        <v>0</v>
      </c>
      <c r="M397" s="240"/>
      <c r="N397" s="236"/>
      <c r="O397" s="241"/>
      <c r="P397" s="241"/>
      <c r="Q397" s="241"/>
      <c r="R397" s="241"/>
      <c r="S397" s="241"/>
      <c r="T397" s="241"/>
      <c r="U397" s="241"/>
    </row>
    <row r="398" spans="2:21" ht="21.5" customHeight="1">
      <c r="B398" s="225">
        <f>'임금대장 양식'!B398</f>
        <v>0</v>
      </c>
      <c r="C398" s="225" cm="1">
        <f t="array" ref="C398:C399">'임금대장 양식'!C398:C399</f>
        <v>0</v>
      </c>
      <c r="D398" s="225">
        <f>'임금대장 양식'!D398</f>
        <v>0</v>
      </c>
      <c r="E398" s="226">
        <f>'임금대장 양식'!E398</f>
        <v>0</v>
      </c>
      <c r="F398" s="227">
        <f>'임금대장 양식'!F398</f>
        <v>0</v>
      </c>
      <c r="G398" s="228">
        <f t="shared" ref="G398" si="2134">IFERROR((F398)/M398,0)</f>
        <v>0</v>
      </c>
      <c r="H398" s="229">
        <f t="shared" ref="H398:H461" si="2135">IF(F398=0,0,ROUND((8*5)*(365/12/7),0))</f>
        <v>0</v>
      </c>
      <c r="I398" s="229">
        <f t="shared" ref="I398:I461" si="2136">IF(F398=0,0,ROUND(8*365/12/7,0))</f>
        <v>0</v>
      </c>
      <c r="J398" s="230">
        <f>'임금대장 양식'!J398</f>
        <v>0</v>
      </c>
      <c r="K398" s="231">
        <f>'임금대장 양식'!K398</f>
        <v>0</v>
      </c>
      <c r="L398" s="231">
        <f>'임금대장 양식'!L398</f>
        <v>0</v>
      </c>
      <c r="M398" s="232">
        <f t="shared" ref="M398:M461" si="2137">H398+I398+J399+K399+L399</f>
        <v>0</v>
      </c>
      <c r="N398" s="227">
        <f t="shared" ref="N398:N461" si="2138">IF(G398=0,0,G398*(H398+I398)-(R398+S398+T398+U398))</f>
        <v>0</v>
      </c>
      <c r="O398" s="233">
        <f t="shared" ref="O398:O461" si="2139">G398*J399</f>
        <v>0</v>
      </c>
      <c r="P398" s="233">
        <f t="shared" ref="P398:P461" si="2140">G398*K399</f>
        <v>0</v>
      </c>
      <c r="Q398" s="233">
        <f t="shared" ref="Q398:Q461" si="2141">G398*L399</f>
        <v>0</v>
      </c>
      <c r="R398" s="233">
        <f>'임금대장 양식'!R398</f>
        <v>0</v>
      </c>
      <c r="S398" s="233">
        <f>'임금대장 양식'!S398</f>
        <v>0</v>
      </c>
      <c r="T398" s="233">
        <f>'임금대장 양식'!T398</f>
        <v>0</v>
      </c>
      <c r="U398" s="233">
        <f>'임금대장 양식'!U398</f>
        <v>0</v>
      </c>
    </row>
    <row r="399" spans="2:21" ht="21.5" customHeight="1">
      <c r="B399" s="234"/>
      <c r="C399" s="234">
        <v>0</v>
      </c>
      <c r="D399" s="210">
        <f>'임금대장 양식'!D399</f>
        <v>0</v>
      </c>
      <c r="E399" s="235"/>
      <c r="F399" s="236"/>
      <c r="G399" s="237"/>
      <c r="H399" s="238"/>
      <c r="I399" s="238"/>
      <c r="J399" s="239">
        <f t="shared" ref="J399:J462" si="2142">ROUND(J398*(365/12/7)*IF($S$4="5인 이상",1.5,1),0)</f>
        <v>0</v>
      </c>
      <c r="K399" s="239">
        <f t="shared" ref="K399:K462" si="2143">ROUND(K398*IF($S$4="5인 이상",1.5,1),0)</f>
        <v>0</v>
      </c>
      <c r="L399" s="239">
        <f t="shared" ref="L399:L462" si="2144">ROUND(L398*IF($S$4="5인 이상",1.5,1)+L398*IF($S$4="5인 이상",0.5,1),0)</f>
        <v>0</v>
      </c>
      <c r="M399" s="240"/>
      <c r="N399" s="236"/>
      <c r="O399" s="241"/>
      <c r="P399" s="241"/>
      <c r="Q399" s="241"/>
      <c r="R399" s="241"/>
      <c r="S399" s="241"/>
      <c r="T399" s="241"/>
      <c r="U399" s="241"/>
    </row>
    <row r="400" spans="2:21" ht="21.5" customHeight="1">
      <c r="B400" s="225">
        <f>'임금대장 양식'!B400</f>
        <v>0</v>
      </c>
      <c r="C400" s="225" cm="1">
        <f t="array" ref="C400:C401">'임금대장 양식'!C400:C401</f>
        <v>0</v>
      </c>
      <c r="D400" s="225">
        <f>'임금대장 양식'!D400</f>
        <v>0</v>
      </c>
      <c r="E400" s="226">
        <f>'임금대장 양식'!E400</f>
        <v>0</v>
      </c>
      <c r="F400" s="227">
        <f>'임금대장 양식'!F400</f>
        <v>0</v>
      </c>
      <c r="G400" s="228">
        <f t="shared" ref="G400" si="2145">IFERROR((F400)/M400,0)</f>
        <v>0</v>
      </c>
      <c r="H400" s="229">
        <f t="shared" ref="H400:H463" si="2146">IF(F400=0,0,ROUND((8*5)*(365/12/7),0))</f>
        <v>0</v>
      </c>
      <c r="I400" s="229">
        <f t="shared" ref="I400:I463" si="2147">IF(F400=0,0,ROUND(8*365/12/7,0))</f>
        <v>0</v>
      </c>
      <c r="J400" s="230">
        <f>'임금대장 양식'!J400</f>
        <v>0</v>
      </c>
      <c r="K400" s="231">
        <f>'임금대장 양식'!K400</f>
        <v>0</v>
      </c>
      <c r="L400" s="231">
        <f>'임금대장 양식'!L400</f>
        <v>0</v>
      </c>
      <c r="M400" s="232">
        <f t="shared" ref="M400:M463" si="2148">H400+I400+J401+K401+L401</f>
        <v>0</v>
      </c>
      <c r="N400" s="227">
        <f t="shared" ref="N400:N463" si="2149">IF(G400=0,0,G400*(H400+I400)-(R400+S400+T400+U400))</f>
        <v>0</v>
      </c>
      <c r="O400" s="233">
        <f t="shared" ref="O400:O463" si="2150">G400*J401</f>
        <v>0</v>
      </c>
      <c r="P400" s="233">
        <f t="shared" ref="P400:P463" si="2151">G400*K401</f>
        <v>0</v>
      </c>
      <c r="Q400" s="233">
        <f t="shared" ref="Q400:Q463" si="2152">G400*L401</f>
        <v>0</v>
      </c>
      <c r="R400" s="233">
        <f>'임금대장 양식'!R400</f>
        <v>0</v>
      </c>
      <c r="S400" s="233">
        <f>'임금대장 양식'!S400</f>
        <v>0</v>
      </c>
      <c r="T400" s="233">
        <f>'임금대장 양식'!T400</f>
        <v>0</v>
      </c>
      <c r="U400" s="233">
        <f>'임금대장 양식'!U400</f>
        <v>0</v>
      </c>
    </row>
    <row r="401" spans="2:21" ht="21.5" customHeight="1">
      <c r="B401" s="234"/>
      <c r="C401" s="234">
        <v>0</v>
      </c>
      <c r="D401" s="210">
        <f>'임금대장 양식'!D401</f>
        <v>0</v>
      </c>
      <c r="E401" s="235"/>
      <c r="F401" s="236"/>
      <c r="G401" s="237"/>
      <c r="H401" s="238"/>
      <c r="I401" s="238"/>
      <c r="J401" s="239">
        <f t="shared" ref="J401:J464" si="2153">ROUND(J400*(365/12/7)*IF($S$4="5인 이상",1.5,1),0)</f>
        <v>0</v>
      </c>
      <c r="K401" s="239">
        <f t="shared" ref="K401:K464" si="2154">ROUND(K400*IF($S$4="5인 이상",1.5,1),0)</f>
        <v>0</v>
      </c>
      <c r="L401" s="239">
        <f t="shared" ref="L401:L464" si="2155">ROUND(L400*IF($S$4="5인 이상",1.5,1)+L400*IF($S$4="5인 이상",0.5,1),0)</f>
        <v>0</v>
      </c>
      <c r="M401" s="240"/>
      <c r="N401" s="236"/>
      <c r="O401" s="241"/>
      <c r="P401" s="241"/>
      <c r="Q401" s="241"/>
      <c r="R401" s="241"/>
      <c r="S401" s="241"/>
      <c r="T401" s="241"/>
      <c r="U401" s="241"/>
    </row>
    <row r="402" spans="2:21" ht="21.5" customHeight="1">
      <c r="B402" s="225">
        <f>'임금대장 양식'!B402</f>
        <v>0</v>
      </c>
      <c r="C402" s="225" cm="1">
        <f t="array" ref="C402:C403">'임금대장 양식'!C402:C403</f>
        <v>0</v>
      </c>
      <c r="D402" s="225">
        <f>'임금대장 양식'!D402</f>
        <v>0</v>
      </c>
      <c r="E402" s="226">
        <f>'임금대장 양식'!E402</f>
        <v>0</v>
      </c>
      <c r="F402" s="227">
        <f>'임금대장 양식'!F402</f>
        <v>0</v>
      </c>
      <c r="G402" s="228">
        <f t="shared" ref="G402" si="2156">IFERROR((F402)/M402,0)</f>
        <v>0</v>
      </c>
      <c r="H402" s="229">
        <f t="shared" ref="H402:H465" si="2157">IF(F402=0,0,ROUND((8*5)*(365/12/7),0))</f>
        <v>0</v>
      </c>
      <c r="I402" s="229">
        <f t="shared" ref="I402:I465" si="2158">IF(F402=0,0,ROUND(8*365/12/7,0))</f>
        <v>0</v>
      </c>
      <c r="J402" s="230">
        <f>'임금대장 양식'!J402</f>
        <v>0</v>
      </c>
      <c r="K402" s="231">
        <f>'임금대장 양식'!K402</f>
        <v>0</v>
      </c>
      <c r="L402" s="231">
        <f>'임금대장 양식'!L402</f>
        <v>0</v>
      </c>
      <c r="M402" s="232">
        <f t="shared" ref="M402:M465" si="2159">H402+I402+J403+K403+L403</f>
        <v>0</v>
      </c>
      <c r="N402" s="227">
        <f t="shared" ref="N402:N465" si="2160">IF(G402=0,0,G402*(H402+I402)-(R402+S402+T402+U402))</f>
        <v>0</v>
      </c>
      <c r="O402" s="233">
        <f t="shared" ref="O402:O465" si="2161">G402*J403</f>
        <v>0</v>
      </c>
      <c r="P402" s="233">
        <f t="shared" ref="P402:P465" si="2162">G402*K403</f>
        <v>0</v>
      </c>
      <c r="Q402" s="233">
        <f t="shared" ref="Q402:Q465" si="2163">G402*L403</f>
        <v>0</v>
      </c>
      <c r="R402" s="233">
        <f>'임금대장 양식'!R402</f>
        <v>0</v>
      </c>
      <c r="S402" s="233">
        <f>'임금대장 양식'!S402</f>
        <v>0</v>
      </c>
      <c r="T402" s="233">
        <f>'임금대장 양식'!T402</f>
        <v>0</v>
      </c>
      <c r="U402" s="233">
        <f>'임금대장 양식'!U402</f>
        <v>0</v>
      </c>
    </row>
    <row r="403" spans="2:21" ht="21.5" customHeight="1">
      <c r="B403" s="234"/>
      <c r="C403" s="234">
        <v>0</v>
      </c>
      <c r="D403" s="210">
        <f>'임금대장 양식'!D403</f>
        <v>0</v>
      </c>
      <c r="E403" s="235"/>
      <c r="F403" s="236"/>
      <c r="G403" s="237"/>
      <c r="H403" s="238"/>
      <c r="I403" s="238"/>
      <c r="J403" s="239">
        <f t="shared" ref="J403:J466" si="2164">ROUND(J402*(365/12/7)*IF($S$4="5인 이상",1.5,1),0)</f>
        <v>0</v>
      </c>
      <c r="K403" s="239">
        <f t="shared" ref="K403:K466" si="2165">ROUND(K402*IF($S$4="5인 이상",1.5,1),0)</f>
        <v>0</v>
      </c>
      <c r="L403" s="239">
        <f t="shared" ref="L403:L466" si="2166">ROUND(L402*IF($S$4="5인 이상",1.5,1)+L402*IF($S$4="5인 이상",0.5,1),0)</f>
        <v>0</v>
      </c>
      <c r="M403" s="240"/>
      <c r="N403" s="236"/>
      <c r="O403" s="241"/>
      <c r="P403" s="241"/>
      <c r="Q403" s="241"/>
      <c r="R403" s="241"/>
      <c r="S403" s="241"/>
      <c r="T403" s="241"/>
      <c r="U403" s="241"/>
    </row>
    <row r="404" spans="2:21" ht="21.5" customHeight="1">
      <c r="B404" s="225">
        <f>'임금대장 양식'!B404</f>
        <v>0</v>
      </c>
      <c r="C404" s="225" cm="1">
        <f t="array" ref="C404:C405">'임금대장 양식'!C404:C405</f>
        <v>0</v>
      </c>
      <c r="D404" s="225">
        <f>'임금대장 양식'!D404</f>
        <v>0</v>
      </c>
      <c r="E404" s="226">
        <f>'임금대장 양식'!E404</f>
        <v>0</v>
      </c>
      <c r="F404" s="227">
        <f>'임금대장 양식'!F404</f>
        <v>0</v>
      </c>
      <c r="G404" s="228">
        <f t="shared" ref="G404" si="2167">IFERROR((F404)/M404,0)</f>
        <v>0</v>
      </c>
      <c r="H404" s="229">
        <f t="shared" ref="H404:H467" si="2168">IF(F404=0,0,ROUND((8*5)*(365/12/7),0))</f>
        <v>0</v>
      </c>
      <c r="I404" s="229">
        <f t="shared" ref="I404:I467" si="2169">IF(F404=0,0,ROUND(8*365/12/7,0))</f>
        <v>0</v>
      </c>
      <c r="J404" s="230">
        <f>'임금대장 양식'!J404</f>
        <v>0</v>
      </c>
      <c r="K404" s="231">
        <f>'임금대장 양식'!K404</f>
        <v>0</v>
      </c>
      <c r="L404" s="231">
        <f>'임금대장 양식'!L404</f>
        <v>0</v>
      </c>
      <c r="M404" s="232">
        <f t="shared" ref="M404:M467" si="2170">H404+I404+J405+K405+L405</f>
        <v>0</v>
      </c>
      <c r="N404" s="227">
        <f t="shared" ref="N404:N467" si="2171">IF(G404=0,0,G404*(H404+I404)-(R404+S404+T404+U404))</f>
        <v>0</v>
      </c>
      <c r="O404" s="233">
        <f t="shared" ref="O404:O467" si="2172">G404*J405</f>
        <v>0</v>
      </c>
      <c r="P404" s="233">
        <f t="shared" ref="P404:P467" si="2173">G404*K405</f>
        <v>0</v>
      </c>
      <c r="Q404" s="233">
        <f t="shared" ref="Q404:Q467" si="2174">G404*L405</f>
        <v>0</v>
      </c>
      <c r="R404" s="233">
        <f>'임금대장 양식'!R404</f>
        <v>0</v>
      </c>
      <c r="S404" s="233">
        <f>'임금대장 양식'!S404</f>
        <v>0</v>
      </c>
      <c r="T404" s="233">
        <f>'임금대장 양식'!T404</f>
        <v>0</v>
      </c>
      <c r="U404" s="233">
        <f>'임금대장 양식'!U404</f>
        <v>0</v>
      </c>
    </row>
    <row r="405" spans="2:21" ht="21.5" customHeight="1">
      <c r="B405" s="234"/>
      <c r="C405" s="234">
        <v>0</v>
      </c>
      <c r="D405" s="210">
        <f>'임금대장 양식'!D405</f>
        <v>0</v>
      </c>
      <c r="E405" s="235"/>
      <c r="F405" s="236"/>
      <c r="G405" s="237"/>
      <c r="H405" s="238"/>
      <c r="I405" s="238"/>
      <c r="J405" s="239">
        <f t="shared" ref="J405:J468" si="2175">ROUND(J404*(365/12/7)*IF($S$4="5인 이상",1.5,1),0)</f>
        <v>0</v>
      </c>
      <c r="K405" s="239">
        <f t="shared" ref="K405:K468" si="2176">ROUND(K404*IF($S$4="5인 이상",1.5,1),0)</f>
        <v>0</v>
      </c>
      <c r="L405" s="239">
        <f t="shared" ref="L405:L468" si="2177">ROUND(L404*IF($S$4="5인 이상",1.5,1)+L404*IF($S$4="5인 이상",0.5,1),0)</f>
        <v>0</v>
      </c>
      <c r="M405" s="240"/>
      <c r="N405" s="236"/>
      <c r="O405" s="241"/>
      <c r="P405" s="241"/>
      <c r="Q405" s="241"/>
      <c r="R405" s="241"/>
      <c r="S405" s="241"/>
      <c r="T405" s="241"/>
      <c r="U405" s="241"/>
    </row>
    <row r="406" spans="2:21" ht="21.5" customHeight="1">
      <c r="B406" s="225">
        <f>'임금대장 양식'!B406</f>
        <v>0</v>
      </c>
      <c r="C406" s="225" cm="1">
        <f t="array" ref="C406:C407">'임금대장 양식'!C406:C407</f>
        <v>0</v>
      </c>
      <c r="D406" s="225">
        <f>'임금대장 양식'!D406</f>
        <v>0</v>
      </c>
      <c r="E406" s="226">
        <f>'임금대장 양식'!E406</f>
        <v>0</v>
      </c>
      <c r="F406" s="227">
        <f>'임금대장 양식'!F406</f>
        <v>0</v>
      </c>
      <c r="G406" s="228">
        <f t="shared" ref="G406" si="2178">IFERROR((F406)/M406,0)</f>
        <v>0</v>
      </c>
      <c r="H406" s="229">
        <f t="shared" ref="H406:H469" si="2179">IF(F406=0,0,ROUND((8*5)*(365/12/7),0))</f>
        <v>0</v>
      </c>
      <c r="I406" s="229">
        <f t="shared" ref="I406:I469" si="2180">IF(F406=0,0,ROUND(8*365/12/7,0))</f>
        <v>0</v>
      </c>
      <c r="J406" s="230">
        <f>'임금대장 양식'!J406</f>
        <v>0</v>
      </c>
      <c r="K406" s="231">
        <f>'임금대장 양식'!K406</f>
        <v>0</v>
      </c>
      <c r="L406" s="231">
        <f>'임금대장 양식'!L406</f>
        <v>0</v>
      </c>
      <c r="M406" s="232">
        <f t="shared" ref="M406:M469" si="2181">H406+I406+J407+K407+L407</f>
        <v>0</v>
      </c>
      <c r="N406" s="227">
        <f t="shared" ref="N406:N469" si="2182">IF(G406=0,0,G406*(H406+I406)-(R406+S406+T406+U406))</f>
        <v>0</v>
      </c>
      <c r="O406" s="233">
        <f t="shared" ref="O406:O469" si="2183">G406*J407</f>
        <v>0</v>
      </c>
      <c r="P406" s="233">
        <f t="shared" ref="P406:P469" si="2184">G406*K407</f>
        <v>0</v>
      </c>
      <c r="Q406" s="233">
        <f t="shared" ref="Q406:Q469" si="2185">G406*L407</f>
        <v>0</v>
      </c>
      <c r="R406" s="233">
        <f>'임금대장 양식'!R406</f>
        <v>0</v>
      </c>
      <c r="S406" s="233">
        <f>'임금대장 양식'!S406</f>
        <v>0</v>
      </c>
      <c r="T406" s="233">
        <f>'임금대장 양식'!T406</f>
        <v>0</v>
      </c>
      <c r="U406" s="233">
        <f>'임금대장 양식'!U406</f>
        <v>0</v>
      </c>
    </row>
    <row r="407" spans="2:21" ht="21.5" customHeight="1">
      <c r="B407" s="234"/>
      <c r="C407" s="234">
        <v>0</v>
      </c>
      <c r="D407" s="210">
        <f>'임금대장 양식'!D407</f>
        <v>0</v>
      </c>
      <c r="E407" s="235"/>
      <c r="F407" s="236"/>
      <c r="G407" s="237"/>
      <c r="H407" s="238"/>
      <c r="I407" s="238"/>
      <c r="J407" s="239">
        <f t="shared" ref="J407:J470" si="2186">ROUND(J406*(365/12/7)*IF($S$4="5인 이상",1.5,1),0)</f>
        <v>0</v>
      </c>
      <c r="K407" s="239">
        <f t="shared" ref="K407:K470" si="2187">ROUND(K406*IF($S$4="5인 이상",1.5,1),0)</f>
        <v>0</v>
      </c>
      <c r="L407" s="239">
        <f t="shared" ref="L407:L470" si="2188">ROUND(L406*IF($S$4="5인 이상",1.5,1)+L406*IF($S$4="5인 이상",0.5,1),0)</f>
        <v>0</v>
      </c>
      <c r="M407" s="240"/>
      <c r="N407" s="236"/>
      <c r="O407" s="241"/>
      <c r="P407" s="241"/>
      <c r="Q407" s="241"/>
      <c r="R407" s="241"/>
      <c r="S407" s="241"/>
      <c r="T407" s="241"/>
      <c r="U407" s="241"/>
    </row>
    <row r="408" spans="2:21" ht="21.5" customHeight="1">
      <c r="B408" s="225">
        <f>'임금대장 양식'!B408</f>
        <v>0</v>
      </c>
      <c r="C408" s="225" cm="1">
        <f t="array" ref="C408:C409">'임금대장 양식'!C408:C409</f>
        <v>0</v>
      </c>
      <c r="D408" s="225">
        <f>'임금대장 양식'!D408</f>
        <v>0</v>
      </c>
      <c r="E408" s="226">
        <f>'임금대장 양식'!E408</f>
        <v>0</v>
      </c>
      <c r="F408" s="227">
        <f>'임금대장 양식'!F408</f>
        <v>0</v>
      </c>
      <c r="G408" s="228">
        <f t="shared" ref="G408" si="2189">IFERROR((F408)/M408,0)</f>
        <v>0</v>
      </c>
      <c r="H408" s="229">
        <f t="shared" ref="H408:H471" si="2190">IF(F408=0,0,ROUND((8*5)*(365/12/7),0))</f>
        <v>0</v>
      </c>
      <c r="I408" s="229">
        <f t="shared" ref="I408:I471" si="2191">IF(F408=0,0,ROUND(8*365/12/7,0))</f>
        <v>0</v>
      </c>
      <c r="J408" s="230">
        <f>'임금대장 양식'!J408</f>
        <v>0</v>
      </c>
      <c r="K408" s="231">
        <f>'임금대장 양식'!K408</f>
        <v>0</v>
      </c>
      <c r="L408" s="231">
        <f>'임금대장 양식'!L408</f>
        <v>0</v>
      </c>
      <c r="M408" s="232">
        <f t="shared" ref="M408:M471" si="2192">H408+I408+J409+K409+L409</f>
        <v>0</v>
      </c>
      <c r="N408" s="227">
        <f t="shared" ref="N408:N471" si="2193">IF(G408=0,0,G408*(H408+I408)-(R408+S408+T408+U408))</f>
        <v>0</v>
      </c>
      <c r="O408" s="233">
        <f t="shared" ref="O408:O471" si="2194">G408*J409</f>
        <v>0</v>
      </c>
      <c r="P408" s="233">
        <f t="shared" ref="P408:P471" si="2195">G408*K409</f>
        <v>0</v>
      </c>
      <c r="Q408" s="233">
        <f t="shared" ref="Q408:Q471" si="2196">G408*L409</f>
        <v>0</v>
      </c>
      <c r="R408" s="233">
        <f>'임금대장 양식'!R408</f>
        <v>0</v>
      </c>
      <c r="S408" s="233">
        <f>'임금대장 양식'!S408</f>
        <v>0</v>
      </c>
      <c r="T408" s="233">
        <f>'임금대장 양식'!T408</f>
        <v>0</v>
      </c>
      <c r="U408" s="233">
        <f>'임금대장 양식'!U408</f>
        <v>0</v>
      </c>
    </row>
    <row r="409" spans="2:21" ht="21.5" customHeight="1">
      <c r="B409" s="234"/>
      <c r="C409" s="234">
        <v>0</v>
      </c>
      <c r="D409" s="210">
        <f>'임금대장 양식'!D409</f>
        <v>0</v>
      </c>
      <c r="E409" s="235"/>
      <c r="F409" s="236"/>
      <c r="G409" s="237"/>
      <c r="H409" s="238"/>
      <c r="I409" s="238"/>
      <c r="J409" s="239">
        <f t="shared" ref="J409:J472" si="2197">ROUND(J408*(365/12/7)*IF($S$4="5인 이상",1.5,1),0)</f>
        <v>0</v>
      </c>
      <c r="K409" s="239">
        <f t="shared" ref="K409:K472" si="2198">ROUND(K408*IF($S$4="5인 이상",1.5,1),0)</f>
        <v>0</v>
      </c>
      <c r="L409" s="239">
        <f t="shared" ref="L409:L472" si="2199">ROUND(L408*IF($S$4="5인 이상",1.5,1)+L408*IF($S$4="5인 이상",0.5,1),0)</f>
        <v>0</v>
      </c>
      <c r="M409" s="240"/>
      <c r="N409" s="236"/>
      <c r="O409" s="241"/>
      <c r="P409" s="241"/>
      <c r="Q409" s="241"/>
      <c r="R409" s="241"/>
      <c r="S409" s="241"/>
      <c r="T409" s="241"/>
      <c r="U409" s="241"/>
    </row>
    <row r="410" spans="2:21" ht="21.5" customHeight="1">
      <c r="B410" s="225">
        <f>'임금대장 양식'!B410</f>
        <v>0</v>
      </c>
      <c r="C410" s="225" cm="1">
        <f t="array" ref="C410:C411">'임금대장 양식'!C410:C411</f>
        <v>0</v>
      </c>
      <c r="D410" s="225">
        <f>'임금대장 양식'!D410</f>
        <v>0</v>
      </c>
      <c r="E410" s="226">
        <f>'임금대장 양식'!E410</f>
        <v>0</v>
      </c>
      <c r="F410" s="227">
        <f>'임금대장 양식'!F410</f>
        <v>0</v>
      </c>
      <c r="G410" s="228">
        <f t="shared" ref="G410" si="2200">IFERROR((F410)/M410,0)</f>
        <v>0</v>
      </c>
      <c r="H410" s="229">
        <f t="shared" ref="H410:H473" si="2201">IF(F410=0,0,ROUND((8*5)*(365/12/7),0))</f>
        <v>0</v>
      </c>
      <c r="I410" s="229">
        <f t="shared" ref="I410:I473" si="2202">IF(F410=0,0,ROUND(8*365/12/7,0))</f>
        <v>0</v>
      </c>
      <c r="J410" s="230">
        <f>'임금대장 양식'!J410</f>
        <v>0</v>
      </c>
      <c r="K410" s="231">
        <f>'임금대장 양식'!K410</f>
        <v>0</v>
      </c>
      <c r="L410" s="231">
        <f>'임금대장 양식'!L410</f>
        <v>0</v>
      </c>
      <c r="M410" s="232">
        <f t="shared" ref="M410:M473" si="2203">H410+I410+J411+K411+L411</f>
        <v>0</v>
      </c>
      <c r="N410" s="227">
        <f t="shared" ref="N410:N473" si="2204">IF(G410=0,0,G410*(H410+I410)-(R410+S410+T410+U410))</f>
        <v>0</v>
      </c>
      <c r="O410" s="233">
        <f t="shared" ref="O410:O473" si="2205">G410*J411</f>
        <v>0</v>
      </c>
      <c r="P410" s="233">
        <f t="shared" ref="P410:P473" si="2206">G410*K411</f>
        <v>0</v>
      </c>
      <c r="Q410" s="233">
        <f t="shared" ref="Q410:Q473" si="2207">G410*L411</f>
        <v>0</v>
      </c>
      <c r="R410" s="233">
        <f>'임금대장 양식'!R410</f>
        <v>0</v>
      </c>
      <c r="S410" s="233">
        <f>'임금대장 양식'!S410</f>
        <v>0</v>
      </c>
      <c r="T410" s="233">
        <f>'임금대장 양식'!T410</f>
        <v>0</v>
      </c>
      <c r="U410" s="233">
        <f>'임금대장 양식'!U410</f>
        <v>0</v>
      </c>
    </row>
    <row r="411" spans="2:21" ht="21.5" customHeight="1">
      <c r="B411" s="234"/>
      <c r="C411" s="234">
        <v>0</v>
      </c>
      <c r="D411" s="210">
        <f>'임금대장 양식'!D411</f>
        <v>0</v>
      </c>
      <c r="E411" s="235"/>
      <c r="F411" s="236"/>
      <c r="G411" s="237"/>
      <c r="H411" s="238"/>
      <c r="I411" s="238"/>
      <c r="J411" s="239">
        <f t="shared" ref="J411:J474" si="2208">ROUND(J410*(365/12/7)*IF($S$4="5인 이상",1.5,1),0)</f>
        <v>0</v>
      </c>
      <c r="K411" s="239">
        <f t="shared" ref="K411:K474" si="2209">ROUND(K410*IF($S$4="5인 이상",1.5,1),0)</f>
        <v>0</v>
      </c>
      <c r="L411" s="239">
        <f t="shared" ref="L411:L474" si="2210">ROUND(L410*IF($S$4="5인 이상",1.5,1)+L410*IF($S$4="5인 이상",0.5,1),0)</f>
        <v>0</v>
      </c>
      <c r="M411" s="240"/>
      <c r="N411" s="236"/>
      <c r="O411" s="241"/>
      <c r="P411" s="241"/>
      <c r="Q411" s="241"/>
      <c r="R411" s="241"/>
      <c r="S411" s="241"/>
      <c r="T411" s="241"/>
      <c r="U411" s="241"/>
    </row>
    <row r="412" spans="2:21" ht="21.5" customHeight="1">
      <c r="B412" s="225">
        <f>'임금대장 양식'!B412</f>
        <v>0</v>
      </c>
      <c r="C412" s="225" cm="1">
        <f t="array" ref="C412:C413">'임금대장 양식'!C412:C413</f>
        <v>0</v>
      </c>
      <c r="D412" s="225">
        <f>'임금대장 양식'!D412</f>
        <v>0</v>
      </c>
      <c r="E412" s="226">
        <f>'임금대장 양식'!E412</f>
        <v>0</v>
      </c>
      <c r="F412" s="227">
        <f>'임금대장 양식'!F412</f>
        <v>0</v>
      </c>
      <c r="G412" s="228">
        <f t="shared" ref="G412" si="2211">IFERROR((F412)/M412,0)</f>
        <v>0</v>
      </c>
      <c r="H412" s="229">
        <f t="shared" ref="H412:H475" si="2212">IF(F412=0,0,ROUND((8*5)*(365/12/7),0))</f>
        <v>0</v>
      </c>
      <c r="I412" s="229">
        <f t="shared" ref="I412:I475" si="2213">IF(F412=0,0,ROUND(8*365/12/7,0))</f>
        <v>0</v>
      </c>
      <c r="J412" s="230">
        <f>'임금대장 양식'!J412</f>
        <v>0</v>
      </c>
      <c r="K412" s="231">
        <f>'임금대장 양식'!K412</f>
        <v>0</v>
      </c>
      <c r="L412" s="231">
        <f>'임금대장 양식'!L412</f>
        <v>0</v>
      </c>
      <c r="M412" s="232">
        <f t="shared" ref="M412:M475" si="2214">H412+I412+J413+K413+L413</f>
        <v>0</v>
      </c>
      <c r="N412" s="227">
        <f t="shared" ref="N412:N475" si="2215">IF(G412=0,0,G412*(H412+I412)-(R412+S412+T412+U412))</f>
        <v>0</v>
      </c>
      <c r="O412" s="233">
        <f t="shared" ref="O412:O475" si="2216">G412*J413</f>
        <v>0</v>
      </c>
      <c r="P412" s="233">
        <f t="shared" ref="P412:P475" si="2217">G412*K413</f>
        <v>0</v>
      </c>
      <c r="Q412" s="233">
        <f t="shared" ref="Q412:Q475" si="2218">G412*L413</f>
        <v>0</v>
      </c>
      <c r="R412" s="233">
        <f>'임금대장 양식'!R412</f>
        <v>0</v>
      </c>
      <c r="S412" s="233">
        <f>'임금대장 양식'!S412</f>
        <v>0</v>
      </c>
      <c r="T412" s="233">
        <f>'임금대장 양식'!T412</f>
        <v>0</v>
      </c>
      <c r="U412" s="233">
        <f>'임금대장 양식'!U412</f>
        <v>0</v>
      </c>
    </row>
    <row r="413" spans="2:21" ht="21.5" customHeight="1">
      <c r="B413" s="234"/>
      <c r="C413" s="234">
        <v>0</v>
      </c>
      <c r="D413" s="210">
        <f>'임금대장 양식'!D413</f>
        <v>0</v>
      </c>
      <c r="E413" s="235"/>
      <c r="F413" s="236"/>
      <c r="G413" s="237"/>
      <c r="H413" s="238"/>
      <c r="I413" s="238"/>
      <c r="J413" s="239">
        <f t="shared" ref="J413:J476" si="2219">ROUND(J412*(365/12/7)*IF($S$4="5인 이상",1.5,1),0)</f>
        <v>0</v>
      </c>
      <c r="K413" s="239">
        <f t="shared" ref="K413:K476" si="2220">ROUND(K412*IF($S$4="5인 이상",1.5,1),0)</f>
        <v>0</v>
      </c>
      <c r="L413" s="239">
        <f t="shared" ref="L413:L476" si="2221">ROUND(L412*IF($S$4="5인 이상",1.5,1)+L412*IF($S$4="5인 이상",0.5,1),0)</f>
        <v>0</v>
      </c>
      <c r="M413" s="240"/>
      <c r="N413" s="236"/>
      <c r="O413" s="241"/>
      <c r="P413" s="241"/>
      <c r="Q413" s="241"/>
      <c r="R413" s="241"/>
      <c r="S413" s="241"/>
      <c r="T413" s="241"/>
      <c r="U413" s="241"/>
    </row>
    <row r="414" spans="2:21" ht="21.5" customHeight="1">
      <c r="B414" s="225">
        <f>'임금대장 양식'!B414</f>
        <v>0</v>
      </c>
      <c r="C414" s="225" cm="1">
        <f t="array" ref="C414:C415">'임금대장 양식'!C414:C415</f>
        <v>0</v>
      </c>
      <c r="D414" s="225">
        <f>'임금대장 양식'!D414</f>
        <v>0</v>
      </c>
      <c r="E414" s="226">
        <f>'임금대장 양식'!E414</f>
        <v>0</v>
      </c>
      <c r="F414" s="227">
        <f>'임금대장 양식'!F414</f>
        <v>0</v>
      </c>
      <c r="G414" s="228">
        <f t="shared" ref="G414" si="2222">IFERROR((F414)/M414,0)</f>
        <v>0</v>
      </c>
      <c r="H414" s="229">
        <f t="shared" ref="H414:H477" si="2223">IF(F414=0,0,ROUND((8*5)*(365/12/7),0))</f>
        <v>0</v>
      </c>
      <c r="I414" s="229">
        <f t="shared" ref="I414:I477" si="2224">IF(F414=0,0,ROUND(8*365/12/7,0))</f>
        <v>0</v>
      </c>
      <c r="J414" s="230">
        <f>'임금대장 양식'!J414</f>
        <v>0</v>
      </c>
      <c r="K414" s="231">
        <f>'임금대장 양식'!K414</f>
        <v>0</v>
      </c>
      <c r="L414" s="231">
        <f>'임금대장 양식'!L414</f>
        <v>0</v>
      </c>
      <c r="M414" s="232">
        <f t="shared" ref="M414:M477" si="2225">H414+I414+J415+K415+L415</f>
        <v>0</v>
      </c>
      <c r="N414" s="227">
        <f t="shared" ref="N414:N477" si="2226">IF(G414=0,0,G414*(H414+I414)-(R414+S414+T414+U414))</f>
        <v>0</v>
      </c>
      <c r="O414" s="233">
        <f t="shared" ref="O414:O477" si="2227">G414*J415</f>
        <v>0</v>
      </c>
      <c r="P414" s="233">
        <f t="shared" ref="P414:P477" si="2228">G414*K415</f>
        <v>0</v>
      </c>
      <c r="Q414" s="233">
        <f t="shared" ref="Q414:Q477" si="2229">G414*L415</f>
        <v>0</v>
      </c>
      <c r="R414" s="233">
        <f>'임금대장 양식'!R414</f>
        <v>0</v>
      </c>
      <c r="S414" s="233">
        <f>'임금대장 양식'!S414</f>
        <v>0</v>
      </c>
      <c r="T414" s="233">
        <f>'임금대장 양식'!T414</f>
        <v>0</v>
      </c>
      <c r="U414" s="233">
        <f>'임금대장 양식'!U414</f>
        <v>0</v>
      </c>
    </row>
    <row r="415" spans="2:21" ht="21.5" customHeight="1">
      <c r="B415" s="234"/>
      <c r="C415" s="234">
        <v>0</v>
      </c>
      <c r="D415" s="210">
        <f>'임금대장 양식'!D415</f>
        <v>0</v>
      </c>
      <c r="E415" s="235"/>
      <c r="F415" s="236"/>
      <c r="G415" s="237"/>
      <c r="H415" s="238"/>
      <c r="I415" s="238"/>
      <c r="J415" s="239">
        <f t="shared" ref="J415:J478" si="2230">ROUND(J414*(365/12/7)*IF($S$4="5인 이상",1.5,1),0)</f>
        <v>0</v>
      </c>
      <c r="K415" s="239">
        <f t="shared" ref="K415:K478" si="2231">ROUND(K414*IF($S$4="5인 이상",1.5,1),0)</f>
        <v>0</v>
      </c>
      <c r="L415" s="239">
        <f t="shared" ref="L415:L478" si="2232">ROUND(L414*IF($S$4="5인 이상",1.5,1)+L414*IF($S$4="5인 이상",0.5,1),0)</f>
        <v>0</v>
      </c>
      <c r="M415" s="240"/>
      <c r="N415" s="236"/>
      <c r="O415" s="241"/>
      <c r="P415" s="241"/>
      <c r="Q415" s="241"/>
      <c r="R415" s="241"/>
      <c r="S415" s="241"/>
      <c r="T415" s="241"/>
      <c r="U415" s="241"/>
    </row>
    <row r="416" spans="2:21" ht="21.5" customHeight="1">
      <c r="B416" s="225">
        <f>'임금대장 양식'!B416</f>
        <v>0</v>
      </c>
      <c r="C416" s="225" cm="1">
        <f t="array" ref="C416:C417">'임금대장 양식'!C416:C417</f>
        <v>0</v>
      </c>
      <c r="D416" s="225">
        <f>'임금대장 양식'!D416</f>
        <v>0</v>
      </c>
      <c r="E416" s="226">
        <f>'임금대장 양식'!E416</f>
        <v>0</v>
      </c>
      <c r="F416" s="227">
        <f>'임금대장 양식'!F416</f>
        <v>0</v>
      </c>
      <c r="G416" s="228">
        <f t="shared" ref="G416" si="2233">IFERROR((F416)/M416,0)</f>
        <v>0</v>
      </c>
      <c r="H416" s="229">
        <f t="shared" ref="H416:H479" si="2234">IF(F416=0,0,ROUND((8*5)*(365/12/7),0))</f>
        <v>0</v>
      </c>
      <c r="I416" s="229">
        <f t="shared" ref="I416:I479" si="2235">IF(F416=0,0,ROUND(8*365/12/7,0))</f>
        <v>0</v>
      </c>
      <c r="J416" s="230">
        <f>'임금대장 양식'!J416</f>
        <v>0</v>
      </c>
      <c r="K416" s="231">
        <f>'임금대장 양식'!K416</f>
        <v>0</v>
      </c>
      <c r="L416" s="231">
        <f>'임금대장 양식'!L416</f>
        <v>0</v>
      </c>
      <c r="M416" s="232">
        <f t="shared" ref="M416:M479" si="2236">H416+I416+J417+K417+L417</f>
        <v>0</v>
      </c>
      <c r="N416" s="227">
        <f t="shared" ref="N416:N479" si="2237">IF(G416=0,0,G416*(H416+I416)-(R416+S416+T416+U416))</f>
        <v>0</v>
      </c>
      <c r="O416" s="233">
        <f t="shared" ref="O416:O479" si="2238">G416*J417</f>
        <v>0</v>
      </c>
      <c r="P416" s="233">
        <f t="shared" ref="P416:P479" si="2239">G416*K417</f>
        <v>0</v>
      </c>
      <c r="Q416" s="233">
        <f t="shared" ref="Q416:Q479" si="2240">G416*L417</f>
        <v>0</v>
      </c>
      <c r="R416" s="233">
        <f>'임금대장 양식'!R416</f>
        <v>0</v>
      </c>
      <c r="S416" s="233">
        <f>'임금대장 양식'!S416</f>
        <v>0</v>
      </c>
      <c r="T416" s="233">
        <f>'임금대장 양식'!T416</f>
        <v>0</v>
      </c>
      <c r="U416" s="233">
        <f>'임금대장 양식'!U416</f>
        <v>0</v>
      </c>
    </row>
    <row r="417" spans="2:21" ht="21.5" customHeight="1">
      <c r="B417" s="234"/>
      <c r="C417" s="234">
        <v>0</v>
      </c>
      <c r="D417" s="210">
        <f>'임금대장 양식'!D417</f>
        <v>0</v>
      </c>
      <c r="E417" s="235"/>
      <c r="F417" s="236"/>
      <c r="G417" s="237"/>
      <c r="H417" s="238"/>
      <c r="I417" s="238"/>
      <c r="J417" s="239">
        <f t="shared" ref="J417:J480" si="2241">ROUND(J416*(365/12/7)*IF($S$4="5인 이상",1.5,1),0)</f>
        <v>0</v>
      </c>
      <c r="K417" s="239">
        <f t="shared" ref="K417:K480" si="2242">ROUND(K416*IF($S$4="5인 이상",1.5,1),0)</f>
        <v>0</v>
      </c>
      <c r="L417" s="239">
        <f t="shared" ref="L417:L480" si="2243">ROUND(L416*IF($S$4="5인 이상",1.5,1)+L416*IF($S$4="5인 이상",0.5,1),0)</f>
        <v>0</v>
      </c>
      <c r="M417" s="240"/>
      <c r="N417" s="236"/>
      <c r="O417" s="241"/>
      <c r="P417" s="241"/>
      <c r="Q417" s="241"/>
      <c r="R417" s="241"/>
      <c r="S417" s="241"/>
      <c r="T417" s="241"/>
      <c r="U417" s="241"/>
    </row>
    <row r="418" spans="2:21" ht="21.5" customHeight="1">
      <c r="B418" s="225">
        <f>'임금대장 양식'!B418</f>
        <v>0</v>
      </c>
      <c r="C418" s="225" cm="1">
        <f t="array" ref="C418:C419">'임금대장 양식'!C418:C419</f>
        <v>0</v>
      </c>
      <c r="D418" s="225">
        <f>'임금대장 양식'!D418</f>
        <v>0</v>
      </c>
      <c r="E418" s="226">
        <f>'임금대장 양식'!E418</f>
        <v>0</v>
      </c>
      <c r="F418" s="227">
        <f>'임금대장 양식'!F418</f>
        <v>0</v>
      </c>
      <c r="G418" s="228">
        <f t="shared" ref="G418" si="2244">IFERROR((F418)/M418,0)</f>
        <v>0</v>
      </c>
      <c r="H418" s="229">
        <f t="shared" ref="H418:H481" si="2245">IF(F418=0,0,ROUND((8*5)*(365/12/7),0))</f>
        <v>0</v>
      </c>
      <c r="I418" s="229">
        <f t="shared" ref="I418:I481" si="2246">IF(F418=0,0,ROUND(8*365/12/7,0))</f>
        <v>0</v>
      </c>
      <c r="J418" s="230">
        <f>'임금대장 양식'!J418</f>
        <v>0</v>
      </c>
      <c r="K418" s="231">
        <f>'임금대장 양식'!K418</f>
        <v>0</v>
      </c>
      <c r="L418" s="231">
        <f>'임금대장 양식'!L418</f>
        <v>0</v>
      </c>
      <c r="M418" s="232">
        <f t="shared" ref="M418:M481" si="2247">H418+I418+J419+K419+L419</f>
        <v>0</v>
      </c>
      <c r="N418" s="227">
        <f t="shared" ref="N418:N481" si="2248">IF(G418=0,0,G418*(H418+I418)-(R418+S418+T418+U418))</f>
        <v>0</v>
      </c>
      <c r="O418" s="233">
        <f t="shared" ref="O418:O481" si="2249">G418*J419</f>
        <v>0</v>
      </c>
      <c r="P418" s="233">
        <f t="shared" ref="P418:P481" si="2250">G418*K419</f>
        <v>0</v>
      </c>
      <c r="Q418" s="233">
        <f t="shared" ref="Q418:Q481" si="2251">G418*L419</f>
        <v>0</v>
      </c>
      <c r="R418" s="233">
        <f>'임금대장 양식'!R418</f>
        <v>0</v>
      </c>
      <c r="S418" s="233">
        <f>'임금대장 양식'!S418</f>
        <v>0</v>
      </c>
      <c r="T418" s="233">
        <f>'임금대장 양식'!T418</f>
        <v>0</v>
      </c>
      <c r="U418" s="233">
        <f>'임금대장 양식'!U418</f>
        <v>0</v>
      </c>
    </row>
    <row r="419" spans="2:21" ht="21.5" customHeight="1">
      <c r="B419" s="234"/>
      <c r="C419" s="234">
        <v>0</v>
      </c>
      <c r="D419" s="210">
        <f>'임금대장 양식'!D419</f>
        <v>0</v>
      </c>
      <c r="E419" s="235"/>
      <c r="F419" s="236"/>
      <c r="G419" s="237"/>
      <c r="H419" s="238"/>
      <c r="I419" s="238"/>
      <c r="J419" s="239">
        <f t="shared" ref="J419:J482" si="2252">ROUND(J418*(365/12/7)*IF($S$4="5인 이상",1.5,1),0)</f>
        <v>0</v>
      </c>
      <c r="K419" s="239">
        <f t="shared" ref="K419:K482" si="2253">ROUND(K418*IF($S$4="5인 이상",1.5,1),0)</f>
        <v>0</v>
      </c>
      <c r="L419" s="239">
        <f t="shared" ref="L419:L482" si="2254">ROUND(L418*IF($S$4="5인 이상",1.5,1)+L418*IF($S$4="5인 이상",0.5,1),0)</f>
        <v>0</v>
      </c>
      <c r="M419" s="240"/>
      <c r="N419" s="236"/>
      <c r="O419" s="241"/>
      <c r="P419" s="241"/>
      <c r="Q419" s="241"/>
      <c r="R419" s="241"/>
      <c r="S419" s="241"/>
      <c r="T419" s="241"/>
      <c r="U419" s="241"/>
    </row>
    <row r="420" spans="2:21" ht="21.5" customHeight="1">
      <c r="B420" s="225">
        <f>'임금대장 양식'!B420</f>
        <v>0</v>
      </c>
      <c r="C420" s="225" cm="1">
        <f t="array" ref="C420:C421">'임금대장 양식'!C420:C421</f>
        <v>0</v>
      </c>
      <c r="D420" s="225">
        <f>'임금대장 양식'!D420</f>
        <v>0</v>
      </c>
      <c r="E420" s="226">
        <f>'임금대장 양식'!E420</f>
        <v>0</v>
      </c>
      <c r="F420" s="227">
        <f>'임금대장 양식'!F420</f>
        <v>0</v>
      </c>
      <c r="G420" s="228">
        <f t="shared" ref="G420" si="2255">IFERROR((F420)/M420,0)</f>
        <v>0</v>
      </c>
      <c r="H420" s="229">
        <f t="shared" ref="H420:H483" si="2256">IF(F420=0,0,ROUND((8*5)*(365/12/7),0))</f>
        <v>0</v>
      </c>
      <c r="I420" s="229">
        <f t="shared" ref="I420:I483" si="2257">IF(F420=0,0,ROUND(8*365/12/7,0))</f>
        <v>0</v>
      </c>
      <c r="J420" s="230">
        <f>'임금대장 양식'!J420</f>
        <v>0</v>
      </c>
      <c r="K420" s="231">
        <f>'임금대장 양식'!K420</f>
        <v>0</v>
      </c>
      <c r="L420" s="231">
        <f>'임금대장 양식'!L420</f>
        <v>0</v>
      </c>
      <c r="M420" s="232">
        <f t="shared" ref="M420:M483" si="2258">H420+I420+J421+K421+L421</f>
        <v>0</v>
      </c>
      <c r="N420" s="227">
        <f t="shared" ref="N420:N483" si="2259">IF(G420=0,0,G420*(H420+I420)-(R420+S420+T420+U420))</f>
        <v>0</v>
      </c>
      <c r="O420" s="233">
        <f t="shared" ref="O420:O483" si="2260">G420*J421</f>
        <v>0</v>
      </c>
      <c r="P420" s="233">
        <f t="shared" ref="P420:P483" si="2261">G420*K421</f>
        <v>0</v>
      </c>
      <c r="Q420" s="233">
        <f t="shared" ref="Q420:Q483" si="2262">G420*L421</f>
        <v>0</v>
      </c>
      <c r="R420" s="233">
        <f>'임금대장 양식'!R420</f>
        <v>0</v>
      </c>
      <c r="S420" s="233">
        <f>'임금대장 양식'!S420</f>
        <v>0</v>
      </c>
      <c r="T420" s="233">
        <f>'임금대장 양식'!T420</f>
        <v>0</v>
      </c>
      <c r="U420" s="233">
        <f>'임금대장 양식'!U420</f>
        <v>0</v>
      </c>
    </row>
    <row r="421" spans="2:21" ht="21.5" customHeight="1">
      <c r="B421" s="234"/>
      <c r="C421" s="234">
        <v>0</v>
      </c>
      <c r="D421" s="210">
        <f>'임금대장 양식'!D421</f>
        <v>0</v>
      </c>
      <c r="E421" s="235"/>
      <c r="F421" s="236"/>
      <c r="G421" s="237"/>
      <c r="H421" s="238"/>
      <c r="I421" s="238"/>
      <c r="J421" s="239">
        <f t="shared" ref="J421:J484" si="2263">ROUND(J420*(365/12/7)*IF($S$4="5인 이상",1.5,1),0)</f>
        <v>0</v>
      </c>
      <c r="K421" s="239">
        <f t="shared" ref="K421:K484" si="2264">ROUND(K420*IF($S$4="5인 이상",1.5,1),0)</f>
        <v>0</v>
      </c>
      <c r="L421" s="239">
        <f t="shared" ref="L421:L484" si="2265">ROUND(L420*IF($S$4="5인 이상",1.5,1)+L420*IF($S$4="5인 이상",0.5,1),0)</f>
        <v>0</v>
      </c>
      <c r="M421" s="240"/>
      <c r="N421" s="236"/>
      <c r="O421" s="241"/>
      <c r="P421" s="241"/>
      <c r="Q421" s="241"/>
      <c r="R421" s="241"/>
      <c r="S421" s="241"/>
      <c r="T421" s="241"/>
      <c r="U421" s="241"/>
    </row>
    <row r="422" spans="2:21" ht="21.5" customHeight="1">
      <c r="B422" s="225">
        <f>'임금대장 양식'!B422</f>
        <v>0</v>
      </c>
      <c r="C422" s="225" cm="1">
        <f t="array" ref="C422:C423">'임금대장 양식'!C422:C423</f>
        <v>0</v>
      </c>
      <c r="D422" s="225">
        <f>'임금대장 양식'!D422</f>
        <v>0</v>
      </c>
      <c r="E422" s="226">
        <f>'임금대장 양식'!E422</f>
        <v>0</v>
      </c>
      <c r="F422" s="227">
        <f>'임금대장 양식'!F422</f>
        <v>0</v>
      </c>
      <c r="G422" s="228">
        <f t="shared" ref="G422" si="2266">IFERROR((F422)/M422,0)</f>
        <v>0</v>
      </c>
      <c r="H422" s="229">
        <f t="shared" ref="H422:H485" si="2267">IF(F422=0,0,ROUND((8*5)*(365/12/7),0))</f>
        <v>0</v>
      </c>
      <c r="I422" s="229">
        <f t="shared" ref="I422:I485" si="2268">IF(F422=0,0,ROUND(8*365/12/7,0))</f>
        <v>0</v>
      </c>
      <c r="J422" s="230">
        <f>'임금대장 양식'!J422</f>
        <v>0</v>
      </c>
      <c r="K422" s="231">
        <f>'임금대장 양식'!K422</f>
        <v>0</v>
      </c>
      <c r="L422" s="231">
        <f>'임금대장 양식'!L422</f>
        <v>0</v>
      </c>
      <c r="M422" s="232">
        <f t="shared" ref="M422:M485" si="2269">H422+I422+J423+K423+L423</f>
        <v>0</v>
      </c>
      <c r="N422" s="227">
        <f t="shared" ref="N422:N485" si="2270">IF(G422=0,0,G422*(H422+I422)-(R422+S422+T422+U422))</f>
        <v>0</v>
      </c>
      <c r="O422" s="233">
        <f t="shared" ref="O422:O485" si="2271">G422*J423</f>
        <v>0</v>
      </c>
      <c r="P422" s="233">
        <f t="shared" ref="P422:P485" si="2272">G422*K423</f>
        <v>0</v>
      </c>
      <c r="Q422" s="233">
        <f t="shared" ref="Q422:Q485" si="2273">G422*L423</f>
        <v>0</v>
      </c>
      <c r="R422" s="233">
        <f>'임금대장 양식'!R422</f>
        <v>0</v>
      </c>
      <c r="S422" s="233">
        <f>'임금대장 양식'!S422</f>
        <v>0</v>
      </c>
      <c r="T422" s="233">
        <f>'임금대장 양식'!T422</f>
        <v>0</v>
      </c>
      <c r="U422" s="233">
        <f>'임금대장 양식'!U422</f>
        <v>0</v>
      </c>
    </row>
    <row r="423" spans="2:21" ht="21.5" customHeight="1">
      <c r="B423" s="234"/>
      <c r="C423" s="234">
        <v>0</v>
      </c>
      <c r="D423" s="210">
        <f>'임금대장 양식'!D423</f>
        <v>0</v>
      </c>
      <c r="E423" s="235"/>
      <c r="F423" s="236"/>
      <c r="G423" s="237"/>
      <c r="H423" s="238"/>
      <c r="I423" s="238"/>
      <c r="J423" s="239">
        <f t="shared" ref="J423:J486" si="2274">ROUND(J422*(365/12/7)*IF($S$4="5인 이상",1.5,1),0)</f>
        <v>0</v>
      </c>
      <c r="K423" s="239">
        <f t="shared" ref="K423:K486" si="2275">ROUND(K422*IF($S$4="5인 이상",1.5,1),0)</f>
        <v>0</v>
      </c>
      <c r="L423" s="239">
        <f t="shared" ref="L423:L486" si="2276">ROUND(L422*IF($S$4="5인 이상",1.5,1)+L422*IF($S$4="5인 이상",0.5,1),0)</f>
        <v>0</v>
      </c>
      <c r="M423" s="240"/>
      <c r="N423" s="236"/>
      <c r="O423" s="241"/>
      <c r="P423" s="241"/>
      <c r="Q423" s="241"/>
      <c r="R423" s="241"/>
      <c r="S423" s="241"/>
      <c r="T423" s="241"/>
      <c r="U423" s="241"/>
    </row>
    <row r="424" spans="2:21" ht="21.5" customHeight="1">
      <c r="B424" s="225">
        <f>'임금대장 양식'!B424</f>
        <v>0</v>
      </c>
      <c r="C424" s="225" cm="1">
        <f t="array" ref="C424:C425">'임금대장 양식'!C424:C425</f>
        <v>0</v>
      </c>
      <c r="D424" s="225">
        <f>'임금대장 양식'!D424</f>
        <v>0</v>
      </c>
      <c r="E424" s="226">
        <f>'임금대장 양식'!E424</f>
        <v>0</v>
      </c>
      <c r="F424" s="227">
        <f>'임금대장 양식'!F424</f>
        <v>0</v>
      </c>
      <c r="G424" s="228">
        <f t="shared" ref="G424" si="2277">IFERROR((F424)/M424,0)</f>
        <v>0</v>
      </c>
      <c r="H424" s="229">
        <f t="shared" ref="H424:H487" si="2278">IF(F424=0,0,ROUND((8*5)*(365/12/7),0))</f>
        <v>0</v>
      </c>
      <c r="I424" s="229">
        <f t="shared" ref="I424:I487" si="2279">IF(F424=0,0,ROUND(8*365/12/7,0))</f>
        <v>0</v>
      </c>
      <c r="J424" s="230">
        <f>'임금대장 양식'!J424</f>
        <v>0</v>
      </c>
      <c r="K424" s="231">
        <f>'임금대장 양식'!K424</f>
        <v>0</v>
      </c>
      <c r="L424" s="231">
        <f>'임금대장 양식'!L424</f>
        <v>0</v>
      </c>
      <c r="M424" s="232">
        <f t="shared" ref="M424:M487" si="2280">H424+I424+J425+K425+L425</f>
        <v>0</v>
      </c>
      <c r="N424" s="227">
        <f t="shared" ref="N424:N487" si="2281">IF(G424=0,0,G424*(H424+I424)-(R424+S424+T424+U424))</f>
        <v>0</v>
      </c>
      <c r="O424" s="233">
        <f t="shared" ref="O424:O487" si="2282">G424*J425</f>
        <v>0</v>
      </c>
      <c r="P424" s="233">
        <f t="shared" ref="P424:P487" si="2283">G424*K425</f>
        <v>0</v>
      </c>
      <c r="Q424" s="233">
        <f t="shared" ref="Q424:Q487" si="2284">G424*L425</f>
        <v>0</v>
      </c>
      <c r="R424" s="233">
        <f>'임금대장 양식'!R424</f>
        <v>0</v>
      </c>
      <c r="S424" s="233">
        <f>'임금대장 양식'!S424</f>
        <v>0</v>
      </c>
      <c r="T424" s="233">
        <f>'임금대장 양식'!T424</f>
        <v>0</v>
      </c>
      <c r="U424" s="233">
        <f>'임금대장 양식'!U424</f>
        <v>0</v>
      </c>
    </row>
    <row r="425" spans="2:21" ht="21.5" customHeight="1">
      <c r="B425" s="234"/>
      <c r="C425" s="234">
        <v>0</v>
      </c>
      <c r="D425" s="210">
        <f>'임금대장 양식'!D425</f>
        <v>0</v>
      </c>
      <c r="E425" s="235"/>
      <c r="F425" s="236"/>
      <c r="G425" s="237"/>
      <c r="H425" s="238"/>
      <c r="I425" s="238"/>
      <c r="J425" s="239">
        <f t="shared" ref="J425:J488" si="2285">ROUND(J424*(365/12/7)*IF($S$4="5인 이상",1.5,1),0)</f>
        <v>0</v>
      </c>
      <c r="K425" s="239">
        <f t="shared" ref="K425:K488" si="2286">ROUND(K424*IF($S$4="5인 이상",1.5,1),0)</f>
        <v>0</v>
      </c>
      <c r="L425" s="239">
        <f t="shared" ref="L425:L488" si="2287">ROUND(L424*IF($S$4="5인 이상",1.5,1)+L424*IF($S$4="5인 이상",0.5,1),0)</f>
        <v>0</v>
      </c>
      <c r="M425" s="240"/>
      <c r="N425" s="236"/>
      <c r="O425" s="241"/>
      <c r="P425" s="241"/>
      <c r="Q425" s="241"/>
      <c r="R425" s="241"/>
      <c r="S425" s="241"/>
      <c r="T425" s="241"/>
      <c r="U425" s="241"/>
    </row>
    <row r="426" spans="2:21" ht="21.5" customHeight="1">
      <c r="B426" s="225">
        <f>'임금대장 양식'!B426</f>
        <v>0</v>
      </c>
      <c r="C426" s="225" cm="1">
        <f t="array" ref="C426:C427">'임금대장 양식'!C426:C427</f>
        <v>0</v>
      </c>
      <c r="D426" s="225">
        <f>'임금대장 양식'!D426</f>
        <v>0</v>
      </c>
      <c r="E426" s="226">
        <f>'임금대장 양식'!E426</f>
        <v>0</v>
      </c>
      <c r="F426" s="227">
        <f>'임금대장 양식'!F426</f>
        <v>0</v>
      </c>
      <c r="G426" s="228">
        <f t="shared" ref="G426" si="2288">IFERROR((F426)/M426,0)</f>
        <v>0</v>
      </c>
      <c r="H426" s="229">
        <f t="shared" ref="H426:H489" si="2289">IF(F426=0,0,ROUND((8*5)*(365/12/7),0))</f>
        <v>0</v>
      </c>
      <c r="I426" s="229">
        <f t="shared" ref="I426:I489" si="2290">IF(F426=0,0,ROUND(8*365/12/7,0))</f>
        <v>0</v>
      </c>
      <c r="J426" s="230">
        <f>'임금대장 양식'!J426</f>
        <v>0</v>
      </c>
      <c r="K426" s="231">
        <f>'임금대장 양식'!K426</f>
        <v>0</v>
      </c>
      <c r="L426" s="231">
        <f>'임금대장 양식'!L426</f>
        <v>0</v>
      </c>
      <c r="M426" s="232">
        <f t="shared" ref="M426:M489" si="2291">H426+I426+J427+K427+L427</f>
        <v>0</v>
      </c>
      <c r="N426" s="227">
        <f t="shared" ref="N426:N489" si="2292">IF(G426=0,0,G426*(H426+I426)-(R426+S426+T426+U426))</f>
        <v>0</v>
      </c>
      <c r="O426" s="233">
        <f t="shared" ref="O426:O489" si="2293">G426*J427</f>
        <v>0</v>
      </c>
      <c r="P426" s="233">
        <f t="shared" ref="P426:P489" si="2294">G426*K427</f>
        <v>0</v>
      </c>
      <c r="Q426" s="233">
        <f t="shared" ref="Q426:Q489" si="2295">G426*L427</f>
        <v>0</v>
      </c>
      <c r="R426" s="233">
        <f>'임금대장 양식'!R426</f>
        <v>0</v>
      </c>
      <c r="S426" s="233">
        <f>'임금대장 양식'!S426</f>
        <v>0</v>
      </c>
      <c r="T426" s="233">
        <f>'임금대장 양식'!T426</f>
        <v>0</v>
      </c>
      <c r="U426" s="233">
        <f>'임금대장 양식'!U426</f>
        <v>0</v>
      </c>
    </row>
    <row r="427" spans="2:21" ht="21.5" customHeight="1">
      <c r="B427" s="234"/>
      <c r="C427" s="234">
        <v>0</v>
      </c>
      <c r="D427" s="210">
        <f>'임금대장 양식'!D427</f>
        <v>0</v>
      </c>
      <c r="E427" s="235"/>
      <c r="F427" s="236"/>
      <c r="G427" s="237"/>
      <c r="H427" s="238"/>
      <c r="I427" s="238"/>
      <c r="J427" s="239">
        <f t="shared" ref="J427:J490" si="2296">ROUND(J426*(365/12/7)*IF($S$4="5인 이상",1.5,1),0)</f>
        <v>0</v>
      </c>
      <c r="K427" s="239">
        <f t="shared" ref="K427:K490" si="2297">ROUND(K426*IF($S$4="5인 이상",1.5,1),0)</f>
        <v>0</v>
      </c>
      <c r="L427" s="239">
        <f t="shared" ref="L427:L490" si="2298">ROUND(L426*IF($S$4="5인 이상",1.5,1)+L426*IF($S$4="5인 이상",0.5,1),0)</f>
        <v>0</v>
      </c>
      <c r="M427" s="240"/>
      <c r="N427" s="236"/>
      <c r="O427" s="241"/>
      <c r="P427" s="241"/>
      <c r="Q427" s="241"/>
      <c r="R427" s="241"/>
      <c r="S427" s="241"/>
      <c r="T427" s="241"/>
      <c r="U427" s="241"/>
    </row>
    <row r="428" spans="2:21" ht="21.5" customHeight="1">
      <c r="B428" s="225">
        <f>'임금대장 양식'!B428</f>
        <v>0</v>
      </c>
      <c r="C428" s="225" cm="1">
        <f t="array" ref="C428:C429">'임금대장 양식'!C428:C429</f>
        <v>0</v>
      </c>
      <c r="D428" s="225">
        <f>'임금대장 양식'!D428</f>
        <v>0</v>
      </c>
      <c r="E428" s="226">
        <f>'임금대장 양식'!E428</f>
        <v>0</v>
      </c>
      <c r="F428" s="227">
        <f>'임금대장 양식'!F428</f>
        <v>0</v>
      </c>
      <c r="G428" s="228">
        <f t="shared" ref="G428" si="2299">IFERROR((F428)/M428,0)</f>
        <v>0</v>
      </c>
      <c r="H428" s="229">
        <f t="shared" ref="H428:H491" si="2300">IF(F428=0,0,ROUND((8*5)*(365/12/7),0))</f>
        <v>0</v>
      </c>
      <c r="I428" s="229">
        <f t="shared" ref="I428:I491" si="2301">IF(F428=0,0,ROUND(8*365/12/7,0))</f>
        <v>0</v>
      </c>
      <c r="J428" s="230">
        <f>'임금대장 양식'!J428</f>
        <v>0</v>
      </c>
      <c r="K428" s="231">
        <f>'임금대장 양식'!K428</f>
        <v>0</v>
      </c>
      <c r="L428" s="231">
        <f>'임금대장 양식'!L428</f>
        <v>0</v>
      </c>
      <c r="M428" s="232">
        <f t="shared" ref="M428:M491" si="2302">H428+I428+J429+K429+L429</f>
        <v>0</v>
      </c>
      <c r="N428" s="227">
        <f t="shared" ref="N428:N491" si="2303">IF(G428=0,0,G428*(H428+I428)-(R428+S428+T428+U428))</f>
        <v>0</v>
      </c>
      <c r="O428" s="233">
        <f t="shared" ref="O428:O491" si="2304">G428*J429</f>
        <v>0</v>
      </c>
      <c r="P428" s="233">
        <f t="shared" ref="P428:P491" si="2305">G428*K429</f>
        <v>0</v>
      </c>
      <c r="Q428" s="233">
        <f t="shared" ref="Q428:Q491" si="2306">G428*L429</f>
        <v>0</v>
      </c>
      <c r="R428" s="233">
        <f>'임금대장 양식'!R428</f>
        <v>0</v>
      </c>
      <c r="S428" s="233">
        <f>'임금대장 양식'!S428</f>
        <v>0</v>
      </c>
      <c r="T428" s="233">
        <f>'임금대장 양식'!T428</f>
        <v>0</v>
      </c>
      <c r="U428" s="233">
        <f>'임금대장 양식'!U428</f>
        <v>0</v>
      </c>
    </row>
    <row r="429" spans="2:21" ht="21.5" customHeight="1">
      <c r="B429" s="234"/>
      <c r="C429" s="234">
        <v>0</v>
      </c>
      <c r="D429" s="210">
        <f>'임금대장 양식'!D429</f>
        <v>0</v>
      </c>
      <c r="E429" s="235"/>
      <c r="F429" s="236"/>
      <c r="G429" s="237"/>
      <c r="H429" s="238"/>
      <c r="I429" s="238"/>
      <c r="J429" s="239">
        <f t="shared" ref="J429:J492" si="2307">ROUND(J428*(365/12/7)*IF($S$4="5인 이상",1.5,1),0)</f>
        <v>0</v>
      </c>
      <c r="K429" s="239">
        <f t="shared" ref="K429:K492" si="2308">ROUND(K428*IF($S$4="5인 이상",1.5,1),0)</f>
        <v>0</v>
      </c>
      <c r="L429" s="239">
        <f t="shared" ref="L429:L492" si="2309">ROUND(L428*IF($S$4="5인 이상",1.5,1)+L428*IF($S$4="5인 이상",0.5,1),0)</f>
        <v>0</v>
      </c>
      <c r="M429" s="240"/>
      <c r="N429" s="236"/>
      <c r="O429" s="241"/>
      <c r="P429" s="241"/>
      <c r="Q429" s="241"/>
      <c r="R429" s="241"/>
      <c r="S429" s="241"/>
      <c r="T429" s="241"/>
      <c r="U429" s="241"/>
    </row>
    <row r="430" spans="2:21" ht="21.5" customHeight="1">
      <c r="B430" s="225">
        <f>'임금대장 양식'!B430</f>
        <v>0</v>
      </c>
      <c r="C430" s="225" cm="1">
        <f t="array" ref="C430:C431">'임금대장 양식'!C430:C431</f>
        <v>0</v>
      </c>
      <c r="D430" s="225">
        <f>'임금대장 양식'!D430</f>
        <v>0</v>
      </c>
      <c r="E430" s="226">
        <f>'임금대장 양식'!E430</f>
        <v>0</v>
      </c>
      <c r="F430" s="227">
        <f>'임금대장 양식'!F430</f>
        <v>0</v>
      </c>
      <c r="G430" s="228">
        <f t="shared" ref="G430" si="2310">IFERROR((F430)/M430,0)</f>
        <v>0</v>
      </c>
      <c r="H430" s="229">
        <f t="shared" ref="H430:H493" si="2311">IF(F430=0,0,ROUND((8*5)*(365/12/7),0))</f>
        <v>0</v>
      </c>
      <c r="I430" s="229">
        <f t="shared" ref="I430:I493" si="2312">IF(F430=0,0,ROUND(8*365/12/7,0))</f>
        <v>0</v>
      </c>
      <c r="J430" s="230">
        <f>'임금대장 양식'!J430</f>
        <v>0</v>
      </c>
      <c r="K430" s="231">
        <f>'임금대장 양식'!K430</f>
        <v>0</v>
      </c>
      <c r="L430" s="231">
        <f>'임금대장 양식'!L430</f>
        <v>0</v>
      </c>
      <c r="M430" s="232">
        <f t="shared" ref="M430:M493" si="2313">H430+I430+J431+K431+L431</f>
        <v>0</v>
      </c>
      <c r="N430" s="227">
        <f t="shared" ref="N430:N493" si="2314">IF(G430=0,0,G430*(H430+I430)-(R430+S430+T430+U430))</f>
        <v>0</v>
      </c>
      <c r="O430" s="233">
        <f t="shared" ref="O430:O493" si="2315">G430*J431</f>
        <v>0</v>
      </c>
      <c r="P430" s="233">
        <f t="shared" ref="P430:P493" si="2316">G430*K431</f>
        <v>0</v>
      </c>
      <c r="Q430" s="233">
        <f t="shared" ref="Q430:Q493" si="2317">G430*L431</f>
        <v>0</v>
      </c>
      <c r="R430" s="233">
        <f>'임금대장 양식'!R430</f>
        <v>0</v>
      </c>
      <c r="S430" s="233">
        <f>'임금대장 양식'!S430</f>
        <v>0</v>
      </c>
      <c r="T430" s="233">
        <f>'임금대장 양식'!T430</f>
        <v>0</v>
      </c>
      <c r="U430" s="233">
        <f>'임금대장 양식'!U430</f>
        <v>0</v>
      </c>
    </row>
    <row r="431" spans="2:21" ht="21.5" customHeight="1">
      <c r="B431" s="234"/>
      <c r="C431" s="234">
        <v>0</v>
      </c>
      <c r="D431" s="210">
        <f>'임금대장 양식'!D431</f>
        <v>0</v>
      </c>
      <c r="E431" s="235"/>
      <c r="F431" s="236"/>
      <c r="G431" s="237"/>
      <c r="H431" s="238"/>
      <c r="I431" s="238"/>
      <c r="J431" s="239">
        <f t="shared" ref="J431:J494" si="2318">ROUND(J430*(365/12/7)*IF($S$4="5인 이상",1.5,1),0)</f>
        <v>0</v>
      </c>
      <c r="K431" s="239">
        <f t="shared" ref="K431:K494" si="2319">ROUND(K430*IF($S$4="5인 이상",1.5,1),0)</f>
        <v>0</v>
      </c>
      <c r="L431" s="239">
        <f t="shared" ref="L431:L494" si="2320">ROUND(L430*IF($S$4="5인 이상",1.5,1)+L430*IF($S$4="5인 이상",0.5,1),0)</f>
        <v>0</v>
      </c>
      <c r="M431" s="240"/>
      <c r="N431" s="236"/>
      <c r="O431" s="241"/>
      <c r="P431" s="241"/>
      <c r="Q431" s="241"/>
      <c r="R431" s="241"/>
      <c r="S431" s="241"/>
      <c r="T431" s="241"/>
      <c r="U431" s="241"/>
    </row>
    <row r="432" spans="2:21" ht="21.5" customHeight="1">
      <c r="B432" s="225">
        <f>'임금대장 양식'!B432</f>
        <v>0</v>
      </c>
      <c r="C432" s="225" cm="1">
        <f t="array" ref="C432:C433">'임금대장 양식'!C432:C433</f>
        <v>0</v>
      </c>
      <c r="D432" s="225">
        <f>'임금대장 양식'!D432</f>
        <v>0</v>
      </c>
      <c r="E432" s="226">
        <f>'임금대장 양식'!E432</f>
        <v>0</v>
      </c>
      <c r="F432" s="227">
        <f>'임금대장 양식'!F432</f>
        <v>0</v>
      </c>
      <c r="G432" s="228">
        <f t="shared" ref="G432" si="2321">IFERROR((F432)/M432,0)</f>
        <v>0</v>
      </c>
      <c r="H432" s="229">
        <f t="shared" ref="H432:H495" si="2322">IF(F432=0,0,ROUND((8*5)*(365/12/7),0))</f>
        <v>0</v>
      </c>
      <c r="I432" s="229">
        <f t="shared" ref="I432:I495" si="2323">IF(F432=0,0,ROUND(8*365/12/7,0))</f>
        <v>0</v>
      </c>
      <c r="J432" s="230">
        <f>'임금대장 양식'!J432</f>
        <v>0</v>
      </c>
      <c r="K432" s="231">
        <f>'임금대장 양식'!K432</f>
        <v>0</v>
      </c>
      <c r="L432" s="231">
        <f>'임금대장 양식'!L432</f>
        <v>0</v>
      </c>
      <c r="M432" s="232">
        <f t="shared" ref="M432:M495" si="2324">H432+I432+J433+K433+L433</f>
        <v>0</v>
      </c>
      <c r="N432" s="227">
        <f t="shared" ref="N432:N495" si="2325">IF(G432=0,0,G432*(H432+I432)-(R432+S432+T432+U432))</f>
        <v>0</v>
      </c>
      <c r="O432" s="233">
        <f t="shared" ref="O432:O495" si="2326">G432*J433</f>
        <v>0</v>
      </c>
      <c r="P432" s="233">
        <f t="shared" ref="P432:P495" si="2327">G432*K433</f>
        <v>0</v>
      </c>
      <c r="Q432" s="233">
        <f t="shared" ref="Q432:Q495" si="2328">G432*L433</f>
        <v>0</v>
      </c>
      <c r="R432" s="233">
        <f>'임금대장 양식'!R432</f>
        <v>0</v>
      </c>
      <c r="S432" s="233">
        <f>'임금대장 양식'!S432</f>
        <v>0</v>
      </c>
      <c r="T432" s="233">
        <f>'임금대장 양식'!T432</f>
        <v>0</v>
      </c>
      <c r="U432" s="233">
        <f>'임금대장 양식'!U432</f>
        <v>0</v>
      </c>
    </row>
    <row r="433" spans="2:21" ht="21.5" customHeight="1">
      <c r="B433" s="234"/>
      <c r="C433" s="234">
        <v>0</v>
      </c>
      <c r="D433" s="210">
        <f>'임금대장 양식'!D433</f>
        <v>0</v>
      </c>
      <c r="E433" s="235"/>
      <c r="F433" s="236"/>
      <c r="G433" s="237"/>
      <c r="H433" s="238"/>
      <c r="I433" s="238"/>
      <c r="J433" s="239">
        <f t="shared" ref="J433:J496" si="2329">ROUND(J432*(365/12/7)*IF($S$4="5인 이상",1.5,1),0)</f>
        <v>0</v>
      </c>
      <c r="K433" s="239">
        <f t="shared" ref="K433:K496" si="2330">ROUND(K432*IF($S$4="5인 이상",1.5,1),0)</f>
        <v>0</v>
      </c>
      <c r="L433" s="239">
        <f t="shared" ref="L433:L496" si="2331">ROUND(L432*IF($S$4="5인 이상",1.5,1)+L432*IF($S$4="5인 이상",0.5,1),0)</f>
        <v>0</v>
      </c>
      <c r="M433" s="240"/>
      <c r="N433" s="236"/>
      <c r="O433" s="241"/>
      <c r="P433" s="241"/>
      <c r="Q433" s="241"/>
      <c r="R433" s="241"/>
      <c r="S433" s="241"/>
      <c r="T433" s="241"/>
      <c r="U433" s="241"/>
    </row>
    <row r="434" spans="2:21" ht="21.5" customHeight="1">
      <c r="B434" s="225">
        <f>'임금대장 양식'!B434</f>
        <v>0</v>
      </c>
      <c r="C434" s="225" cm="1">
        <f t="array" ref="C434:C435">'임금대장 양식'!C434:C435</f>
        <v>0</v>
      </c>
      <c r="D434" s="225">
        <f>'임금대장 양식'!D434</f>
        <v>0</v>
      </c>
      <c r="E434" s="226">
        <f>'임금대장 양식'!E434</f>
        <v>0</v>
      </c>
      <c r="F434" s="227">
        <f>'임금대장 양식'!F434</f>
        <v>0</v>
      </c>
      <c r="G434" s="228">
        <f t="shared" ref="G434" si="2332">IFERROR((F434)/M434,0)</f>
        <v>0</v>
      </c>
      <c r="H434" s="229">
        <f t="shared" ref="H434:H497" si="2333">IF(F434=0,0,ROUND((8*5)*(365/12/7),0))</f>
        <v>0</v>
      </c>
      <c r="I434" s="229">
        <f t="shared" ref="I434:I497" si="2334">IF(F434=0,0,ROUND(8*365/12/7,0))</f>
        <v>0</v>
      </c>
      <c r="J434" s="230">
        <f>'임금대장 양식'!J434</f>
        <v>0</v>
      </c>
      <c r="K434" s="231">
        <f>'임금대장 양식'!K434</f>
        <v>0</v>
      </c>
      <c r="L434" s="231">
        <f>'임금대장 양식'!L434</f>
        <v>0</v>
      </c>
      <c r="M434" s="232">
        <f t="shared" ref="M434:M497" si="2335">H434+I434+J435+K435+L435</f>
        <v>0</v>
      </c>
      <c r="N434" s="227">
        <f t="shared" ref="N434:N497" si="2336">IF(G434=0,0,G434*(H434+I434)-(R434+S434+T434+U434))</f>
        <v>0</v>
      </c>
      <c r="O434" s="233">
        <f t="shared" ref="O434:O497" si="2337">G434*J435</f>
        <v>0</v>
      </c>
      <c r="P434" s="233">
        <f t="shared" ref="P434:P497" si="2338">G434*K435</f>
        <v>0</v>
      </c>
      <c r="Q434" s="233">
        <f t="shared" ref="Q434:Q497" si="2339">G434*L435</f>
        <v>0</v>
      </c>
      <c r="R434" s="233">
        <f>'임금대장 양식'!R434</f>
        <v>0</v>
      </c>
      <c r="S434" s="233">
        <f>'임금대장 양식'!S434</f>
        <v>0</v>
      </c>
      <c r="T434" s="233">
        <f>'임금대장 양식'!T434</f>
        <v>0</v>
      </c>
      <c r="U434" s="233">
        <f>'임금대장 양식'!U434</f>
        <v>0</v>
      </c>
    </row>
    <row r="435" spans="2:21" ht="21.5" customHeight="1">
      <c r="B435" s="234"/>
      <c r="C435" s="234">
        <v>0</v>
      </c>
      <c r="D435" s="210">
        <f>'임금대장 양식'!D435</f>
        <v>0</v>
      </c>
      <c r="E435" s="235"/>
      <c r="F435" s="236"/>
      <c r="G435" s="237"/>
      <c r="H435" s="238"/>
      <c r="I435" s="238"/>
      <c r="J435" s="239">
        <f t="shared" ref="J435:J498" si="2340">ROUND(J434*(365/12/7)*IF($S$4="5인 이상",1.5,1),0)</f>
        <v>0</v>
      </c>
      <c r="K435" s="239">
        <f t="shared" ref="K435:K498" si="2341">ROUND(K434*IF($S$4="5인 이상",1.5,1),0)</f>
        <v>0</v>
      </c>
      <c r="L435" s="239">
        <f t="shared" ref="L435:L498" si="2342">ROUND(L434*IF($S$4="5인 이상",1.5,1)+L434*IF($S$4="5인 이상",0.5,1),0)</f>
        <v>0</v>
      </c>
      <c r="M435" s="240"/>
      <c r="N435" s="236"/>
      <c r="O435" s="241"/>
      <c r="P435" s="241"/>
      <c r="Q435" s="241"/>
      <c r="R435" s="241"/>
      <c r="S435" s="241"/>
      <c r="T435" s="241"/>
      <c r="U435" s="241"/>
    </row>
    <row r="436" spans="2:21" ht="21.5" customHeight="1">
      <c r="B436" s="225">
        <f>'임금대장 양식'!B436</f>
        <v>0</v>
      </c>
      <c r="C436" s="225" cm="1">
        <f t="array" ref="C436:C437">'임금대장 양식'!C436:C437</f>
        <v>0</v>
      </c>
      <c r="D436" s="225">
        <f>'임금대장 양식'!D436</f>
        <v>0</v>
      </c>
      <c r="E436" s="226">
        <f>'임금대장 양식'!E436</f>
        <v>0</v>
      </c>
      <c r="F436" s="227">
        <f>'임금대장 양식'!F436</f>
        <v>0</v>
      </c>
      <c r="G436" s="228">
        <f t="shared" ref="G436" si="2343">IFERROR((F436)/M436,0)</f>
        <v>0</v>
      </c>
      <c r="H436" s="229">
        <f t="shared" ref="H436:H499" si="2344">IF(F436=0,0,ROUND((8*5)*(365/12/7),0))</f>
        <v>0</v>
      </c>
      <c r="I436" s="229">
        <f t="shared" ref="I436:I499" si="2345">IF(F436=0,0,ROUND(8*365/12/7,0))</f>
        <v>0</v>
      </c>
      <c r="J436" s="230">
        <f>'임금대장 양식'!J436</f>
        <v>0</v>
      </c>
      <c r="K436" s="231">
        <f>'임금대장 양식'!K436</f>
        <v>0</v>
      </c>
      <c r="L436" s="231">
        <f>'임금대장 양식'!L436</f>
        <v>0</v>
      </c>
      <c r="M436" s="232">
        <f t="shared" ref="M436:M499" si="2346">H436+I436+J437+K437+L437</f>
        <v>0</v>
      </c>
      <c r="N436" s="227">
        <f t="shared" ref="N436:N499" si="2347">IF(G436=0,0,G436*(H436+I436)-(R436+S436+T436+U436))</f>
        <v>0</v>
      </c>
      <c r="O436" s="233">
        <f t="shared" ref="O436:O499" si="2348">G436*J437</f>
        <v>0</v>
      </c>
      <c r="P436" s="233">
        <f t="shared" ref="P436:P499" si="2349">G436*K437</f>
        <v>0</v>
      </c>
      <c r="Q436" s="233">
        <f t="shared" ref="Q436:Q499" si="2350">G436*L437</f>
        <v>0</v>
      </c>
      <c r="R436" s="233">
        <f>'임금대장 양식'!R436</f>
        <v>0</v>
      </c>
      <c r="S436" s="233">
        <f>'임금대장 양식'!S436</f>
        <v>0</v>
      </c>
      <c r="T436" s="233">
        <f>'임금대장 양식'!T436</f>
        <v>0</v>
      </c>
      <c r="U436" s="233">
        <f>'임금대장 양식'!U436</f>
        <v>0</v>
      </c>
    </row>
    <row r="437" spans="2:21" ht="21.5" customHeight="1">
      <c r="B437" s="234"/>
      <c r="C437" s="234">
        <v>0</v>
      </c>
      <c r="D437" s="210">
        <f>'임금대장 양식'!D437</f>
        <v>0</v>
      </c>
      <c r="E437" s="235"/>
      <c r="F437" s="236"/>
      <c r="G437" s="237"/>
      <c r="H437" s="238"/>
      <c r="I437" s="238"/>
      <c r="J437" s="239">
        <f t="shared" ref="J437:J500" si="2351">ROUND(J436*(365/12/7)*IF($S$4="5인 이상",1.5,1),0)</f>
        <v>0</v>
      </c>
      <c r="K437" s="239">
        <f t="shared" ref="K437:K500" si="2352">ROUND(K436*IF($S$4="5인 이상",1.5,1),0)</f>
        <v>0</v>
      </c>
      <c r="L437" s="239">
        <f t="shared" ref="L437:L500" si="2353">ROUND(L436*IF($S$4="5인 이상",1.5,1)+L436*IF($S$4="5인 이상",0.5,1),0)</f>
        <v>0</v>
      </c>
      <c r="M437" s="240"/>
      <c r="N437" s="236"/>
      <c r="O437" s="241"/>
      <c r="P437" s="241"/>
      <c r="Q437" s="241"/>
      <c r="R437" s="241"/>
      <c r="S437" s="241"/>
      <c r="T437" s="241"/>
      <c r="U437" s="241"/>
    </row>
    <row r="438" spans="2:21" ht="21.5" customHeight="1">
      <c r="B438" s="225">
        <f>'임금대장 양식'!B438</f>
        <v>0</v>
      </c>
      <c r="C438" s="225" cm="1">
        <f t="array" ref="C438:C439">'임금대장 양식'!C438:C439</f>
        <v>0</v>
      </c>
      <c r="D438" s="225">
        <f>'임금대장 양식'!D438</f>
        <v>0</v>
      </c>
      <c r="E438" s="226">
        <f>'임금대장 양식'!E438</f>
        <v>0</v>
      </c>
      <c r="F438" s="227">
        <f>'임금대장 양식'!F438</f>
        <v>0</v>
      </c>
      <c r="G438" s="228">
        <f t="shared" ref="G438" si="2354">IFERROR((F438)/M438,0)</f>
        <v>0</v>
      </c>
      <c r="H438" s="229">
        <f t="shared" ref="H438:H501" si="2355">IF(F438=0,0,ROUND((8*5)*(365/12/7),0))</f>
        <v>0</v>
      </c>
      <c r="I438" s="229">
        <f t="shared" ref="I438:I501" si="2356">IF(F438=0,0,ROUND(8*365/12/7,0))</f>
        <v>0</v>
      </c>
      <c r="J438" s="230">
        <f>'임금대장 양식'!J438</f>
        <v>0</v>
      </c>
      <c r="K438" s="231">
        <f>'임금대장 양식'!K438</f>
        <v>0</v>
      </c>
      <c r="L438" s="231">
        <f>'임금대장 양식'!L438</f>
        <v>0</v>
      </c>
      <c r="M438" s="232">
        <f t="shared" ref="M438:M501" si="2357">H438+I438+J439+K439+L439</f>
        <v>0</v>
      </c>
      <c r="N438" s="227">
        <f t="shared" ref="N438:N501" si="2358">IF(G438=0,0,G438*(H438+I438)-(R438+S438+T438+U438))</f>
        <v>0</v>
      </c>
      <c r="O438" s="233">
        <f t="shared" ref="O438:O501" si="2359">G438*J439</f>
        <v>0</v>
      </c>
      <c r="P438" s="233">
        <f t="shared" ref="P438:P501" si="2360">G438*K439</f>
        <v>0</v>
      </c>
      <c r="Q438" s="233">
        <f t="shared" ref="Q438:Q501" si="2361">G438*L439</f>
        <v>0</v>
      </c>
      <c r="R438" s="233">
        <f>'임금대장 양식'!R438</f>
        <v>0</v>
      </c>
      <c r="S438" s="233">
        <f>'임금대장 양식'!S438</f>
        <v>0</v>
      </c>
      <c r="T438" s="233">
        <f>'임금대장 양식'!T438</f>
        <v>0</v>
      </c>
      <c r="U438" s="233">
        <f>'임금대장 양식'!U438</f>
        <v>0</v>
      </c>
    </row>
    <row r="439" spans="2:21" ht="21.5" customHeight="1">
      <c r="B439" s="234"/>
      <c r="C439" s="234">
        <v>0</v>
      </c>
      <c r="D439" s="210">
        <f>'임금대장 양식'!D439</f>
        <v>0</v>
      </c>
      <c r="E439" s="235"/>
      <c r="F439" s="236"/>
      <c r="G439" s="237"/>
      <c r="H439" s="238"/>
      <c r="I439" s="238"/>
      <c r="J439" s="239">
        <f t="shared" ref="J439:J502" si="2362">ROUND(J438*(365/12/7)*IF($S$4="5인 이상",1.5,1),0)</f>
        <v>0</v>
      </c>
      <c r="K439" s="239">
        <f t="shared" ref="K439:K502" si="2363">ROUND(K438*IF($S$4="5인 이상",1.5,1),0)</f>
        <v>0</v>
      </c>
      <c r="L439" s="239">
        <f t="shared" ref="L439:L502" si="2364">ROUND(L438*IF($S$4="5인 이상",1.5,1)+L438*IF($S$4="5인 이상",0.5,1),0)</f>
        <v>0</v>
      </c>
      <c r="M439" s="240"/>
      <c r="N439" s="236"/>
      <c r="O439" s="241"/>
      <c r="P439" s="241"/>
      <c r="Q439" s="241"/>
      <c r="R439" s="241"/>
      <c r="S439" s="241"/>
      <c r="T439" s="241"/>
      <c r="U439" s="241"/>
    </row>
    <row r="440" spans="2:21" ht="21.5" customHeight="1">
      <c r="B440" s="225">
        <f>'임금대장 양식'!B440</f>
        <v>0</v>
      </c>
      <c r="C440" s="225" cm="1">
        <f t="array" ref="C440:C441">'임금대장 양식'!C440:C441</f>
        <v>0</v>
      </c>
      <c r="D440" s="225">
        <f>'임금대장 양식'!D440</f>
        <v>0</v>
      </c>
      <c r="E440" s="226">
        <f>'임금대장 양식'!E440</f>
        <v>0</v>
      </c>
      <c r="F440" s="227">
        <f>'임금대장 양식'!F440</f>
        <v>0</v>
      </c>
      <c r="G440" s="228">
        <f t="shared" ref="G440" si="2365">IFERROR((F440)/M440,0)</f>
        <v>0</v>
      </c>
      <c r="H440" s="229">
        <f t="shared" ref="H440:H503" si="2366">IF(F440=0,0,ROUND((8*5)*(365/12/7),0))</f>
        <v>0</v>
      </c>
      <c r="I440" s="229">
        <f t="shared" ref="I440:I503" si="2367">IF(F440=0,0,ROUND(8*365/12/7,0))</f>
        <v>0</v>
      </c>
      <c r="J440" s="230">
        <f>'임금대장 양식'!J440</f>
        <v>0</v>
      </c>
      <c r="K440" s="231">
        <f>'임금대장 양식'!K440</f>
        <v>0</v>
      </c>
      <c r="L440" s="231">
        <f>'임금대장 양식'!L440</f>
        <v>0</v>
      </c>
      <c r="M440" s="232">
        <f t="shared" ref="M440:M503" si="2368">H440+I440+J441+K441+L441</f>
        <v>0</v>
      </c>
      <c r="N440" s="227">
        <f t="shared" ref="N440:N503" si="2369">IF(G440=0,0,G440*(H440+I440)-(R440+S440+T440+U440))</f>
        <v>0</v>
      </c>
      <c r="O440" s="233">
        <f t="shared" ref="O440:O503" si="2370">G440*J441</f>
        <v>0</v>
      </c>
      <c r="P440" s="233">
        <f t="shared" ref="P440:P503" si="2371">G440*K441</f>
        <v>0</v>
      </c>
      <c r="Q440" s="233">
        <f t="shared" ref="Q440:Q503" si="2372">G440*L441</f>
        <v>0</v>
      </c>
      <c r="R440" s="233">
        <f>'임금대장 양식'!R440</f>
        <v>0</v>
      </c>
      <c r="S440" s="233">
        <f>'임금대장 양식'!S440</f>
        <v>0</v>
      </c>
      <c r="T440" s="233">
        <f>'임금대장 양식'!T440</f>
        <v>0</v>
      </c>
      <c r="U440" s="233">
        <f>'임금대장 양식'!U440</f>
        <v>0</v>
      </c>
    </row>
    <row r="441" spans="2:21" ht="21.5" customHeight="1">
      <c r="B441" s="234"/>
      <c r="C441" s="234">
        <v>0</v>
      </c>
      <c r="D441" s="210">
        <f>'임금대장 양식'!D441</f>
        <v>0</v>
      </c>
      <c r="E441" s="235"/>
      <c r="F441" s="236"/>
      <c r="G441" s="237"/>
      <c r="H441" s="238"/>
      <c r="I441" s="238"/>
      <c r="J441" s="239">
        <f t="shared" ref="J441:J504" si="2373">ROUND(J440*(365/12/7)*IF($S$4="5인 이상",1.5,1),0)</f>
        <v>0</v>
      </c>
      <c r="K441" s="239">
        <f t="shared" ref="K441:K504" si="2374">ROUND(K440*IF($S$4="5인 이상",1.5,1),0)</f>
        <v>0</v>
      </c>
      <c r="L441" s="239">
        <f t="shared" ref="L441:L504" si="2375">ROUND(L440*IF($S$4="5인 이상",1.5,1)+L440*IF($S$4="5인 이상",0.5,1),0)</f>
        <v>0</v>
      </c>
      <c r="M441" s="240"/>
      <c r="N441" s="236"/>
      <c r="O441" s="241"/>
      <c r="P441" s="241"/>
      <c r="Q441" s="241"/>
      <c r="R441" s="241"/>
      <c r="S441" s="241"/>
      <c r="T441" s="241"/>
      <c r="U441" s="241"/>
    </row>
    <row r="442" spans="2:21" ht="21.5" customHeight="1">
      <c r="B442" s="225">
        <f>'임금대장 양식'!B442</f>
        <v>0</v>
      </c>
      <c r="C442" s="225" cm="1">
        <f t="array" ref="C442:C443">'임금대장 양식'!C442:C443</f>
        <v>0</v>
      </c>
      <c r="D442" s="225">
        <f>'임금대장 양식'!D442</f>
        <v>0</v>
      </c>
      <c r="E442" s="226">
        <f>'임금대장 양식'!E442</f>
        <v>0</v>
      </c>
      <c r="F442" s="227">
        <f>'임금대장 양식'!F442</f>
        <v>0</v>
      </c>
      <c r="G442" s="228">
        <f t="shared" ref="G442" si="2376">IFERROR((F442)/M442,0)</f>
        <v>0</v>
      </c>
      <c r="H442" s="229">
        <f t="shared" ref="H442:H505" si="2377">IF(F442=0,0,ROUND((8*5)*(365/12/7),0))</f>
        <v>0</v>
      </c>
      <c r="I442" s="229">
        <f t="shared" ref="I442:I505" si="2378">IF(F442=0,0,ROUND(8*365/12/7,0))</f>
        <v>0</v>
      </c>
      <c r="J442" s="230">
        <f>'임금대장 양식'!J442</f>
        <v>0</v>
      </c>
      <c r="K442" s="231">
        <f>'임금대장 양식'!K442</f>
        <v>0</v>
      </c>
      <c r="L442" s="231">
        <f>'임금대장 양식'!L442</f>
        <v>0</v>
      </c>
      <c r="M442" s="232">
        <f t="shared" ref="M442:M505" si="2379">H442+I442+J443+K443+L443</f>
        <v>0</v>
      </c>
      <c r="N442" s="227">
        <f t="shared" ref="N442:N505" si="2380">IF(G442=0,0,G442*(H442+I442)-(R442+S442+T442+U442))</f>
        <v>0</v>
      </c>
      <c r="O442" s="233">
        <f t="shared" ref="O442:O505" si="2381">G442*J443</f>
        <v>0</v>
      </c>
      <c r="P442" s="233">
        <f t="shared" ref="P442:P505" si="2382">G442*K443</f>
        <v>0</v>
      </c>
      <c r="Q442" s="233">
        <f t="shared" ref="Q442:Q505" si="2383">G442*L443</f>
        <v>0</v>
      </c>
      <c r="R442" s="233">
        <f>'임금대장 양식'!R442</f>
        <v>0</v>
      </c>
      <c r="S442" s="233">
        <f>'임금대장 양식'!S442</f>
        <v>0</v>
      </c>
      <c r="T442" s="233">
        <f>'임금대장 양식'!T442</f>
        <v>0</v>
      </c>
      <c r="U442" s="233">
        <f>'임금대장 양식'!U442</f>
        <v>0</v>
      </c>
    </row>
    <row r="443" spans="2:21" ht="21.5" customHeight="1">
      <c r="B443" s="234"/>
      <c r="C443" s="234">
        <v>0</v>
      </c>
      <c r="D443" s="210">
        <f>'임금대장 양식'!D443</f>
        <v>0</v>
      </c>
      <c r="E443" s="235"/>
      <c r="F443" s="236"/>
      <c r="G443" s="237"/>
      <c r="H443" s="238"/>
      <c r="I443" s="238"/>
      <c r="J443" s="239">
        <f t="shared" ref="J443:J506" si="2384">ROUND(J442*(365/12/7)*IF($S$4="5인 이상",1.5,1),0)</f>
        <v>0</v>
      </c>
      <c r="K443" s="239">
        <f t="shared" ref="K443:K506" si="2385">ROUND(K442*IF($S$4="5인 이상",1.5,1),0)</f>
        <v>0</v>
      </c>
      <c r="L443" s="239">
        <f t="shared" ref="L443:L506" si="2386">ROUND(L442*IF($S$4="5인 이상",1.5,1)+L442*IF($S$4="5인 이상",0.5,1),0)</f>
        <v>0</v>
      </c>
      <c r="M443" s="240"/>
      <c r="N443" s="236"/>
      <c r="O443" s="241"/>
      <c r="P443" s="241"/>
      <c r="Q443" s="241"/>
      <c r="R443" s="241"/>
      <c r="S443" s="241"/>
      <c r="T443" s="241"/>
      <c r="U443" s="241"/>
    </row>
    <row r="444" spans="2:21" ht="21.5" customHeight="1">
      <c r="B444" s="225">
        <f>'임금대장 양식'!B444</f>
        <v>0</v>
      </c>
      <c r="C444" s="225" cm="1">
        <f t="array" ref="C444:C445">'임금대장 양식'!C444:C445</f>
        <v>0</v>
      </c>
      <c r="D444" s="225">
        <f>'임금대장 양식'!D444</f>
        <v>0</v>
      </c>
      <c r="E444" s="226">
        <f>'임금대장 양식'!E444</f>
        <v>0</v>
      </c>
      <c r="F444" s="227">
        <f>'임금대장 양식'!F444</f>
        <v>0</v>
      </c>
      <c r="G444" s="228">
        <f t="shared" ref="G444" si="2387">IFERROR((F444)/M444,0)</f>
        <v>0</v>
      </c>
      <c r="H444" s="229">
        <f t="shared" ref="H444:H507" si="2388">IF(F444=0,0,ROUND((8*5)*(365/12/7),0))</f>
        <v>0</v>
      </c>
      <c r="I444" s="229">
        <f t="shared" ref="I444:I507" si="2389">IF(F444=0,0,ROUND(8*365/12/7,0))</f>
        <v>0</v>
      </c>
      <c r="J444" s="230">
        <f>'임금대장 양식'!J444</f>
        <v>0</v>
      </c>
      <c r="K444" s="231">
        <f>'임금대장 양식'!K444</f>
        <v>0</v>
      </c>
      <c r="L444" s="231">
        <f>'임금대장 양식'!L444</f>
        <v>0</v>
      </c>
      <c r="M444" s="232">
        <f t="shared" ref="M444:M507" si="2390">H444+I444+J445+K445+L445</f>
        <v>0</v>
      </c>
      <c r="N444" s="227">
        <f t="shared" ref="N444:N507" si="2391">IF(G444=0,0,G444*(H444+I444)-(R444+S444+T444+U444))</f>
        <v>0</v>
      </c>
      <c r="O444" s="233">
        <f t="shared" ref="O444:O507" si="2392">G444*J445</f>
        <v>0</v>
      </c>
      <c r="P444" s="233">
        <f t="shared" ref="P444:P507" si="2393">G444*K445</f>
        <v>0</v>
      </c>
      <c r="Q444" s="233">
        <f t="shared" ref="Q444:Q507" si="2394">G444*L445</f>
        <v>0</v>
      </c>
      <c r="R444" s="233">
        <f>'임금대장 양식'!R444</f>
        <v>0</v>
      </c>
      <c r="S444" s="233">
        <f>'임금대장 양식'!S444</f>
        <v>0</v>
      </c>
      <c r="T444" s="233">
        <f>'임금대장 양식'!T444</f>
        <v>0</v>
      </c>
      <c r="U444" s="233">
        <f>'임금대장 양식'!U444</f>
        <v>0</v>
      </c>
    </row>
    <row r="445" spans="2:21" ht="21.5" customHeight="1">
      <c r="B445" s="234"/>
      <c r="C445" s="234">
        <v>0</v>
      </c>
      <c r="D445" s="210">
        <f>'임금대장 양식'!D445</f>
        <v>0</v>
      </c>
      <c r="E445" s="235"/>
      <c r="F445" s="236"/>
      <c r="G445" s="237"/>
      <c r="H445" s="238"/>
      <c r="I445" s="238"/>
      <c r="J445" s="239">
        <f t="shared" ref="J445:J508" si="2395">ROUND(J444*(365/12/7)*IF($S$4="5인 이상",1.5,1),0)</f>
        <v>0</v>
      </c>
      <c r="K445" s="239">
        <f t="shared" ref="K445:K508" si="2396">ROUND(K444*IF($S$4="5인 이상",1.5,1),0)</f>
        <v>0</v>
      </c>
      <c r="L445" s="239">
        <f t="shared" ref="L445:L508" si="2397">ROUND(L444*IF($S$4="5인 이상",1.5,1)+L444*IF($S$4="5인 이상",0.5,1),0)</f>
        <v>0</v>
      </c>
      <c r="M445" s="240"/>
      <c r="N445" s="236"/>
      <c r="O445" s="241"/>
      <c r="P445" s="241"/>
      <c r="Q445" s="241"/>
      <c r="R445" s="241"/>
      <c r="S445" s="241"/>
      <c r="T445" s="241"/>
      <c r="U445" s="241"/>
    </row>
    <row r="446" spans="2:21" ht="21.5" customHeight="1">
      <c r="B446" s="225">
        <f>'임금대장 양식'!B446</f>
        <v>0</v>
      </c>
      <c r="C446" s="225" cm="1">
        <f t="array" ref="C446:C447">'임금대장 양식'!C446:C447</f>
        <v>0</v>
      </c>
      <c r="D446" s="225">
        <f>'임금대장 양식'!D446</f>
        <v>0</v>
      </c>
      <c r="E446" s="226">
        <f>'임금대장 양식'!E446</f>
        <v>0</v>
      </c>
      <c r="F446" s="227">
        <f>'임금대장 양식'!F446</f>
        <v>0</v>
      </c>
      <c r="G446" s="228">
        <f t="shared" ref="G446" si="2398">IFERROR((F446)/M446,0)</f>
        <v>0</v>
      </c>
      <c r="H446" s="229">
        <f t="shared" ref="H446:H509" si="2399">IF(F446=0,0,ROUND((8*5)*(365/12/7),0))</f>
        <v>0</v>
      </c>
      <c r="I446" s="229">
        <f t="shared" ref="I446:I509" si="2400">IF(F446=0,0,ROUND(8*365/12/7,0))</f>
        <v>0</v>
      </c>
      <c r="J446" s="230">
        <f>'임금대장 양식'!J446</f>
        <v>0</v>
      </c>
      <c r="K446" s="231">
        <f>'임금대장 양식'!K446</f>
        <v>0</v>
      </c>
      <c r="L446" s="231">
        <f>'임금대장 양식'!L446</f>
        <v>0</v>
      </c>
      <c r="M446" s="232">
        <f t="shared" ref="M446:M509" si="2401">H446+I446+J447+K447+L447</f>
        <v>0</v>
      </c>
      <c r="N446" s="227">
        <f t="shared" ref="N446:N509" si="2402">IF(G446=0,0,G446*(H446+I446)-(R446+S446+T446+U446))</f>
        <v>0</v>
      </c>
      <c r="O446" s="233">
        <f t="shared" ref="O446:O509" si="2403">G446*J447</f>
        <v>0</v>
      </c>
      <c r="P446" s="233">
        <f t="shared" ref="P446:P509" si="2404">G446*K447</f>
        <v>0</v>
      </c>
      <c r="Q446" s="233">
        <f t="shared" ref="Q446:Q509" si="2405">G446*L447</f>
        <v>0</v>
      </c>
      <c r="R446" s="233">
        <f>'임금대장 양식'!R446</f>
        <v>0</v>
      </c>
      <c r="S446" s="233">
        <f>'임금대장 양식'!S446</f>
        <v>0</v>
      </c>
      <c r="T446" s="233">
        <f>'임금대장 양식'!T446</f>
        <v>0</v>
      </c>
      <c r="U446" s="233">
        <f>'임금대장 양식'!U446</f>
        <v>0</v>
      </c>
    </row>
    <row r="447" spans="2:21" ht="21.5" customHeight="1">
      <c r="B447" s="234"/>
      <c r="C447" s="234">
        <v>0</v>
      </c>
      <c r="D447" s="210">
        <f>'임금대장 양식'!D447</f>
        <v>0</v>
      </c>
      <c r="E447" s="235"/>
      <c r="F447" s="236"/>
      <c r="G447" s="237"/>
      <c r="H447" s="238"/>
      <c r="I447" s="238"/>
      <c r="J447" s="239">
        <f t="shared" ref="J447:J510" si="2406">ROUND(J446*(365/12/7)*IF($S$4="5인 이상",1.5,1),0)</f>
        <v>0</v>
      </c>
      <c r="K447" s="239">
        <f t="shared" ref="K447:K510" si="2407">ROUND(K446*IF($S$4="5인 이상",1.5,1),0)</f>
        <v>0</v>
      </c>
      <c r="L447" s="239">
        <f t="shared" ref="L447:L510" si="2408">ROUND(L446*IF($S$4="5인 이상",1.5,1)+L446*IF($S$4="5인 이상",0.5,1),0)</f>
        <v>0</v>
      </c>
      <c r="M447" s="240"/>
      <c r="N447" s="236"/>
      <c r="O447" s="241"/>
      <c r="P447" s="241"/>
      <c r="Q447" s="241"/>
      <c r="R447" s="241"/>
      <c r="S447" s="241"/>
      <c r="T447" s="241"/>
      <c r="U447" s="241"/>
    </row>
    <row r="448" spans="2:21" ht="21.5" customHeight="1">
      <c r="B448" s="225">
        <f>'임금대장 양식'!B448</f>
        <v>0</v>
      </c>
      <c r="C448" s="225" cm="1">
        <f t="array" ref="C448:C449">'임금대장 양식'!C448:C449</f>
        <v>0</v>
      </c>
      <c r="D448" s="225">
        <f>'임금대장 양식'!D448</f>
        <v>0</v>
      </c>
      <c r="E448" s="226">
        <f>'임금대장 양식'!E448</f>
        <v>0</v>
      </c>
      <c r="F448" s="227">
        <f>'임금대장 양식'!F448</f>
        <v>0</v>
      </c>
      <c r="G448" s="228">
        <f t="shared" ref="G448" si="2409">IFERROR((F448)/M448,0)</f>
        <v>0</v>
      </c>
      <c r="H448" s="229">
        <f t="shared" ref="H448:H511" si="2410">IF(F448=0,0,ROUND((8*5)*(365/12/7),0))</f>
        <v>0</v>
      </c>
      <c r="I448" s="229">
        <f t="shared" ref="I448:I511" si="2411">IF(F448=0,0,ROUND(8*365/12/7,0))</f>
        <v>0</v>
      </c>
      <c r="J448" s="230">
        <f>'임금대장 양식'!J448</f>
        <v>0</v>
      </c>
      <c r="K448" s="231">
        <f>'임금대장 양식'!K448</f>
        <v>0</v>
      </c>
      <c r="L448" s="231">
        <f>'임금대장 양식'!L448</f>
        <v>0</v>
      </c>
      <c r="M448" s="232">
        <f t="shared" ref="M448:M511" si="2412">H448+I448+J449+K449+L449</f>
        <v>0</v>
      </c>
      <c r="N448" s="227">
        <f t="shared" ref="N448:N511" si="2413">IF(G448=0,0,G448*(H448+I448)-(R448+S448+T448+U448))</f>
        <v>0</v>
      </c>
      <c r="O448" s="233">
        <f t="shared" ref="O448:O511" si="2414">G448*J449</f>
        <v>0</v>
      </c>
      <c r="P448" s="233">
        <f t="shared" ref="P448:P511" si="2415">G448*K449</f>
        <v>0</v>
      </c>
      <c r="Q448" s="233">
        <f t="shared" ref="Q448:Q511" si="2416">G448*L449</f>
        <v>0</v>
      </c>
      <c r="R448" s="233">
        <f>'임금대장 양식'!R448</f>
        <v>0</v>
      </c>
      <c r="S448" s="233">
        <f>'임금대장 양식'!S448</f>
        <v>0</v>
      </c>
      <c r="T448" s="233">
        <f>'임금대장 양식'!T448</f>
        <v>0</v>
      </c>
      <c r="U448" s="233">
        <f>'임금대장 양식'!U448</f>
        <v>0</v>
      </c>
    </row>
    <row r="449" spans="2:21" ht="21.5" customHeight="1">
      <c r="B449" s="234"/>
      <c r="C449" s="234">
        <v>0</v>
      </c>
      <c r="D449" s="210">
        <f>'임금대장 양식'!D449</f>
        <v>0</v>
      </c>
      <c r="E449" s="235"/>
      <c r="F449" s="236"/>
      <c r="G449" s="237"/>
      <c r="H449" s="238"/>
      <c r="I449" s="238"/>
      <c r="J449" s="239">
        <f t="shared" ref="J449:J512" si="2417">ROUND(J448*(365/12/7)*IF($S$4="5인 이상",1.5,1),0)</f>
        <v>0</v>
      </c>
      <c r="K449" s="239">
        <f t="shared" ref="K449:K512" si="2418">ROUND(K448*IF($S$4="5인 이상",1.5,1),0)</f>
        <v>0</v>
      </c>
      <c r="L449" s="239">
        <f t="shared" ref="L449:L512" si="2419">ROUND(L448*IF($S$4="5인 이상",1.5,1)+L448*IF($S$4="5인 이상",0.5,1),0)</f>
        <v>0</v>
      </c>
      <c r="M449" s="240"/>
      <c r="N449" s="236"/>
      <c r="O449" s="241"/>
      <c r="P449" s="241"/>
      <c r="Q449" s="241"/>
      <c r="R449" s="241"/>
      <c r="S449" s="241"/>
      <c r="T449" s="241"/>
      <c r="U449" s="241"/>
    </row>
    <row r="450" spans="2:21" ht="21.5" customHeight="1">
      <c r="B450" s="225">
        <f>'임금대장 양식'!B450</f>
        <v>0</v>
      </c>
      <c r="C450" s="225" cm="1">
        <f t="array" ref="C450:C451">'임금대장 양식'!C450:C451</f>
        <v>0</v>
      </c>
      <c r="D450" s="225">
        <f>'임금대장 양식'!D450</f>
        <v>0</v>
      </c>
      <c r="E450" s="226">
        <f>'임금대장 양식'!E450</f>
        <v>0</v>
      </c>
      <c r="F450" s="227">
        <f>'임금대장 양식'!F450</f>
        <v>0</v>
      </c>
      <c r="G450" s="228">
        <f t="shared" ref="G450" si="2420">IFERROR((F450)/M450,0)</f>
        <v>0</v>
      </c>
      <c r="H450" s="229">
        <f t="shared" ref="H450:H513" si="2421">IF(F450=0,0,ROUND((8*5)*(365/12/7),0))</f>
        <v>0</v>
      </c>
      <c r="I450" s="229">
        <f t="shared" ref="I450:I513" si="2422">IF(F450=0,0,ROUND(8*365/12/7,0))</f>
        <v>0</v>
      </c>
      <c r="J450" s="230">
        <f>'임금대장 양식'!J450</f>
        <v>0</v>
      </c>
      <c r="K450" s="231">
        <f>'임금대장 양식'!K450</f>
        <v>0</v>
      </c>
      <c r="L450" s="231">
        <f>'임금대장 양식'!L450</f>
        <v>0</v>
      </c>
      <c r="M450" s="232">
        <f t="shared" ref="M450:M513" si="2423">H450+I450+J451+K451+L451</f>
        <v>0</v>
      </c>
      <c r="N450" s="227">
        <f t="shared" ref="N450:N513" si="2424">IF(G450=0,0,G450*(H450+I450)-(R450+S450+T450+U450))</f>
        <v>0</v>
      </c>
      <c r="O450" s="233">
        <f t="shared" ref="O450:O513" si="2425">G450*J451</f>
        <v>0</v>
      </c>
      <c r="P450" s="233">
        <f t="shared" ref="P450:P513" si="2426">G450*K451</f>
        <v>0</v>
      </c>
      <c r="Q450" s="233">
        <f t="shared" ref="Q450:Q513" si="2427">G450*L451</f>
        <v>0</v>
      </c>
      <c r="R450" s="233">
        <f>'임금대장 양식'!R450</f>
        <v>0</v>
      </c>
      <c r="S450" s="233">
        <f>'임금대장 양식'!S450</f>
        <v>0</v>
      </c>
      <c r="T450" s="233">
        <f>'임금대장 양식'!T450</f>
        <v>0</v>
      </c>
      <c r="U450" s="233">
        <f>'임금대장 양식'!U450</f>
        <v>0</v>
      </c>
    </row>
    <row r="451" spans="2:21" ht="21.5" customHeight="1">
      <c r="B451" s="234"/>
      <c r="C451" s="234">
        <v>0</v>
      </c>
      <c r="D451" s="210">
        <f>'임금대장 양식'!D451</f>
        <v>0</v>
      </c>
      <c r="E451" s="235"/>
      <c r="F451" s="236"/>
      <c r="G451" s="237"/>
      <c r="H451" s="238"/>
      <c r="I451" s="238"/>
      <c r="J451" s="239">
        <f t="shared" ref="J451:J514" si="2428">ROUND(J450*(365/12/7)*IF($S$4="5인 이상",1.5,1),0)</f>
        <v>0</v>
      </c>
      <c r="K451" s="239">
        <f t="shared" ref="K451:K514" si="2429">ROUND(K450*IF($S$4="5인 이상",1.5,1),0)</f>
        <v>0</v>
      </c>
      <c r="L451" s="239">
        <f t="shared" ref="L451:L514" si="2430">ROUND(L450*IF($S$4="5인 이상",1.5,1)+L450*IF($S$4="5인 이상",0.5,1),0)</f>
        <v>0</v>
      </c>
      <c r="M451" s="240"/>
      <c r="N451" s="236"/>
      <c r="O451" s="241"/>
      <c r="P451" s="241"/>
      <c r="Q451" s="241"/>
      <c r="R451" s="241"/>
      <c r="S451" s="241"/>
      <c r="T451" s="241"/>
      <c r="U451" s="241"/>
    </row>
    <row r="452" spans="2:21" ht="21.5" customHeight="1">
      <c r="B452" s="225">
        <f>'임금대장 양식'!B452</f>
        <v>0</v>
      </c>
      <c r="C452" s="225" cm="1">
        <f t="array" ref="C452:C453">'임금대장 양식'!C452:C453</f>
        <v>0</v>
      </c>
      <c r="D452" s="225">
        <f>'임금대장 양식'!D452</f>
        <v>0</v>
      </c>
      <c r="E452" s="226">
        <f>'임금대장 양식'!E452</f>
        <v>0</v>
      </c>
      <c r="F452" s="227">
        <f>'임금대장 양식'!F452</f>
        <v>0</v>
      </c>
      <c r="G452" s="228">
        <f t="shared" ref="G452" si="2431">IFERROR((F452)/M452,0)</f>
        <v>0</v>
      </c>
      <c r="H452" s="229">
        <f t="shared" ref="H452:H515" si="2432">IF(F452=0,0,ROUND((8*5)*(365/12/7),0))</f>
        <v>0</v>
      </c>
      <c r="I452" s="229">
        <f t="shared" ref="I452:I515" si="2433">IF(F452=0,0,ROUND(8*365/12/7,0))</f>
        <v>0</v>
      </c>
      <c r="J452" s="230">
        <f>'임금대장 양식'!J452</f>
        <v>0</v>
      </c>
      <c r="K452" s="231">
        <f>'임금대장 양식'!K452</f>
        <v>0</v>
      </c>
      <c r="L452" s="231">
        <f>'임금대장 양식'!L452</f>
        <v>0</v>
      </c>
      <c r="M452" s="232">
        <f t="shared" ref="M452:M515" si="2434">H452+I452+J453+K453+L453</f>
        <v>0</v>
      </c>
      <c r="N452" s="227">
        <f t="shared" ref="N452:N515" si="2435">IF(G452=0,0,G452*(H452+I452)-(R452+S452+T452+U452))</f>
        <v>0</v>
      </c>
      <c r="O452" s="233">
        <f t="shared" ref="O452:O515" si="2436">G452*J453</f>
        <v>0</v>
      </c>
      <c r="P452" s="233">
        <f t="shared" ref="P452:P515" si="2437">G452*K453</f>
        <v>0</v>
      </c>
      <c r="Q452" s="233">
        <f t="shared" ref="Q452:Q515" si="2438">G452*L453</f>
        <v>0</v>
      </c>
      <c r="R452" s="233">
        <f>'임금대장 양식'!R452</f>
        <v>0</v>
      </c>
      <c r="S452" s="233">
        <f>'임금대장 양식'!S452</f>
        <v>0</v>
      </c>
      <c r="T452" s="233">
        <f>'임금대장 양식'!T452</f>
        <v>0</v>
      </c>
      <c r="U452" s="233">
        <f>'임금대장 양식'!U452</f>
        <v>0</v>
      </c>
    </row>
    <row r="453" spans="2:21" ht="21.5" customHeight="1">
      <c r="B453" s="234"/>
      <c r="C453" s="234">
        <v>0</v>
      </c>
      <c r="D453" s="210">
        <f>'임금대장 양식'!D453</f>
        <v>0</v>
      </c>
      <c r="E453" s="235"/>
      <c r="F453" s="236"/>
      <c r="G453" s="237"/>
      <c r="H453" s="238"/>
      <c r="I453" s="238"/>
      <c r="J453" s="239">
        <f t="shared" ref="J453:J516" si="2439">ROUND(J452*(365/12/7)*IF($S$4="5인 이상",1.5,1),0)</f>
        <v>0</v>
      </c>
      <c r="K453" s="239">
        <f t="shared" ref="K453:K516" si="2440">ROUND(K452*IF($S$4="5인 이상",1.5,1),0)</f>
        <v>0</v>
      </c>
      <c r="L453" s="239">
        <f t="shared" ref="L453:L516" si="2441">ROUND(L452*IF($S$4="5인 이상",1.5,1)+L452*IF($S$4="5인 이상",0.5,1),0)</f>
        <v>0</v>
      </c>
      <c r="M453" s="240"/>
      <c r="N453" s="236"/>
      <c r="O453" s="241"/>
      <c r="P453" s="241"/>
      <c r="Q453" s="241"/>
      <c r="R453" s="241"/>
      <c r="S453" s="241"/>
      <c r="T453" s="241"/>
      <c r="U453" s="241"/>
    </row>
    <row r="454" spans="2:21" ht="21.5" customHeight="1">
      <c r="B454" s="225">
        <f>'임금대장 양식'!B454</f>
        <v>0</v>
      </c>
      <c r="C454" s="225" cm="1">
        <f t="array" ref="C454:C455">'임금대장 양식'!C454:C455</f>
        <v>0</v>
      </c>
      <c r="D454" s="225">
        <f>'임금대장 양식'!D454</f>
        <v>0</v>
      </c>
      <c r="E454" s="226">
        <f>'임금대장 양식'!E454</f>
        <v>0</v>
      </c>
      <c r="F454" s="227">
        <f>'임금대장 양식'!F454</f>
        <v>0</v>
      </c>
      <c r="G454" s="228">
        <f t="shared" ref="G454" si="2442">IFERROR((F454)/M454,0)</f>
        <v>0</v>
      </c>
      <c r="H454" s="229">
        <f t="shared" ref="H454:H517" si="2443">IF(F454=0,0,ROUND((8*5)*(365/12/7),0))</f>
        <v>0</v>
      </c>
      <c r="I454" s="229">
        <f t="shared" ref="I454:I517" si="2444">IF(F454=0,0,ROUND(8*365/12/7,0))</f>
        <v>0</v>
      </c>
      <c r="J454" s="230">
        <f>'임금대장 양식'!J454</f>
        <v>0</v>
      </c>
      <c r="K454" s="231">
        <f>'임금대장 양식'!K454</f>
        <v>0</v>
      </c>
      <c r="L454" s="231">
        <f>'임금대장 양식'!L454</f>
        <v>0</v>
      </c>
      <c r="M454" s="232">
        <f t="shared" ref="M454:M517" si="2445">H454+I454+J455+K455+L455</f>
        <v>0</v>
      </c>
      <c r="N454" s="227">
        <f t="shared" ref="N454:N517" si="2446">IF(G454=0,0,G454*(H454+I454)-(R454+S454+T454+U454))</f>
        <v>0</v>
      </c>
      <c r="O454" s="233">
        <f t="shared" ref="O454:O517" si="2447">G454*J455</f>
        <v>0</v>
      </c>
      <c r="P454" s="233">
        <f t="shared" ref="P454:P517" si="2448">G454*K455</f>
        <v>0</v>
      </c>
      <c r="Q454" s="233">
        <f t="shared" ref="Q454:Q517" si="2449">G454*L455</f>
        <v>0</v>
      </c>
      <c r="R454" s="233">
        <f>'임금대장 양식'!R454</f>
        <v>0</v>
      </c>
      <c r="S454" s="233">
        <f>'임금대장 양식'!S454</f>
        <v>0</v>
      </c>
      <c r="T454" s="233">
        <f>'임금대장 양식'!T454</f>
        <v>0</v>
      </c>
      <c r="U454" s="233">
        <f>'임금대장 양식'!U454</f>
        <v>0</v>
      </c>
    </row>
    <row r="455" spans="2:21" ht="21.5" customHeight="1">
      <c r="B455" s="234"/>
      <c r="C455" s="234">
        <v>0</v>
      </c>
      <c r="D455" s="210">
        <f>'임금대장 양식'!D455</f>
        <v>0</v>
      </c>
      <c r="E455" s="235"/>
      <c r="F455" s="236"/>
      <c r="G455" s="237"/>
      <c r="H455" s="238"/>
      <c r="I455" s="238"/>
      <c r="J455" s="239">
        <f t="shared" ref="J455:J518" si="2450">ROUND(J454*(365/12/7)*IF($S$4="5인 이상",1.5,1),0)</f>
        <v>0</v>
      </c>
      <c r="K455" s="239">
        <f t="shared" ref="K455:K518" si="2451">ROUND(K454*IF($S$4="5인 이상",1.5,1),0)</f>
        <v>0</v>
      </c>
      <c r="L455" s="239">
        <f t="shared" ref="L455:L518" si="2452">ROUND(L454*IF($S$4="5인 이상",1.5,1)+L454*IF($S$4="5인 이상",0.5,1),0)</f>
        <v>0</v>
      </c>
      <c r="M455" s="240"/>
      <c r="N455" s="236"/>
      <c r="O455" s="241"/>
      <c r="P455" s="241"/>
      <c r="Q455" s="241"/>
      <c r="R455" s="241"/>
      <c r="S455" s="241"/>
      <c r="T455" s="241"/>
      <c r="U455" s="241"/>
    </row>
    <row r="456" spans="2:21" ht="21.5" customHeight="1">
      <c r="B456" s="225">
        <f>'임금대장 양식'!B456</f>
        <v>0</v>
      </c>
      <c r="C456" s="225" cm="1">
        <f t="array" ref="C456:C457">'임금대장 양식'!C456:C457</f>
        <v>0</v>
      </c>
      <c r="D456" s="225">
        <f>'임금대장 양식'!D456</f>
        <v>0</v>
      </c>
      <c r="E456" s="226">
        <f>'임금대장 양식'!E456</f>
        <v>0</v>
      </c>
      <c r="F456" s="227">
        <f>'임금대장 양식'!F456</f>
        <v>0</v>
      </c>
      <c r="G456" s="228">
        <f t="shared" ref="G456" si="2453">IFERROR((F456)/M456,0)</f>
        <v>0</v>
      </c>
      <c r="H456" s="229">
        <f t="shared" ref="H456:H519" si="2454">IF(F456=0,0,ROUND((8*5)*(365/12/7),0))</f>
        <v>0</v>
      </c>
      <c r="I456" s="229">
        <f t="shared" ref="I456:I519" si="2455">IF(F456=0,0,ROUND(8*365/12/7,0))</f>
        <v>0</v>
      </c>
      <c r="J456" s="230">
        <f>'임금대장 양식'!J456</f>
        <v>0</v>
      </c>
      <c r="K456" s="231">
        <f>'임금대장 양식'!K456</f>
        <v>0</v>
      </c>
      <c r="L456" s="231">
        <f>'임금대장 양식'!L456</f>
        <v>0</v>
      </c>
      <c r="M456" s="232">
        <f t="shared" ref="M456:M519" si="2456">H456+I456+J457+K457+L457</f>
        <v>0</v>
      </c>
      <c r="N456" s="227">
        <f t="shared" ref="N456:N519" si="2457">IF(G456=0,0,G456*(H456+I456)-(R456+S456+T456+U456))</f>
        <v>0</v>
      </c>
      <c r="O456" s="233">
        <f t="shared" ref="O456:O519" si="2458">G456*J457</f>
        <v>0</v>
      </c>
      <c r="P456" s="233">
        <f t="shared" ref="P456:P519" si="2459">G456*K457</f>
        <v>0</v>
      </c>
      <c r="Q456" s="233">
        <f t="shared" ref="Q456:Q519" si="2460">G456*L457</f>
        <v>0</v>
      </c>
      <c r="R456" s="233">
        <f>'임금대장 양식'!R456</f>
        <v>0</v>
      </c>
      <c r="S456" s="233">
        <f>'임금대장 양식'!S456</f>
        <v>0</v>
      </c>
      <c r="T456" s="233">
        <f>'임금대장 양식'!T456</f>
        <v>0</v>
      </c>
      <c r="U456" s="233">
        <f>'임금대장 양식'!U456</f>
        <v>0</v>
      </c>
    </row>
    <row r="457" spans="2:21" ht="21.5" customHeight="1">
      <c r="B457" s="234"/>
      <c r="C457" s="234">
        <v>0</v>
      </c>
      <c r="D457" s="210">
        <f>'임금대장 양식'!D457</f>
        <v>0</v>
      </c>
      <c r="E457" s="235"/>
      <c r="F457" s="236"/>
      <c r="G457" s="237"/>
      <c r="H457" s="238"/>
      <c r="I457" s="238"/>
      <c r="J457" s="239">
        <f t="shared" ref="J457:J520" si="2461">ROUND(J456*(365/12/7)*IF($S$4="5인 이상",1.5,1),0)</f>
        <v>0</v>
      </c>
      <c r="K457" s="239">
        <f t="shared" ref="K457:K520" si="2462">ROUND(K456*IF($S$4="5인 이상",1.5,1),0)</f>
        <v>0</v>
      </c>
      <c r="L457" s="239">
        <f t="shared" ref="L457:L520" si="2463">ROUND(L456*IF($S$4="5인 이상",1.5,1)+L456*IF($S$4="5인 이상",0.5,1),0)</f>
        <v>0</v>
      </c>
      <c r="M457" s="240"/>
      <c r="N457" s="236"/>
      <c r="O457" s="241"/>
      <c r="P457" s="241"/>
      <c r="Q457" s="241"/>
      <c r="R457" s="241"/>
      <c r="S457" s="241"/>
      <c r="T457" s="241"/>
      <c r="U457" s="241"/>
    </row>
    <row r="458" spans="2:21" ht="21.5" customHeight="1">
      <c r="B458" s="225">
        <f>'임금대장 양식'!B458</f>
        <v>0</v>
      </c>
      <c r="C458" s="225" cm="1">
        <f t="array" ref="C458:C459">'임금대장 양식'!C458:C459</f>
        <v>0</v>
      </c>
      <c r="D458" s="225">
        <f>'임금대장 양식'!D458</f>
        <v>0</v>
      </c>
      <c r="E458" s="226">
        <f>'임금대장 양식'!E458</f>
        <v>0</v>
      </c>
      <c r="F458" s="227">
        <f>'임금대장 양식'!F458</f>
        <v>0</v>
      </c>
      <c r="G458" s="228">
        <f t="shared" ref="G458" si="2464">IFERROR((F458)/M458,0)</f>
        <v>0</v>
      </c>
      <c r="H458" s="229">
        <f t="shared" ref="H458:H521" si="2465">IF(F458=0,0,ROUND((8*5)*(365/12/7),0))</f>
        <v>0</v>
      </c>
      <c r="I458" s="229">
        <f t="shared" ref="I458:I521" si="2466">IF(F458=0,0,ROUND(8*365/12/7,0))</f>
        <v>0</v>
      </c>
      <c r="J458" s="230">
        <f>'임금대장 양식'!J458</f>
        <v>0</v>
      </c>
      <c r="K458" s="231">
        <f>'임금대장 양식'!K458</f>
        <v>0</v>
      </c>
      <c r="L458" s="231">
        <f>'임금대장 양식'!L458</f>
        <v>0</v>
      </c>
      <c r="M458" s="232">
        <f t="shared" ref="M458:M521" si="2467">H458+I458+J459+K459+L459</f>
        <v>0</v>
      </c>
      <c r="N458" s="227">
        <f t="shared" ref="N458:N521" si="2468">IF(G458=0,0,G458*(H458+I458)-(R458+S458+T458+U458))</f>
        <v>0</v>
      </c>
      <c r="O458" s="233">
        <f t="shared" ref="O458:O521" si="2469">G458*J459</f>
        <v>0</v>
      </c>
      <c r="P458" s="233">
        <f t="shared" ref="P458:P521" si="2470">G458*K459</f>
        <v>0</v>
      </c>
      <c r="Q458" s="233">
        <f t="shared" ref="Q458:Q521" si="2471">G458*L459</f>
        <v>0</v>
      </c>
      <c r="R458" s="233">
        <f>'임금대장 양식'!R458</f>
        <v>0</v>
      </c>
      <c r="S458" s="233">
        <f>'임금대장 양식'!S458</f>
        <v>0</v>
      </c>
      <c r="T458" s="233">
        <f>'임금대장 양식'!T458</f>
        <v>0</v>
      </c>
      <c r="U458" s="233">
        <f>'임금대장 양식'!U458</f>
        <v>0</v>
      </c>
    </row>
    <row r="459" spans="2:21" ht="21.5" customHeight="1">
      <c r="B459" s="234"/>
      <c r="C459" s="234">
        <v>0</v>
      </c>
      <c r="D459" s="210">
        <f>'임금대장 양식'!D459</f>
        <v>0</v>
      </c>
      <c r="E459" s="235"/>
      <c r="F459" s="236"/>
      <c r="G459" s="237"/>
      <c r="H459" s="238"/>
      <c r="I459" s="238"/>
      <c r="J459" s="239">
        <f t="shared" ref="J459:J522" si="2472">ROUND(J458*(365/12/7)*IF($S$4="5인 이상",1.5,1),0)</f>
        <v>0</v>
      </c>
      <c r="K459" s="239">
        <f t="shared" ref="K459:K522" si="2473">ROUND(K458*IF($S$4="5인 이상",1.5,1),0)</f>
        <v>0</v>
      </c>
      <c r="L459" s="239">
        <f t="shared" ref="L459:L522" si="2474">ROUND(L458*IF($S$4="5인 이상",1.5,1)+L458*IF($S$4="5인 이상",0.5,1),0)</f>
        <v>0</v>
      </c>
      <c r="M459" s="240"/>
      <c r="N459" s="236"/>
      <c r="O459" s="241"/>
      <c r="P459" s="241"/>
      <c r="Q459" s="241"/>
      <c r="R459" s="241"/>
      <c r="S459" s="241"/>
      <c r="T459" s="241"/>
      <c r="U459" s="241"/>
    </row>
    <row r="460" spans="2:21" ht="21.5" customHeight="1">
      <c r="B460" s="225">
        <f>'임금대장 양식'!B460</f>
        <v>0</v>
      </c>
      <c r="C460" s="225" cm="1">
        <f t="array" ref="C460:C461">'임금대장 양식'!C460:C461</f>
        <v>0</v>
      </c>
      <c r="D460" s="225">
        <f>'임금대장 양식'!D460</f>
        <v>0</v>
      </c>
      <c r="E460" s="226">
        <f>'임금대장 양식'!E460</f>
        <v>0</v>
      </c>
      <c r="F460" s="227">
        <f>'임금대장 양식'!F460</f>
        <v>0</v>
      </c>
      <c r="G460" s="228">
        <f t="shared" ref="G460" si="2475">IFERROR((F460)/M460,0)</f>
        <v>0</v>
      </c>
      <c r="H460" s="229">
        <f t="shared" ref="H460:H523" si="2476">IF(F460=0,0,ROUND((8*5)*(365/12/7),0))</f>
        <v>0</v>
      </c>
      <c r="I460" s="229">
        <f t="shared" ref="I460:I523" si="2477">IF(F460=0,0,ROUND(8*365/12/7,0))</f>
        <v>0</v>
      </c>
      <c r="J460" s="230">
        <f>'임금대장 양식'!J460</f>
        <v>0</v>
      </c>
      <c r="K460" s="231">
        <f>'임금대장 양식'!K460</f>
        <v>0</v>
      </c>
      <c r="L460" s="231">
        <f>'임금대장 양식'!L460</f>
        <v>0</v>
      </c>
      <c r="M460" s="232">
        <f t="shared" ref="M460:M523" si="2478">H460+I460+J461+K461+L461</f>
        <v>0</v>
      </c>
      <c r="N460" s="227">
        <f t="shared" ref="N460:N523" si="2479">IF(G460=0,0,G460*(H460+I460)-(R460+S460+T460+U460))</f>
        <v>0</v>
      </c>
      <c r="O460" s="233">
        <f t="shared" ref="O460:O523" si="2480">G460*J461</f>
        <v>0</v>
      </c>
      <c r="P460" s="233">
        <f t="shared" ref="P460:P523" si="2481">G460*K461</f>
        <v>0</v>
      </c>
      <c r="Q460" s="233">
        <f t="shared" ref="Q460:Q523" si="2482">G460*L461</f>
        <v>0</v>
      </c>
      <c r="R460" s="233">
        <f>'임금대장 양식'!R460</f>
        <v>0</v>
      </c>
      <c r="S460" s="233">
        <f>'임금대장 양식'!S460</f>
        <v>0</v>
      </c>
      <c r="T460" s="233">
        <f>'임금대장 양식'!T460</f>
        <v>0</v>
      </c>
      <c r="U460" s="233">
        <f>'임금대장 양식'!U460</f>
        <v>0</v>
      </c>
    </row>
    <row r="461" spans="2:21" ht="21.5" customHeight="1">
      <c r="B461" s="234"/>
      <c r="C461" s="234">
        <v>0</v>
      </c>
      <c r="D461" s="210">
        <f>'임금대장 양식'!D461</f>
        <v>0</v>
      </c>
      <c r="E461" s="235"/>
      <c r="F461" s="236"/>
      <c r="G461" s="237"/>
      <c r="H461" s="238"/>
      <c r="I461" s="238"/>
      <c r="J461" s="239">
        <f t="shared" ref="J461:J524" si="2483">ROUND(J460*(365/12/7)*IF($S$4="5인 이상",1.5,1),0)</f>
        <v>0</v>
      </c>
      <c r="K461" s="239">
        <f t="shared" ref="K461:K524" si="2484">ROUND(K460*IF($S$4="5인 이상",1.5,1),0)</f>
        <v>0</v>
      </c>
      <c r="L461" s="239">
        <f t="shared" ref="L461:L524" si="2485">ROUND(L460*IF($S$4="5인 이상",1.5,1)+L460*IF($S$4="5인 이상",0.5,1),0)</f>
        <v>0</v>
      </c>
      <c r="M461" s="240"/>
      <c r="N461" s="236"/>
      <c r="O461" s="241"/>
      <c r="P461" s="241"/>
      <c r="Q461" s="241"/>
      <c r="R461" s="241"/>
      <c r="S461" s="241"/>
      <c r="T461" s="241"/>
      <c r="U461" s="241"/>
    </row>
    <row r="462" spans="2:21" ht="21.5" customHeight="1">
      <c r="B462" s="225">
        <f>'임금대장 양식'!B462</f>
        <v>0</v>
      </c>
      <c r="C462" s="225" cm="1">
        <f t="array" ref="C462:C463">'임금대장 양식'!C462:C463</f>
        <v>0</v>
      </c>
      <c r="D462" s="225">
        <f>'임금대장 양식'!D462</f>
        <v>0</v>
      </c>
      <c r="E462" s="226">
        <f>'임금대장 양식'!E462</f>
        <v>0</v>
      </c>
      <c r="F462" s="227">
        <f>'임금대장 양식'!F462</f>
        <v>0</v>
      </c>
      <c r="G462" s="228">
        <f t="shared" ref="G462" si="2486">IFERROR((F462)/M462,0)</f>
        <v>0</v>
      </c>
      <c r="H462" s="229">
        <f t="shared" ref="H462:H525" si="2487">IF(F462=0,0,ROUND((8*5)*(365/12/7),0))</f>
        <v>0</v>
      </c>
      <c r="I462" s="229">
        <f t="shared" ref="I462:I525" si="2488">IF(F462=0,0,ROUND(8*365/12/7,0))</f>
        <v>0</v>
      </c>
      <c r="J462" s="230">
        <f>'임금대장 양식'!J462</f>
        <v>0</v>
      </c>
      <c r="K462" s="231">
        <f>'임금대장 양식'!K462</f>
        <v>0</v>
      </c>
      <c r="L462" s="231">
        <f>'임금대장 양식'!L462</f>
        <v>0</v>
      </c>
      <c r="M462" s="232">
        <f t="shared" ref="M462:M525" si="2489">H462+I462+J463+K463+L463</f>
        <v>0</v>
      </c>
      <c r="N462" s="227">
        <f t="shared" ref="N462:N525" si="2490">IF(G462=0,0,G462*(H462+I462)-(R462+S462+T462+U462))</f>
        <v>0</v>
      </c>
      <c r="O462" s="233">
        <f t="shared" ref="O462:O525" si="2491">G462*J463</f>
        <v>0</v>
      </c>
      <c r="P462" s="233">
        <f t="shared" ref="P462:P525" si="2492">G462*K463</f>
        <v>0</v>
      </c>
      <c r="Q462" s="233">
        <f t="shared" ref="Q462:Q525" si="2493">G462*L463</f>
        <v>0</v>
      </c>
      <c r="R462" s="233">
        <f>'임금대장 양식'!R462</f>
        <v>0</v>
      </c>
      <c r="S462" s="233">
        <f>'임금대장 양식'!S462</f>
        <v>0</v>
      </c>
      <c r="T462" s="233">
        <f>'임금대장 양식'!T462</f>
        <v>0</v>
      </c>
      <c r="U462" s="233">
        <f>'임금대장 양식'!U462</f>
        <v>0</v>
      </c>
    </row>
    <row r="463" spans="2:21" ht="21.5" customHeight="1">
      <c r="B463" s="234"/>
      <c r="C463" s="234">
        <v>0</v>
      </c>
      <c r="D463" s="210">
        <f>'임금대장 양식'!D463</f>
        <v>0</v>
      </c>
      <c r="E463" s="235"/>
      <c r="F463" s="236"/>
      <c r="G463" s="237"/>
      <c r="H463" s="238"/>
      <c r="I463" s="238"/>
      <c r="J463" s="239">
        <f t="shared" ref="J463:J526" si="2494">ROUND(J462*(365/12/7)*IF($S$4="5인 이상",1.5,1),0)</f>
        <v>0</v>
      </c>
      <c r="K463" s="239">
        <f t="shared" ref="K463:K526" si="2495">ROUND(K462*IF($S$4="5인 이상",1.5,1),0)</f>
        <v>0</v>
      </c>
      <c r="L463" s="239">
        <f t="shared" ref="L463:L526" si="2496">ROUND(L462*IF($S$4="5인 이상",1.5,1)+L462*IF($S$4="5인 이상",0.5,1),0)</f>
        <v>0</v>
      </c>
      <c r="M463" s="240"/>
      <c r="N463" s="236"/>
      <c r="O463" s="241"/>
      <c r="P463" s="241"/>
      <c r="Q463" s="241"/>
      <c r="R463" s="241"/>
      <c r="S463" s="241"/>
      <c r="T463" s="241"/>
      <c r="U463" s="241"/>
    </row>
    <row r="464" spans="2:21" ht="21.5" customHeight="1">
      <c r="B464" s="225">
        <f>'임금대장 양식'!B464</f>
        <v>0</v>
      </c>
      <c r="C464" s="225" cm="1">
        <f t="array" ref="C464:C465">'임금대장 양식'!C464:C465</f>
        <v>0</v>
      </c>
      <c r="D464" s="225">
        <f>'임금대장 양식'!D464</f>
        <v>0</v>
      </c>
      <c r="E464" s="226">
        <f>'임금대장 양식'!E464</f>
        <v>0</v>
      </c>
      <c r="F464" s="227">
        <f>'임금대장 양식'!F464</f>
        <v>0</v>
      </c>
      <c r="G464" s="228">
        <f t="shared" ref="G464" si="2497">IFERROR((F464)/M464,0)</f>
        <v>0</v>
      </c>
      <c r="H464" s="229">
        <f t="shared" ref="H464:H527" si="2498">IF(F464=0,0,ROUND((8*5)*(365/12/7),0))</f>
        <v>0</v>
      </c>
      <c r="I464" s="229">
        <f t="shared" ref="I464:I527" si="2499">IF(F464=0,0,ROUND(8*365/12/7,0))</f>
        <v>0</v>
      </c>
      <c r="J464" s="230">
        <f>'임금대장 양식'!J464</f>
        <v>0</v>
      </c>
      <c r="K464" s="231">
        <f>'임금대장 양식'!K464</f>
        <v>0</v>
      </c>
      <c r="L464" s="231">
        <f>'임금대장 양식'!L464</f>
        <v>0</v>
      </c>
      <c r="M464" s="232">
        <f t="shared" ref="M464:M527" si="2500">H464+I464+J465+K465+L465</f>
        <v>0</v>
      </c>
      <c r="N464" s="227">
        <f t="shared" ref="N464:N527" si="2501">IF(G464=0,0,G464*(H464+I464)-(R464+S464+T464+U464))</f>
        <v>0</v>
      </c>
      <c r="O464" s="233">
        <f t="shared" ref="O464:O527" si="2502">G464*J465</f>
        <v>0</v>
      </c>
      <c r="P464" s="233">
        <f t="shared" ref="P464:P527" si="2503">G464*K465</f>
        <v>0</v>
      </c>
      <c r="Q464" s="233">
        <f t="shared" ref="Q464:Q527" si="2504">G464*L465</f>
        <v>0</v>
      </c>
      <c r="R464" s="233">
        <f>'임금대장 양식'!R464</f>
        <v>0</v>
      </c>
      <c r="S464" s="233">
        <f>'임금대장 양식'!S464</f>
        <v>0</v>
      </c>
      <c r="T464" s="233">
        <f>'임금대장 양식'!T464</f>
        <v>0</v>
      </c>
      <c r="U464" s="233">
        <f>'임금대장 양식'!U464</f>
        <v>0</v>
      </c>
    </row>
    <row r="465" spans="2:21" ht="21.5" customHeight="1">
      <c r="B465" s="234"/>
      <c r="C465" s="234">
        <v>0</v>
      </c>
      <c r="D465" s="210">
        <f>'임금대장 양식'!D465</f>
        <v>0</v>
      </c>
      <c r="E465" s="235"/>
      <c r="F465" s="236"/>
      <c r="G465" s="237"/>
      <c r="H465" s="238"/>
      <c r="I465" s="238"/>
      <c r="J465" s="239">
        <f t="shared" ref="J465:J528" si="2505">ROUND(J464*(365/12/7)*IF($S$4="5인 이상",1.5,1),0)</f>
        <v>0</v>
      </c>
      <c r="K465" s="239">
        <f t="shared" ref="K465:K528" si="2506">ROUND(K464*IF($S$4="5인 이상",1.5,1),0)</f>
        <v>0</v>
      </c>
      <c r="L465" s="239">
        <f t="shared" ref="L465:L528" si="2507">ROUND(L464*IF($S$4="5인 이상",1.5,1)+L464*IF($S$4="5인 이상",0.5,1),0)</f>
        <v>0</v>
      </c>
      <c r="M465" s="240"/>
      <c r="N465" s="236"/>
      <c r="O465" s="241"/>
      <c r="P465" s="241"/>
      <c r="Q465" s="241"/>
      <c r="R465" s="241"/>
      <c r="S465" s="241"/>
      <c r="T465" s="241"/>
      <c r="U465" s="241"/>
    </row>
    <row r="466" spans="2:21" ht="21.5" customHeight="1">
      <c r="B466" s="225">
        <f>'임금대장 양식'!B466</f>
        <v>0</v>
      </c>
      <c r="C466" s="225" cm="1">
        <f t="array" ref="C466:C467">'임금대장 양식'!C466:C467</f>
        <v>0</v>
      </c>
      <c r="D466" s="225">
        <f>'임금대장 양식'!D466</f>
        <v>0</v>
      </c>
      <c r="E466" s="226">
        <f>'임금대장 양식'!E466</f>
        <v>0</v>
      </c>
      <c r="F466" s="227">
        <f>'임금대장 양식'!F466</f>
        <v>0</v>
      </c>
      <c r="G466" s="228">
        <f t="shared" ref="G466" si="2508">IFERROR((F466)/M466,0)</f>
        <v>0</v>
      </c>
      <c r="H466" s="229">
        <f t="shared" ref="H466:H529" si="2509">IF(F466=0,0,ROUND((8*5)*(365/12/7),0))</f>
        <v>0</v>
      </c>
      <c r="I466" s="229">
        <f t="shared" ref="I466:I529" si="2510">IF(F466=0,0,ROUND(8*365/12/7,0))</f>
        <v>0</v>
      </c>
      <c r="J466" s="230">
        <f>'임금대장 양식'!J466</f>
        <v>0</v>
      </c>
      <c r="K466" s="231">
        <f>'임금대장 양식'!K466</f>
        <v>0</v>
      </c>
      <c r="L466" s="231">
        <f>'임금대장 양식'!L466</f>
        <v>0</v>
      </c>
      <c r="M466" s="232">
        <f t="shared" ref="M466:M529" si="2511">H466+I466+J467+K467+L467</f>
        <v>0</v>
      </c>
      <c r="N466" s="227">
        <f t="shared" ref="N466:N529" si="2512">IF(G466=0,0,G466*(H466+I466)-(R466+S466+T466+U466))</f>
        <v>0</v>
      </c>
      <c r="O466" s="233">
        <f t="shared" ref="O466:O529" si="2513">G466*J467</f>
        <v>0</v>
      </c>
      <c r="P466" s="233">
        <f t="shared" ref="P466:P529" si="2514">G466*K467</f>
        <v>0</v>
      </c>
      <c r="Q466" s="233">
        <f t="shared" ref="Q466:Q529" si="2515">G466*L467</f>
        <v>0</v>
      </c>
      <c r="R466" s="233">
        <f>'임금대장 양식'!R466</f>
        <v>0</v>
      </c>
      <c r="S466" s="233">
        <f>'임금대장 양식'!S466</f>
        <v>0</v>
      </c>
      <c r="T466" s="233">
        <f>'임금대장 양식'!T466</f>
        <v>0</v>
      </c>
      <c r="U466" s="233">
        <f>'임금대장 양식'!U466</f>
        <v>0</v>
      </c>
    </row>
    <row r="467" spans="2:21" ht="21.5" customHeight="1">
      <c r="B467" s="234"/>
      <c r="C467" s="234">
        <v>0</v>
      </c>
      <c r="D467" s="210">
        <f>'임금대장 양식'!D467</f>
        <v>0</v>
      </c>
      <c r="E467" s="235"/>
      <c r="F467" s="236"/>
      <c r="G467" s="237"/>
      <c r="H467" s="238"/>
      <c r="I467" s="238"/>
      <c r="J467" s="239">
        <f t="shared" ref="J467:J530" si="2516">ROUND(J466*(365/12/7)*IF($S$4="5인 이상",1.5,1),0)</f>
        <v>0</v>
      </c>
      <c r="K467" s="239">
        <f t="shared" ref="K467:K530" si="2517">ROUND(K466*IF($S$4="5인 이상",1.5,1),0)</f>
        <v>0</v>
      </c>
      <c r="L467" s="239">
        <f t="shared" ref="L467:L530" si="2518">ROUND(L466*IF($S$4="5인 이상",1.5,1)+L466*IF($S$4="5인 이상",0.5,1),0)</f>
        <v>0</v>
      </c>
      <c r="M467" s="240"/>
      <c r="N467" s="236"/>
      <c r="O467" s="241"/>
      <c r="P467" s="241"/>
      <c r="Q467" s="241"/>
      <c r="R467" s="241"/>
      <c r="S467" s="241"/>
      <c r="T467" s="241"/>
      <c r="U467" s="241"/>
    </row>
    <row r="468" spans="2:21" ht="21.5" customHeight="1">
      <c r="B468" s="225">
        <f>'임금대장 양식'!B468</f>
        <v>0</v>
      </c>
      <c r="C468" s="225" cm="1">
        <f t="array" ref="C468:C469">'임금대장 양식'!C468:C469</f>
        <v>0</v>
      </c>
      <c r="D468" s="225">
        <f>'임금대장 양식'!D468</f>
        <v>0</v>
      </c>
      <c r="E468" s="226">
        <f>'임금대장 양식'!E468</f>
        <v>0</v>
      </c>
      <c r="F468" s="227">
        <f>'임금대장 양식'!F468</f>
        <v>0</v>
      </c>
      <c r="G468" s="228">
        <f t="shared" ref="G468" si="2519">IFERROR((F468)/M468,0)</f>
        <v>0</v>
      </c>
      <c r="H468" s="229">
        <f t="shared" ref="H468:H531" si="2520">IF(F468=0,0,ROUND((8*5)*(365/12/7),0))</f>
        <v>0</v>
      </c>
      <c r="I468" s="229">
        <f t="shared" ref="I468:I531" si="2521">IF(F468=0,0,ROUND(8*365/12/7,0))</f>
        <v>0</v>
      </c>
      <c r="J468" s="230">
        <f>'임금대장 양식'!J468</f>
        <v>0</v>
      </c>
      <c r="K468" s="231">
        <f>'임금대장 양식'!K468</f>
        <v>0</v>
      </c>
      <c r="L468" s="231">
        <f>'임금대장 양식'!L468</f>
        <v>0</v>
      </c>
      <c r="M468" s="232">
        <f t="shared" ref="M468:M531" si="2522">H468+I468+J469+K469+L469</f>
        <v>0</v>
      </c>
      <c r="N468" s="227">
        <f t="shared" ref="N468:N531" si="2523">IF(G468=0,0,G468*(H468+I468)-(R468+S468+T468+U468))</f>
        <v>0</v>
      </c>
      <c r="O468" s="233">
        <f t="shared" ref="O468:O531" si="2524">G468*J469</f>
        <v>0</v>
      </c>
      <c r="P468" s="233">
        <f t="shared" ref="P468:P531" si="2525">G468*K469</f>
        <v>0</v>
      </c>
      <c r="Q468" s="233">
        <f t="shared" ref="Q468:Q531" si="2526">G468*L469</f>
        <v>0</v>
      </c>
      <c r="R468" s="233">
        <f>'임금대장 양식'!R468</f>
        <v>0</v>
      </c>
      <c r="S468" s="233">
        <f>'임금대장 양식'!S468</f>
        <v>0</v>
      </c>
      <c r="T468" s="233">
        <f>'임금대장 양식'!T468</f>
        <v>0</v>
      </c>
      <c r="U468" s="233">
        <f>'임금대장 양식'!U468</f>
        <v>0</v>
      </c>
    </row>
    <row r="469" spans="2:21" ht="21.5" customHeight="1">
      <c r="B469" s="234"/>
      <c r="C469" s="234">
        <v>0</v>
      </c>
      <c r="D469" s="210">
        <f>'임금대장 양식'!D469</f>
        <v>0</v>
      </c>
      <c r="E469" s="235"/>
      <c r="F469" s="236"/>
      <c r="G469" s="237"/>
      <c r="H469" s="238"/>
      <c r="I469" s="238"/>
      <c r="J469" s="239">
        <f t="shared" ref="J469:J532" si="2527">ROUND(J468*(365/12/7)*IF($S$4="5인 이상",1.5,1),0)</f>
        <v>0</v>
      </c>
      <c r="K469" s="239">
        <f t="shared" ref="K469:K532" si="2528">ROUND(K468*IF($S$4="5인 이상",1.5,1),0)</f>
        <v>0</v>
      </c>
      <c r="L469" s="239">
        <f t="shared" ref="L469:L532" si="2529">ROUND(L468*IF($S$4="5인 이상",1.5,1)+L468*IF($S$4="5인 이상",0.5,1),0)</f>
        <v>0</v>
      </c>
      <c r="M469" s="240"/>
      <c r="N469" s="236"/>
      <c r="O469" s="241"/>
      <c r="P469" s="241"/>
      <c r="Q469" s="241"/>
      <c r="R469" s="241"/>
      <c r="S469" s="241"/>
      <c r="T469" s="241"/>
      <c r="U469" s="241"/>
    </row>
    <row r="470" spans="2:21" ht="21.5" customHeight="1">
      <c r="B470" s="225">
        <f>'임금대장 양식'!B470</f>
        <v>0</v>
      </c>
      <c r="C470" s="225" cm="1">
        <f t="array" ref="C470:C471">'임금대장 양식'!C470:C471</f>
        <v>0</v>
      </c>
      <c r="D470" s="225">
        <f>'임금대장 양식'!D470</f>
        <v>0</v>
      </c>
      <c r="E470" s="226">
        <f>'임금대장 양식'!E470</f>
        <v>0</v>
      </c>
      <c r="F470" s="227">
        <f>'임금대장 양식'!F470</f>
        <v>0</v>
      </c>
      <c r="G470" s="228">
        <f t="shared" ref="G470" si="2530">IFERROR((F470)/M470,0)</f>
        <v>0</v>
      </c>
      <c r="H470" s="229">
        <f t="shared" ref="H470:H533" si="2531">IF(F470=0,0,ROUND((8*5)*(365/12/7),0))</f>
        <v>0</v>
      </c>
      <c r="I470" s="229">
        <f t="shared" ref="I470:I533" si="2532">IF(F470=0,0,ROUND(8*365/12/7,0))</f>
        <v>0</v>
      </c>
      <c r="J470" s="230">
        <f>'임금대장 양식'!J470</f>
        <v>0</v>
      </c>
      <c r="K470" s="231">
        <f>'임금대장 양식'!K470</f>
        <v>0</v>
      </c>
      <c r="L470" s="231">
        <f>'임금대장 양식'!L470</f>
        <v>0</v>
      </c>
      <c r="M470" s="232">
        <f t="shared" ref="M470:M533" si="2533">H470+I470+J471+K471+L471</f>
        <v>0</v>
      </c>
      <c r="N470" s="227">
        <f t="shared" ref="N470:N533" si="2534">IF(G470=0,0,G470*(H470+I470)-(R470+S470+T470+U470))</f>
        <v>0</v>
      </c>
      <c r="O470" s="233">
        <f t="shared" ref="O470:O533" si="2535">G470*J471</f>
        <v>0</v>
      </c>
      <c r="P470" s="233">
        <f t="shared" ref="P470:P533" si="2536">G470*K471</f>
        <v>0</v>
      </c>
      <c r="Q470" s="233">
        <f t="shared" ref="Q470:Q533" si="2537">G470*L471</f>
        <v>0</v>
      </c>
      <c r="R470" s="233">
        <f>'임금대장 양식'!R470</f>
        <v>0</v>
      </c>
      <c r="S470" s="233">
        <f>'임금대장 양식'!S470</f>
        <v>0</v>
      </c>
      <c r="T470" s="233">
        <f>'임금대장 양식'!T470</f>
        <v>0</v>
      </c>
      <c r="U470" s="233">
        <f>'임금대장 양식'!U470</f>
        <v>0</v>
      </c>
    </row>
    <row r="471" spans="2:21" ht="21.5" customHeight="1">
      <c r="B471" s="234"/>
      <c r="C471" s="234">
        <v>0</v>
      </c>
      <c r="D471" s="210">
        <f>'임금대장 양식'!D471</f>
        <v>0</v>
      </c>
      <c r="E471" s="235"/>
      <c r="F471" s="236"/>
      <c r="G471" s="237"/>
      <c r="H471" s="238"/>
      <c r="I471" s="238"/>
      <c r="J471" s="239">
        <f t="shared" ref="J471:J534" si="2538">ROUND(J470*(365/12/7)*IF($S$4="5인 이상",1.5,1),0)</f>
        <v>0</v>
      </c>
      <c r="K471" s="239">
        <f t="shared" ref="K471:K534" si="2539">ROUND(K470*IF($S$4="5인 이상",1.5,1),0)</f>
        <v>0</v>
      </c>
      <c r="L471" s="239">
        <f t="shared" ref="L471:L534" si="2540">ROUND(L470*IF($S$4="5인 이상",1.5,1)+L470*IF($S$4="5인 이상",0.5,1),0)</f>
        <v>0</v>
      </c>
      <c r="M471" s="240"/>
      <c r="N471" s="236"/>
      <c r="O471" s="241"/>
      <c r="P471" s="241"/>
      <c r="Q471" s="241"/>
      <c r="R471" s="241"/>
      <c r="S471" s="241"/>
      <c r="T471" s="241"/>
      <c r="U471" s="241"/>
    </row>
    <row r="472" spans="2:21" ht="21.5" customHeight="1">
      <c r="B472" s="225">
        <f>'임금대장 양식'!B472</f>
        <v>0</v>
      </c>
      <c r="C472" s="225" cm="1">
        <f t="array" ref="C472:C473">'임금대장 양식'!C472:C473</f>
        <v>0</v>
      </c>
      <c r="D472" s="225">
        <f>'임금대장 양식'!D472</f>
        <v>0</v>
      </c>
      <c r="E472" s="226">
        <f>'임금대장 양식'!E472</f>
        <v>0</v>
      </c>
      <c r="F472" s="227">
        <f>'임금대장 양식'!F472</f>
        <v>0</v>
      </c>
      <c r="G472" s="228">
        <f t="shared" ref="G472" si="2541">IFERROR((F472)/M472,0)</f>
        <v>0</v>
      </c>
      <c r="H472" s="229">
        <f t="shared" ref="H472:H535" si="2542">IF(F472=0,0,ROUND((8*5)*(365/12/7),0))</f>
        <v>0</v>
      </c>
      <c r="I472" s="229">
        <f t="shared" ref="I472:I535" si="2543">IF(F472=0,0,ROUND(8*365/12/7,0))</f>
        <v>0</v>
      </c>
      <c r="J472" s="230">
        <f>'임금대장 양식'!J472</f>
        <v>0</v>
      </c>
      <c r="K472" s="231">
        <f>'임금대장 양식'!K472</f>
        <v>0</v>
      </c>
      <c r="L472" s="231">
        <f>'임금대장 양식'!L472</f>
        <v>0</v>
      </c>
      <c r="M472" s="232">
        <f t="shared" ref="M472:M535" si="2544">H472+I472+J473+K473+L473</f>
        <v>0</v>
      </c>
      <c r="N472" s="227">
        <f t="shared" ref="N472:N535" si="2545">IF(G472=0,0,G472*(H472+I472)-(R472+S472+T472+U472))</f>
        <v>0</v>
      </c>
      <c r="O472" s="233">
        <f t="shared" ref="O472:O535" si="2546">G472*J473</f>
        <v>0</v>
      </c>
      <c r="P472" s="233">
        <f t="shared" ref="P472:P535" si="2547">G472*K473</f>
        <v>0</v>
      </c>
      <c r="Q472" s="233">
        <f t="shared" ref="Q472:Q535" si="2548">G472*L473</f>
        <v>0</v>
      </c>
      <c r="R472" s="233">
        <f>'임금대장 양식'!R472</f>
        <v>0</v>
      </c>
      <c r="S472" s="233">
        <f>'임금대장 양식'!S472</f>
        <v>0</v>
      </c>
      <c r="T472" s="233">
        <f>'임금대장 양식'!T472</f>
        <v>0</v>
      </c>
      <c r="U472" s="233">
        <f>'임금대장 양식'!U472</f>
        <v>0</v>
      </c>
    </row>
    <row r="473" spans="2:21" ht="21.5" customHeight="1">
      <c r="B473" s="234"/>
      <c r="C473" s="234">
        <v>0</v>
      </c>
      <c r="D473" s="210">
        <f>'임금대장 양식'!D473</f>
        <v>0</v>
      </c>
      <c r="E473" s="235"/>
      <c r="F473" s="236"/>
      <c r="G473" s="237"/>
      <c r="H473" s="238"/>
      <c r="I473" s="238"/>
      <c r="J473" s="239">
        <f t="shared" ref="J473:J536" si="2549">ROUND(J472*(365/12/7)*IF($S$4="5인 이상",1.5,1),0)</f>
        <v>0</v>
      </c>
      <c r="K473" s="239">
        <f t="shared" ref="K473:K536" si="2550">ROUND(K472*IF($S$4="5인 이상",1.5,1),0)</f>
        <v>0</v>
      </c>
      <c r="L473" s="239">
        <f t="shared" ref="L473:L536" si="2551">ROUND(L472*IF($S$4="5인 이상",1.5,1)+L472*IF($S$4="5인 이상",0.5,1),0)</f>
        <v>0</v>
      </c>
      <c r="M473" s="240"/>
      <c r="N473" s="236"/>
      <c r="O473" s="241"/>
      <c r="P473" s="241"/>
      <c r="Q473" s="241"/>
      <c r="R473" s="241"/>
      <c r="S473" s="241"/>
      <c r="T473" s="241"/>
      <c r="U473" s="241"/>
    </row>
    <row r="474" spans="2:21" ht="21.5" customHeight="1">
      <c r="B474" s="225">
        <f>'임금대장 양식'!B474</f>
        <v>0</v>
      </c>
      <c r="C474" s="225" cm="1">
        <f t="array" ref="C474:C475">'임금대장 양식'!C474:C475</f>
        <v>0</v>
      </c>
      <c r="D474" s="225">
        <f>'임금대장 양식'!D474</f>
        <v>0</v>
      </c>
      <c r="E474" s="226">
        <f>'임금대장 양식'!E474</f>
        <v>0</v>
      </c>
      <c r="F474" s="227">
        <f>'임금대장 양식'!F474</f>
        <v>0</v>
      </c>
      <c r="G474" s="228">
        <f t="shared" ref="G474" si="2552">IFERROR((F474)/M474,0)</f>
        <v>0</v>
      </c>
      <c r="H474" s="229">
        <f t="shared" ref="H474:H537" si="2553">IF(F474=0,0,ROUND((8*5)*(365/12/7),0))</f>
        <v>0</v>
      </c>
      <c r="I474" s="229">
        <f t="shared" ref="I474:I537" si="2554">IF(F474=0,0,ROUND(8*365/12/7,0))</f>
        <v>0</v>
      </c>
      <c r="J474" s="230">
        <f>'임금대장 양식'!J474</f>
        <v>0</v>
      </c>
      <c r="K474" s="231">
        <f>'임금대장 양식'!K474</f>
        <v>0</v>
      </c>
      <c r="L474" s="231">
        <f>'임금대장 양식'!L474</f>
        <v>0</v>
      </c>
      <c r="M474" s="232">
        <f t="shared" ref="M474:M537" si="2555">H474+I474+J475+K475+L475</f>
        <v>0</v>
      </c>
      <c r="N474" s="227">
        <f t="shared" ref="N474:N537" si="2556">IF(G474=0,0,G474*(H474+I474)-(R474+S474+T474+U474))</f>
        <v>0</v>
      </c>
      <c r="O474" s="233">
        <f t="shared" ref="O474:O537" si="2557">G474*J475</f>
        <v>0</v>
      </c>
      <c r="P474" s="233">
        <f t="shared" ref="P474:P537" si="2558">G474*K475</f>
        <v>0</v>
      </c>
      <c r="Q474" s="233">
        <f t="shared" ref="Q474:Q537" si="2559">G474*L475</f>
        <v>0</v>
      </c>
      <c r="R474" s="233">
        <f>'임금대장 양식'!R474</f>
        <v>0</v>
      </c>
      <c r="S474" s="233">
        <f>'임금대장 양식'!S474</f>
        <v>0</v>
      </c>
      <c r="T474" s="233">
        <f>'임금대장 양식'!T474</f>
        <v>0</v>
      </c>
      <c r="U474" s="233">
        <f>'임금대장 양식'!U474</f>
        <v>0</v>
      </c>
    </row>
    <row r="475" spans="2:21" ht="21.5" customHeight="1">
      <c r="B475" s="234"/>
      <c r="C475" s="234">
        <v>0</v>
      </c>
      <c r="D475" s="210">
        <f>'임금대장 양식'!D475</f>
        <v>0</v>
      </c>
      <c r="E475" s="235"/>
      <c r="F475" s="236"/>
      <c r="G475" s="237"/>
      <c r="H475" s="238"/>
      <c r="I475" s="238"/>
      <c r="J475" s="239">
        <f t="shared" ref="J475:J538" si="2560">ROUND(J474*(365/12/7)*IF($S$4="5인 이상",1.5,1),0)</f>
        <v>0</v>
      </c>
      <c r="K475" s="239">
        <f t="shared" ref="K475:K538" si="2561">ROUND(K474*IF($S$4="5인 이상",1.5,1),0)</f>
        <v>0</v>
      </c>
      <c r="L475" s="239">
        <f t="shared" ref="L475:L538" si="2562">ROUND(L474*IF($S$4="5인 이상",1.5,1)+L474*IF($S$4="5인 이상",0.5,1),0)</f>
        <v>0</v>
      </c>
      <c r="M475" s="240"/>
      <c r="N475" s="236"/>
      <c r="O475" s="241"/>
      <c r="P475" s="241"/>
      <c r="Q475" s="241"/>
      <c r="R475" s="241"/>
      <c r="S475" s="241"/>
      <c r="T475" s="241"/>
      <c r="U475" s="241"/>
    </row>
    <row r="476" spans="2:21" ht="21.5" customHeight="1">
      <c r="B476" s="225">
        <f>'임금대장 양식'!B476</f>
        <v>0</v>
      </c>
      <c r="C476" s="225" cm="1">
        <f t="array" ref="C476:C477">'임금대장 양식'!C476:C477</f>
        <v>0</v>
      </c>
      <c r="D476" s="225">
        <f>'임금대장 양식'!D476</f>
        <v>0</v>
      </c>
      <c r="E476" s="226">
        <f>'임금대장 양식'!E476</f>
        <v>0</v>
      </c>
      <c r="F476" s="227">
        <f>'임금대장 양식'!F476</f>
        <v>0</v>
      </c>
      <c r="G476" s="228">
        <f t="shared" ref="G476" si="2563">IFERROR((F476)/M476,0)</f>
        <v>0</v>
      </c>
      <c r="H476" s="229">
        <f t="shared" ref="H476:H539" si="2564">IF(F476=0,0,ROUND((8*5)*(365/12/7),0))</f>
        <v>0</v>
      </c>
      <c r="I476" s="229">
        <f t="shared" ref="I476:I539" si="2565">IF(F476=0,0,ROUND(8*365/12/7,0))</f>
        <v>0</v>
      </c>
      <c r="J476" s="230">
        <f>'임금대장 양식'!J476</f>
        <v>0</v>
      </c>
      <c r="K476" s="231">
        <f>'임금대장 양식'!K476</f>
        <v>0</v>
      </c>
      <c r="L476" s="231">
        <f>'임금대장 양식'!L476</f>
        <v>0</v>
      </c>
      <c r="M476" s="232">
        <f t="shared" ref="M476:M539" si="2566">H476+I476+J477+K477+L477</f>
        <v>0</v>
      </c>
      <c r="N476" s="227">
        <f t="shared" ref="N476:N539" si="2567">IF(G476=0,0,G476*(H476+I476)-(R476+S476+T476+U476))</f>
        <v>0</v>
      </c>
      <c r="O476" s="233">
        <f t="shared" ref="O476:O539" si="2568">G476*J477</f>
        <v>0</v>
      </c>
      <c r="P476" s="233">
        <f t="shared" ref="P476:P539" si="2569">G476*K477</f>
        <v>0</v>
      </c>
      <c r="Q476" s="233">
        <f t="shared" ref="Q476:Q539" si="2570">G476*L477</f>
        <v>0</v>
      </c>
      <c r="R476" s="233">
        <f>'임금대장 양식'!R476</f>
        <v>0</v>
      </c>
      <c r="S476" s="233">
        <f>'임금대장 양식'!S476</f>
        <v>0</v>
      </c>
      <c r="T476" s="233">
        <f>'임금대장 양식'!T476</f>
        <v>0</v>
      </c>
      <c r="U476" s="233">
        <f>'임금대장 양식'!U476</f>
        <v>0</v>
      </c>
    </row>
    <row r="477" spans="2:21" ht="21.5" customHeight="1">
      <c r="B477" s="234"/>
      <c r="C477" s="234">
        <v>0</v>
      </c>
      <c r="D477" s="210">
        <f>'임금대장 양식'!D477</f>
        <v>0</v>
      </c>
      <c r="E477" s="235"/>
      <c r="F477" s="236"/>
      <c r="G477" s="237"/>
      <c r="H477" s="238"/>
      <c r="I477" s="238"/>
      <c r="J477" s="239">
        <f t="shared" ref="J477:J540" si="2571">ROUND(J476*(365/12/7)*IF($S$4="5인 이상",1.5,1),0)</f>
        <v>0</v>
      </c>
      <c r="K477" s="239">
        <f t="shared" ref="K477:K540" si="2572">ROUND(K476*IF($S$4="5인 이상",1.5,1),0)</f>
        <v>0</v>
      </c>
      <c r="L477" s="239">
        <f t="shared" ref="L477:L540" si="2573">ROUND(L476*IF($S$4="5인 이상",1.5,1)+L476*IF($S$4="5인 이상",0.5,1),0)</f>
        <v>0</v>
      </c>
      <c r="M477" s="240"/>
      <c r="N477" s="236"/>
      <c r="O477" s="241"/>
      <c r="P477" s="241"/>
      <c r="Q477" s="241"/>
      <c r="R477" s="241"/>
      <c r="S477" s="241"/>
      <c r="T477" s="241"/>
      <c r="U477" s="241"/>
    </row>
    <row r="478" spans="2:21" ht="21.5" customHeight="1">
      <c r="B478" s="225">
        <f>'임금대장 양식'!B478</f>
        <v>0</v>
      </c>
      <c r="C478" s="225" cm="1">
        <f t="array" ref="C478:C479">'임금대장 양식'!C478:C479</f>
        <v>0</v>
      </c>
      <c r="D478" s="225">
        <f>'임금대장 양식'!D478</f>
        <v>0</v>
      </c>
      <c r="E478" s="226">
        <f>'임금대장 양식'!E478</f>
        <v>0</v>
      </c>
      <c r="F478" s="227">
        <f>'임금대장 양식'!F478</f>
        <v>0</v>
      </c>
      <c r="G478" s="228">
        <f t="shared" ref="G478" si="2574">IFERROR((F478)/M478,0)</f>
        <v>0</v>
      </c>
      <c r="H478" s="229">
        <f t="shared" ref="H478:H541" si="2575">IF(F478=0,0,ROUND((8*5)*(365/12/7),0))</f>
        <v>0</v>
      </c>
      <c r="I478" s="229">
        <f t="shared" ref="I478:I541" si="2576">IF(F478=0,0,ROUND(8*365/12/7,0))</f>
        <v>0</v>
      </c>
      <c r="J478" s="230">
        <f>'임금대장 양식'!J478</f>
        <v>0</v>
      </c>
      <c r="K478" s="231">
        <f>'임금대장 양식'!K478</f>
        <v>0</v>
      </c>
      <c r="L478" s="231">
        <f>'임금대장 양식'!L478</f>
        <v>0</v>
      </c>
      <c r="M478" s="232">
        <f t="shared" ref="M478:M541" si="2577">H478+I478+J479+K479+L479</f>
        <v>0</v>
      </c>
      <c r="N478" s="227">
        <f t="shared" ref="N478:N541" si="2578">IF(G478=0,0,G478*(H478+I478)-(R478+S478+T478+U478))</f>
        <v>0</v>
      </c>
      <c r="O478" s="233">
        <f t="shared" ref="O478:O541" si="2579">G478*J479</f>
        <v>0</v>
      </c>
      <c r="P478" s="233">
        <f t="shared" ref="P478:P541" si="2580">G478*K479</f>
        <v>0</v>
      </c>
      <c r="Q478" s="233">
        <f t="shared" ref="Q478:Q541" si="2581">G478*L479</f>
        <v>0</v>
      </c>
      <c r="R478" s="233">
        <f>'임금대장 양식'!R478</f>
        <v>0</v>
      </c>
      <c r="S478" s="233">
        <f>'임금대장 양식'!S478</f>
        <v>0</v>
      </c>
      <c r="T478" s="233">
        <f>'임금대장 양식'!T478</f>
        <v>0</v>
      </c>
      <c r="U478" s="233">
        <f>'임금대장 양식'!U478</f>
        <v>0</v>
      </c>
    </row>
    <row r="479" spans="2:21" ht="21.5" customHeight="1">
      <c r="B479" s="234"/>
      <c r="C479" s="234">
        <v>0</v>
      </c>
      <c r="D479" s="210">
        <f>'임금대장 양식'!D479</f>
        <v>0</v>
      </c>
      <c r="E479" s="235"/>
      <c r="F479" s="236"/>
      <c r="G479" s="237"/>
      <c r="H479" s="238"/>
      <c r="I479" s="238"/>
      <c r="J479" s="239">
        <f t="shared" ref="J479:J542" si="2582">ROUND(J478*(365/12/7)*IF($S$4="5인 이상",1.5,1),0)</f>
        <v>0</v>
      </c>
      <c r="K479" s="239">
        <f t="shared" ref="K479:K542" si="2583">ROUND(K478*IF($S$4="5인 이상",1.5,1),0)</f>
        <v>0</v>
      </c>
      <c r="L479" s="239">
        <f t="shared" ref="L479:L542" si="2584">ROUND(L478*IF($S$4="5인 이상",1.5,1)+L478*IF($S$4="5인 이상",0.5,1),0)</f>
        <v>0</v>
      </c>
      <c r="M479" s="240"/>
      <c r="N479" s="236"/>
      <c r="O479" s="241"/>
      <c r="P479" s="241"/>
      <c r="Q479" s="241"/>
      <c r="R479" s="241"/>
      <c r="S479" s="241"/>
      <c r="T479" s="241"/>
      <c r="U479" s="241"/>
    </row>
    <row r="480" spans="2:21" ht="21.5" customHeight="1">
      <c r="B480" s="225">
        <f>'임금대장 양식'!B480</f>
        <v>0</v>
      </c>
      <c r="C480" s="225" cm="1">
        <f t="array" ref="C480:C481">'임금대장 양식'!C480:C481</f>
        <v>0</v>
      </c>
      <c r="D480" s="225">
        <f>'임금대장 양식'!D480</f>
        <v>0</v>
      </c>
      <c r="E480" s="226">
        <f>'임금대장 양식'!E480</f>
        <v>0</v>
      </c>
      <c r="F480" s="227">
        <f>'임금대장 양식'!F480</f>
        <v>0</v>
      </c>
      <c r="G480" s="228">
        <f t="shared" ref="G480" si="2585">IFERROR((F480)/M480,0)</f>
        <v>0</v>
      </c>
      <c r="H480" s="229">
        <f t="shared" ref="H480:H543" si="2586">IF(F480=0,0,ROUND((8*5)*(365/12/7),0))</f>
        <v>0</v>
      </c>
      <c r="I480" s="229">
        <f t="shared" ref="I480:I543" si="2587">IF(F480=0,0,ROUND(8*365/12/7,0))</f>
        <v>0</v>
      </c>
      <c r="J480" s="230">
        <f>'임금대장 양식'!J480</f>
        <v>0</v>
      </c>
      <c r="K480" s="231">
        <f>'임금대장 양식'!K480</f>
        <v>0</v>
      </c>
      <c r="L480" s="231">
        <f>'임금대장 양식'!L480</f>
        <v>0</v>
      </c>
      <c r="M480" s="232">
        <f t="shared" ref="M480:M543" si="2588">H480+I480+J481+K481+L481</f>
        <v>0</v>
      </c>
      <c r="N480" s="227">
        <f t="shared" ref="N480:N543" si="2589">IF(G480=0,0,G480*(H480+I480)-(R480+S480+T480+U480))</f>
        <v>0</v>
      </c>
      <c r="O480" s="233">
        <f t="shared" ref="O480:O543" si="2590">G480*J481</f>
        <v>0</v>
      </c>
      <c r="P480" s="233">
        <f t="shared" ref="P480:P543" si="2591">G480*K481</f>
        <v>0</v>
      </c>
      <c r="Q480" s="233">
        <f t="shared" ref="Q480:Q543" si="2592">G480*L481</f>
        <v>0</v>
      </c>
      <c r="R480" s="233">
        <f>'임금대장 양식'!R480</f>
        <v>0</v>
      </c>
      <c r="S480" s="233">
        <f>'임금대장 양식'!S480</f>
        <v>0</v>
      </c>
      <c r="T480" s="233">
        <f>'임금대장 양식'!T480</f>
        <v>0</v>
      </c>
      <c r="U480" s="233">
        <f>'임금대장 양식'!U480</f>
        <v>0</v>
      </c>
    </row>
    <row r="481" spans="2:21" ht="21.5" customHeight="1">
      <c r="B481" s="234"/>
      <c r="C481" s="234">
        <v>0</v>
      </c>
      <c r="D481" s="210">
        <f>'임금대장 양식'!D481</f>
        <v>0</v>
      </c>
      <c r="E481" s="235"/>
      <c r="F481" s="236"/>
      <c r="G481" s="237"/>
      <c r="H481" s="238"/>
      <c r="I481" s="238"/>
      <c r="J481" s="239">
        <f t="shared" ref="J481:J544" si="2593">ROUND(J480*(365/12/7)*IF($S$4="5인 이상",1.5,1),0)</f>
        <v>0</v>
      </c>
      <c r="K481" s="239">
        <f t="shared" ref="K481:K544" si="2594">ROUND(K480*IF($S$4="5인 이상",1.5,1),0)</f>
        <v>0</v>
      </c>
      <c r="L481" s="239">
        <f t="shared" ref="L481:L544" si="2595">ROUND(L480*IF($S$4="5인 이상",1.5,1)+L480*IF($S$4="5인 이상",0.5,1),0)</f>
        <v>0</v>
      </c>
      <c r="M481" s="240"/>
      <c r="N481" s="236"/>
      <c r="O481" s="241"/>
      <c r="P481" s="241"/>
      <c r="Q481" s="241"/>
      <c r="R481" s="241"/>
      <c r="S481" s="241"/>
      <c r="T481" s="241"/>
      <c r="U481" s="241"/>
    </row>
    <row r="482" spans="2:21" ht="21.5" customHeight="1">
      <c r="B482" s="225">
        <f>'임금대장 양식'!B482</f>
        <v>0</v>
      </c>
      <c r="C482" s="225" cm="1">
        <f t="array" ref="C482:C483">'임금대장 양식'!C482:C483</f>
        <v>0</v>
      </c>
      <c r="D482" s="225">
        <f>'임금대장 양식'!D482</f>
        <v>0</v>
      </c>
      <c r="E482" s="226">
        <f>'임금대장 양식'!E482</f>
        <v>0</v>
      </c>
      <c r="F482" s="227">
        <f>'임금대장 양식'!F482</f>
        <v>0</v>
      </c>
      <c r="G482" s="228">
        <f t="shared" ref="G482" si="2596">IFERROR((F482)/M482,0)</f>
        <v>0</v>
      </c>
      <c r="H482" s="229">
        <f t="shared" ref="H482:H545" si="2597">IF(F482=0,0,ROUND((8*5)*(365/12/7),0))</f>
        <v>0</v>
      </c>
      <c r="I482" s="229">
        <f t="shared" ref="I482:I545" si="2598">IF(F482=0,0,ROUND(8*365/12/7,0))</f>
        <v>0</v>
      </c>
      <c r="J482" s="230">
        <f>'임금대장 양식'!J482</f>
        <v>0</v>
      </c>
      <c r="K482" s="231">
        <f>'임금대장 양식'!K482</f>
        <v>0</v>
      </c>
      <c r="L482" s="231">
        <f>'임금대장 양식'!L482</f>
        <v>0</v>
      </c>
      <c r="M482" s="232">
        <f t="shared" ref="M482:M545" si="2599">H482+I482+J483+K483+L483</f>
        <v>0</v>
      </c>
      <c r="N482" s="227">
        <f t="shared" ref="N482:N545" si="2600">IF(G482=0,0,G482*(H482+I482)-(R482+S482+T482+U482))</f>
        <v>0</v>
      </c>
      <c r="O482" s="233">
        <f t="shared" ref="O482:O545" si="2601">G482*J483</f>
        <v>0</v>
      </c>
      <c r="P482" s="233">
        <f t="shared" ref="P482:P545" si="2602">G482*K483</f>
        <v>0</v>
      </c>
      <c r="Q482" s="233">
        <f t="shared" ref="Q482:Q545" si="2603">G482*L483</f>
        <v>0</v>
      </c>
      <c r="R482" s="233">
        <f>'임금대장 양식'!R482</f>
        <v>0</v>
      </c>
      <c r="S482" s="233">
        <f>'임금대장 양식'!S482</f>
        <v>0</v>
      </c>
      <c r="T482" s="233">
        <f>'임금대장 양식'!T482</f>
        <v>0</v>
      </c>
      <c r="U482" s="233">
        <f>'임금대장 양식'!U482</f>
        <v>0</v>
      </c>
    </row>
    <row r="483" spans="2:21" ht="21.5" customHeight="1">
      <c r="B483" s="234"/>
      <c r="C483" s="234">
        <v>0</v>
      </c>
      <c r="D483" s="210">
        <f>'임금대장 양식'!D483</f>
        <v>0</v>
      </c>
      <c r="E483" s="235"/>
      <c r="F483" s="236"/>
      <c r="G483" s="237"/>
      <c r="H483" s="238"/>
      <c r="I483" s="238"/>
      <c r="J483" s="239">
        <f t="shared" ref="J483:J546" si="2604">ROUND(J482*(365/12/7)*IF($S$4="5인 이상",1.5,1),0)</f>
        <v>0</v>
      </c>
      <c r="K483" s="239">
        <f t="shared" ref="K483:K546" si="2605">ROUND(K482*IF($S$4="5인 이상",1.5,1),0)</f>
        <v>0</v>
      </c>
      <c r="L483" s="239">
        <f t="shared" ref="L483:L546" si="2606">ROUND(L482*IF($S$4="5인 이상",1.5,1)+L482*IF($S$4="5인 이상",0.5,1),0)</f>
        <v>0</v>
      </c>
      <c r="M483" s="240"/>
      <c r="N483" s="236"/>
      <c r="O483" s="241"/>
      <c r="P483" s="241"/>
      <c r="Q483" s="241"/>
      <c r="R483" s="241"/>
      <c r="S483" s="241"/>
      <c r="T483" s="241"/>
      <c r="U483" s="241"/>
    </row>
    <row r="484" spans="2:21" ht="21.5" customHeight="1">
      <c r="B484" s="225">
        <f>'임금대장 양식'!B484</f>
        <v>0</v>
      </c>
      <c r="C484" s="225" cm="1">
        <f t="array" ref="C484:C485">'임금대장 양식'!C484:C485</f>
        <v>0</v>
      </c>
      <c r="D484" s="225">
        <f>'임금대장 양식'!D484</f>
        <v>0</v>
      </c>
      <c r="E484" s="226">
        <f>'임금대장 양식'!E484</f>
        <v>0</v>
      </c>
      <c r="F484" s="227">
        <f>'임금대장 양식'!F484</f>
        <v>0</v>
      </c>
      <c r="G484" s="228">
        <f t="shared" ref="G484" si="2607">IFERROR((F484)/M484,0)</f>
        <v>0</v>
      </c>
      <c r="H484" s="229">
        <f t="shared" ref="H484:H547" si="2608">IF(F484=0,0,ROUND((8*5)*(365/12/7),0))</f>
        <v>0</v>
      </c>
      <c r="I484" s="229">
        <f t="shared" ref="I484:I547" si="2609">IF(F484=0,0,ROUND(8*365/12/7,0))</f>
        <v>0</v>
      </c>
      <c r="J484" s="230">
        <f>'임금대장 양식'!J484</f>
        <v>0</v>
      </c>
      <c r="K484" s="231">
        <f>'임금대장 양식'!K484</f>
        <v>0</v>
      </c>
      <c r="L484" s="231">
        <f>'임금대장 양식'!L484</f>
        <v>0</v>
      </c>
      <c r="M484" s="232">
        <f t="shared" ref="M484:M547" si="2610">H484+I484+J485+K485+L485</f>
        <v>0</v>
      </c>
      <c r="N484" s="227">
        <f t="shared" ref="N484:N547" si="2611">IF(G484=0,0,G484*(H484+I484)-(R484+S484+T484+U484))</f>
        <v>0</v>
      </c>
      <c r="O484" s="233">
        <f t="shared" ref="O484:O547" si="2612">G484*J485</f>
        <v>0</v>
      </c>
      <c r="P484" s="233">
        <f t="shared" ref="P484:P547" si="2613">G484*K485</f>
        <v>0</v>
      </c>
      <c r="Q484" s="233">
        <f t="shared" ref="Q484:Q547" si="2614">G484*L485</f>
        <v>0</v>
      </c>
      <c r="R484" s="233">
        <f>'임금대장 양식'!R484</f>
        <v>0</v>
      </c>
      <c r="S484" s="233">
        <f>'임금대장 양식'!S484</f>
        <v>0</v>
      </c>
      <c r="T484" s="233">
        <f>'임금대장 양식'!T484</f>
        <v>0</v>
      </c>
      <c r="U484" s="233">
        <f>'임금대장 양식'!U484</f>
        <v>0</v>
      </c>
    </row>
    <row r="485" spans="2:21" ht="21.5" customHeight="1">
      <c r="B485" s="234"/>
      <c r="C485" s="234">
        <v>0</v>
      </c>
      <c r="D485" s="210">
        <f>'임금대장 양식'!D485</f>
        <v>0</v>
      </c>
      <c r="E485" s="235"/>
      <c r="F485" s="236"/>
      <c r="G485" s="237"/>
      <c r="H485" s="238"/>
      <c r="I485" s="238"/>
      <c r="J485" s="239">
        <f t="shared" ref="J485:J548" si="2615">ROUND(J484*(365/12/7)*IF($S$4="5인 이상",1.5,1),0)</f>
        <v>0</v>
      </c>
      <c r="K485" s="239">
        <f t="shared" ref="K485:K548" si="2616">ROUND(K484*IF($S$4="5인 이상",1.5,1),0)</f>
        <v>0</v>
      </c>
      <c r="L485" s="239">
        <f t="shared" ref="L485:L548" si="2617">ROUND(L484*IF($S$4="5인 이상",1.5,1)+L484*IF($S$4="5인 이상",0.5,1),0)</f>
        <v>0</v>
      </c>
      <c r="M485" s="240"/>
      <c r="N485" s="236"/>
      <c r="O485" s="241"/>
      <c r="P485" s="241"/>
      <c r="Q485" s="241"/>
      <c r="R485" s="241"/>
      <c r="S485" s="241"/>
      <c r="T485" s="241"/>
      <c r="U485" s="241"/>
    </row>
    <row r="486" spans="2:21" ht="21.5" customHeight="1">
      <c r="B486" s="225">
        <f>'임금대장 양식'!B486</f>
        <v>0</v>
      </c>
      <c r="C486" s="225" cm="1">
        <f t="array" ref="C486:C487">'임금대장 양식'!C486:C487</f>
        <v>0</v>
      </c>
      <c r="D486" s="225">
        <f>'임금대장 양식'!D486</f>
        <v>0</v>
      </c>
      <c r="E486" s="226">
        <f>'임금대장 양식'!E486</f>
        <v>0</v>
      </c>
      <c r="F486" s="227">
        <f>'임금대장 양식'!F486</f>
        <v>0</v>
      </c>
      <c r="G486" s="228">
        <f t="shared" ref="G486" si="2618">IFERROR((F486)/M486,0)</f>
        <v>0</v>
      </c>
      <c r="H486" s="229">
        <f t="shared" ref="H486:H549" si="2619">IF(F486=0,0,ROUND((8*5)*(365/12/7),0))</f>
        <v>0</v>
      </c>
      <c r="I486" s="229">
        <f t="shared" ref="I486:I549" si="2620">IF(F486=0,0,ROUND(8*365/12/7,0))</f>
        <v>0</v>
      </c>
      <c r="J486" s="230">
        <f>'임금대장 양식'!J486</f>
        <v>0</v>
      </c>
      <c r="K486" s="231">
        <f>'임금대장 양식'!K486</f>
        <v>0</v>
      </c>
      <c r="L486" s="231">
        <f>'임금대장 양식'!L486</f>
        <v>0</v>
      </c>
      <c r="M486" s="232">
        <f t="shared" ref="M486:M549" si="2621">H486+I486+J487+K487+L487</f>
        <v>0</v>
      </c>
      <c r="N486" s="227">
        <f t="shared" ref="N486:N549" si="2622">IF(G486=0,0,G486*(H486+I486)-(R486+S486+T486+U486))</f>
        <v>0</v>
      </c>
      <c r="O486" s="233">
        <f t="shared" ref="O486:O549" si="2623">G486*J487</f>
        <v>0</v>
      </c>
      <c r="P486" s="233">
        <f t="shared" ref="P486:P549" si="2624">G486*K487</f>
        <v>0</v>
      </c>
      <c r="Q486" s="233">
        <f t="shared" ref="Q486:Q549" si="2625">G486*L487</f>
        <v>0</v>
      </c>
      <c r="R486" s="233">
        <f>'임금대장 양식'!R486</f>
        <v>0</v>
      </c>
      <c r="S486" s="233">
        <f>'임금대장 양식'!S486</f>
        <v>0</v>
      </c>
      <c r="T486" s="233">
        <f>'임금대장 양식'!T486</f>
        <v>0</v>
      </c>
      <c r="U486" s="233">
        <f>'임금대장 양식'!U486</f>
        <v>0</v>
      </c>
    </row>
    <row r="487" spans="2:21" ht="21.5" customHeight="1">
      <c r="B487" s="234"/>
      <c r="C487" s="234">
        <v>0</v>
      </c>
      <c r="D487" s="210">
        <f>'임금대장 양식'!D487</f>
        <v>0</v>
      </c>
      <c r="E487" s="235"/>
      <c r="F487" s="236"/>
      <c r="G487" s="237"/>
      <c r="H487" s="238"/>
      <c r="I487" s="238"/>
      <c r="J487" s="239">
        <f t="shared" ref="J487:J550" si="2626">ROUND(J486*(365/12/7)*IF($S$4="5인 이상",1.5,1),0)</f>
        <v>0</v>
      </c>
      <c r="K487" s="239">
        <f t="shared" ref="K487:K550" si="2627">ROUND(K486*IF($S$4="5인 이상",1.5,1),0)</f>
        <v>0</v>
      </c>
      <c r="L487" s="239">
        <f t="shared" ref="L487:L550" si="2628">ROUND(L486*IF($S$4="5인 이상",1.5,1)+L486*IF($S$4="5인 이상",0.5,1),0)</f>
        <v>0</v>
      </c>
      <c r="M487" s="240"/>
      <c r="N487" s="236"/>
      <c r="O487" s="241"/>
      <c r="P487" s="241"/>
      <c r="Q487" s="241"/>
      <c r="R487" s="241"/>
      <c r="S487" s="241"/>
      <c r="T487" s="241"/>
      <c r="U487" s="241"/>
    </row>
    <row r="488" spans="2:21" ht="21.5" customHeight="1">
      <c r="B488" s="225">
        <f>'임금대장 양식'!B488</f>
        <v>0</v>
      </c>
      <c r="C488" s="225" cm="1">
        <f t="array" ref="C488:C489">'임금대장 양식'!C488:C489</f>
        <v>0</v>
      </c>
      <c r="D488" s="225">
        <f>'임금대장 양식'!D488</f>
        <v>0</v>
      </c>
      <c r="E488" s="226">
        <f>'임금대장 양식'!E488</f>
        <v>0</v>
      </c>
      <c r="F488" s="227">
        <f>'임금대장 양식'!F488</f>
        <v>0</v>
      </c>
      <c r="G488" s="228">
        <f t="shared" ref="G488" si="2629">IFERROR((F488)/M488,0)</f>
        <v>0</v>
      </c>
      <c r="H488" s="229">
        <f t="shared" ref="H488:H551" si="2630">IF(F488=0,0,ROUND((8*5)*(365/12/7),0))</f>
        <v>0</v>
      </c>
      <c r="I488" s="229">
        <f t="shared" ref="I488:I551" si="2631">IF(F488=0,0,ROUND(8*365/12/7,0))</f>
        <v>0</v>
      </c>
      <c r="J488" s="230">
        <f>'임금대장 양식'!J488</f>
        <v>0</v>
      </c>
      <c r="K488" s="231">
        <f>'임금대장 양식'!K488</f>
        <v>0</v>
      </c>
      <c r="L488" s="231">
        <f>'임금대장 양식'!L488</f>
        <v>0</v>
      </c>
      <c r="M488" s="232">
        <f t="shared" ref="M488:M551" si="2632">H488+I488+J489+K489+L489</f>
        <v>0</v>
      </c>
      <c r="N488" s="227">
        <f t="shared" ref="N488:N551" si="2633">IF(G488=0,0,G488*(H488+I488)-(R488+S488+T488+U488))</f>
        <v>0</v>
      </c>
      <c r="O488" s="233">
        <f t="shared" ref="O488:O551" si="2634">G488*J489</f>
        <v>0</v>
      </c>
      <c r="P488" s="233">
        <f t="shared" ref="P488:P551" si="2635">G488*K489</f>
        <v>0</v>
      </c>
      <c r="Q488" s="233">
        <f t="shared" ref="Q488:Q551" si="2636">G488*L489</f>
        <v>0</v>
      </c>
      <c r="R488" s="233">
        <f>'임금대장 양식'!R488</f>
        <v>0</v>
      </c>
      <c r="S488" s="233">
        <f>'임금대장 양식'!S488</f>
        <v>0</v>
      </c>
      <c r="T488" s="233">
        <f>'임금대장 양식'!T488</f>
        <v>0</v>
      </c>
      <c r="U488" s="233">
        <f>'임금대장 양식'!U488</f>
        <v>0</v>
      </c>
    </row>
    <row r="489" spans="2:21" ht="21.5" customHeight="1">
      <c r="B489" s="234"/>
      <c r="C489" s="234">
        <v>0</v>
      </c>
      <c r="D489" s="210">
        <f>'임금대장 양식'!D489</f>
        <v>0</v>
      </c>
      <c r="E489" s="235"/>
      <c r="F489" s="236"/>
      <c r="G489" s="237"/>
      <c r="H489" s="238"/>
      <c r="I489" s="238"/>
      <c r="J489" s="239">
        <f t="shared" ref="J489:J552" si="2637">ROUND(J488*(365/12/7)*IF($S$4="5인 이상",1.5,1),0)</f>
        <v>0</v>
      </c>
      <c r="K489" s="239">
        <f t="shared" ref="K489:K552" si="2638">ROUND(K488*IF($S$4="5인 이상",1.5,1),0)</f>
        <v>0</v>
      </c>
      <c r="L489" s="239">
        <f t="shared" ref="L489:L552" si="2639">ROUND(L488*IF($S$4="5인 이상",1.5,1)+L488*IF($S$4="5인 이상",0.5,1),0)</f>
        <v>0</v>
      </c>
      <c r="M489" s="240"/>
      <c r="N489" s="236"/>
      <c r="O489" s="241"/>
      <c r="P489" s="241"/>
      <c r="Q489" s="241"/>
      <c r="R489" s="241"/>
      <c r="S489" s="241"/>
      <c r="T489" s="241"/>
      <c r="U489" s="241"/>
    </row>
    <row r="490" spans="2:21" ht="21.5" customHeight="1">
      <c r="B490" s="225">
        <f>'임금대장 양식'!B490</f>
        <v>0</v>
      </c>
      <c r="C490" s="225" cm="1">
        <f t="array" ref="C490:C491">'임금대장 양식'!C490:C491</f>
        <v>0</v>
      </c>
      <c r="D490" s="225">
        <f>'임금대장 양식'!D490</f>
        <v>0</v>
      </c>
      <c r="E490" s="226">
        <f>'임금대장 양식'!E490</f>
        <v>0</v>
      </c>
      <c r="F490" s="227">
        <f>'임금대장 양식'!F490</f>
        <v>0</v>
      </c>
      <c r="G490" s="228">
        <f t="shared" ref="G490" si="2640">IFERROR((F490)/M490,0)</f>
        <v>0</v>
      </c>
      <c r="H490" s="229">
        <f t="shared" ref="H490:H553" si="2641">IF(F490=0,0,ROUND((8*5)*(365/12/7),0))</f>
        <v>0</v>
      </c>
      <c r="I490" s="229">
        <f t="shared" ref="I490:I553" si="2642">IF(F490=0,0,ROUND(8*365/12/7,0))</f>
        <v>0</v>
      </c>
      <c r="J490" s="230">
        <f>'임금대장 양식'!J490</f>
        <v>0</v>
      </c>
      <c r="K490" s="231">
        <f>'임금대장 양식'!K490</f>
        <v>0</v>
      </c>
      <c r="L490" s="231">
        <f>'임금대장 양식'!L490</f>
        <v>0</v>
      </c>
      <c r="M490" s="232">
        <f t="shared" ref="M490:M553" si="2643">H490+I490+J491+K491+L491</f>
        <v>0</v>
      </c>
      <c r="N490" s="227">
        <f t="shared" ref="N490:N553" si="2644">IF(G490=0,0,G490*(H490+I490)-(R490+S490+T490+U490))</f>
        <v>0</v>
      </c>
      <c r="O490" s="233">
        <f t="shared" ref="O490:O553" si="2645">G490*J491</f>
        <v>0</v>
      </c>
      <c r="P490" s="233">
        <f t="shared" ref="P490:P553" si="2646">G490*K491</f>
        <v>0</v>
      </c>
      <c r="Q490" s="233">
        <f t="shared" ref="Q490:Q553" si="2647">G490*L491</f>
        <v>0</v>
      </c>
      <c r="R490" s="233">
        <f>'임금대장 양식'!R490</f>
        <v>0</v>
      </c>
      <c r="S490" s="233">
        <f>'임금대장 양식'!S490</f>
        <v>0</v>
      </c>
      <c r="T490" s="233">
        <f>'임금대장 양식'!T490</f>
        <v>0</v>
      </c>
      <c r="U490" s="233">
        <f>'임금대장 양식'!U490</f>
        <v>0</v>
      </c>
    </row>
    <row r="491" spans="2:21" ht="21.5" customHeight="1">
      <c r="B491" s="234"/>
      <c r="C491" s="234">
        <v>0</v>
      </c>
      <c r="D491" s="210">
        <f>'임금대장 양식'!D491</f>
        <v>0</v>
      </c>
      <c r="E491" s="235"/>
      <c r="F491" s="236"/>
      <c r="G491" s="237"/>
      <c r="H491" s="238"/>
      <c r="I491" s="238"/>
      <c r="J491" s="239">
        <f t="shared" ref="J491:J554" si="2648">ROUND(J490*(365/12/7)*IF($S$4="5인 이상",1.5,1),0)</f>
        <v>0</v>
      </c>
      <c r="K491" s="239">
        <f t="shared" ref="K491:K554" si="2649">ROUND(K490*IF($S$4="5인 이상",1.5,1),0)</f>
        <v>0</v>
      </c>
      <c r="L491" s="239">
        <f t="shared" ref="L491:L554" si="2650">ROUND(L490*IF($S$4="5인 이상",1.5,1)+L490*IF($S$4="5인 이상",0.5,1),0)</f>
        <v>0</v>
      </c>
      <c r="M491" s="240"/>
      <c r="N491" s="236"/>
      <c r="O491" s="241"/>
      <c r="P491" s="241"/>
      <c r="Q491" s="241"/>
      <c r="R491" s="241"/>
      <c r="S491" s="241"/>
      <c r="T491" s="241"/>
      <c r="U491" s="241"/>
    </row>
    <row r="492" spans="2:21" ht="21.5" customHeight="1">
      <c r="B492" s="225">
        <f>'임금대장 양식'!B492</f>
        <v>0</v>
      </c>
      <c r="C492" s="225" cm="1">
        <f t="array" ref="C492:C493">'임금대장 양식'!C492:C493</f>
        <v>0</v>
      </c>
      <c r="D492" s="225">
        <f>'임금대장 양식'!D492</f>
        <v>0</v>
      </c>
      <c r="E492" s="226">
        <f>'임금대장 양식'!E492</f>
        <v>0</v>
      </c>
      <c r="F492" s="227">
        <f>'임금대장 양식'!F492</f>
        <v>0</v>
      </c>
      <c r="G492" s="228">
        <f t="shared" ref="G492" si="2651">IFERROR((F492)/M492,0)</f>
        <v>0</v>
      </c>
      <c r="H492" s="229">
        <f t="shared" ref="H492:H555" si="2652">IF(F492=0,0,ROUND((8*5)*(365/12/7),0))</f>
        <v>0</v>
      </c>
      <c r="I492" s="229">
        <f t="shared" ref="I492:I555" si="2653">IF(F492=0,0,ROUND(8*365/12/7,0))</f>
        <v>0</v>
      </c>
      <c r="J492" s="230">
        <f>'임금대장 양식'!J492</f>
        <v>0</v>
      </c>
      <c r="K492" s="231">
        <f>'임금대장 양식'!K492</f>
        <v>0</v>
      </c>
      <c r="L492" s="231">
        <f>'임금대장 양식'!L492</f>
        <v>0</v>
      </c>
      <c r="M492" s="232">
        <f t="shared" ref="M492:M555" si="2654">H492+I492+J493+K493+L493</f>
        <v>0</v>
      </c>
      <c r="N492" s="227">
        <f t="shared" ref="N492:N555" si="2655">IF(G492=0,0,G492*(H492+I492)-(R492+S492+T492+U492))</f>
        <v>0</v>
      </c>
      <c r="O492" s="233">
        <f t="shared" ref="O492:O555" si="2656">G492*J493</f>
        <v>0</v>
      </c>
      <c r="P492" s="233">
        <f t="shared" ref="P492:P555" si="2657">G492*K493</f>
        <v>0</v>
      </c>
      <c r="Q492" s="233">
        <f t="shared" ref="Q492:Q555" si="2658">G492*L493</f>
        <v>0</v>
      </c>
      <c r="R492" s="233">
        <f>'임금대장 양식'!R492</f>
        <v>0</v>
      </c>
      <c r="S492" s="233">
        <f>'임금대장 양식'!S492</f>
        <v>0</v>
      </c>
      <c r="T492" s="233">
        <f>'임금대장 양식'!T492</f>
        <v>0</v>
      </c>
      <c r="U492" s="233">
        <f>'임금대장 양식'!U492</f>
        <v>0</v>
      </c>
    </row>
    <row r="493" spans="2:21" ht="21.5" customHeight="1">
      <c r="B493" s="234"/>
      <c r="C493" s="234">
        <v>0</v>
      </c>
      <c r="D493" s="210">
        <f>'임금대장 양식'!D493</f>
        <v>0</v>
      </c>
      <c r="E493" s="235"/>
      <c r="F493" s="236"/>
      <c r="G493" s="237"/>
      <c r="H493" s="238"/>
      <c r="I493" s="238"/>
      <c r="J493" s="239">
        <f t="shared" ref="J493:J556" si="2659">ROUND(J492*(365/12/7)*IF($S$4="5인 이상",1.5,1),0)</f>
        <v>0</v>
      </c>
      <c r="K493" s="239">
        <f t="shared" ref="K493:K556" si="2660">ROUND(K492*IF($S$4="5인 이상",1.5,1),0)</f>
        <v>0</v>
      </c>
      <c r="L493" s="239">
        <f t="shared" ref="L493:L556" si="2661">ROUND(L492*IF($S$4="5인 이상",1.5,1)+L492*IF($S$4="5인 이상",0.5,1),0)</f>
        <v>0</v>
      </c>
      <c r="M493" s="240"/>
      <c r="N493" s="236"/>
      <c r="O493" s="241"/>
      <c r="P493" s="241"/>
      <c r="Q493" s="241"/>
      <c r="R493" s="241"/>
      <c r="S493" s="241"/>
      <c r="T493" s="241"/>
      <c r="U493" s="241"/>
    </row>
    <row r="494" spans="2:21" ht="21.5" customHeight="1">
      <c r="B494" s="225">
        <f>'임금대장 양식'!B494</f>
        <v>0</v>
      </c>
      <c r="C494" s="225" cm="1">
        <f t="array" ref="C494:C495">'임금대장 양식'!C494:C495</f>
        <v>0</v>
      </c>
      <c r="D494" s="225">
        <f>'임금대장 양식'!D494</f>
        <v>0</v>
      </c>
      <c r="E494" s="226">
        <f>'임금대장 양식'!E494</f>
        <v>0</v>
      </c>
      <c r="F494" s="227">
        <f>'임금대장 양식'!F494</f>
        <v>0</v>
      </c>
      <c r="G494" s="228">
        <f t="shared" ref="G494" si="2662">IFERROR((F494)/M494,0)</f>
        <v>0</v>
      </c>
      <c r="H494" s="229">
        <f t="shared" ref="H494:H557" si="2663">IF(F494=0,0,ROUND((8*5)*(365/12/7),0))</f>
        <v>0</v>
      </c>
      <c r="I494" s="229">
        <f t="shared" ref="I494:I557" si="2664">IF(F494=0,0,ROUND(8*365/12/7,0))</f>
        <v>0</v>
      </c>
      <c r="J494" s="230">
        <f>'임금대장 양식'!J494</f>
        <v>0</v>
      </c>
      <c r="K494" s="231">
        <f>'임금대장 양식'!K494</f>
        <v>0</v>
      </c>
      <c r="L494" s="231">
        <f>'임금대장 양식'!L494</f>
        <v>0</v>
      </c>
      <c r="M494" s="232">
        <f t="shared" ref="M494:M557" si="2665">H494+I494+J495+K495+L495</f>
        <v>0</v>
      </c>
      <c r="N494" s="227">
        <f t="shared" ref="N494:N557" si="2666">IF(G494=0,0,G494*(H494+I494)-(R494+S494+T494+U494))</f>
        <v>0</v>
      </c>
      <c r="O494" s="233">
        <f t="shared" ref="O494:O557" si="2667">G494*J495</f>
        <v>0</v>
      </c>
      <c r="P494" s="233">
        <f t="shared" ref="P494:P557" si="2668">G494*K495</f>
        <v>0</v>
      </c>
      <c r="Q494" s="233">
        <f t="shared" ref="Q494:Q557" si="2669">G494*L495</f>
        <v>0</v>
      </c>
      <c r="R494" s="233">
        <f>'임금대장 양식'!R494</f>
        <v>0</v>
      </c>
      <c r="S494" s="233">
        <f>'임금대장 양식'!S494</f>
        <v>0</v>
      </c>
      <c r="T494" s="233">
        <f>'임금대장 양식'!T494</f>
        <v>0</v>
      </c>
      <c r="U494" s="233">
        <f>'임금대장 양식'!U494</f>
        <v>0</v>
      </c>
    </row>
    <row r="495" spans="2:21" ht="21.5" customHeight="1">
      <c r="B495" s="234"/>
      <c r="C495" s="234">
        <v>0</v>
      </c>
      <c r="D495" s="210">
        <f>'임금대장 양식'!D495</f>
        <v>0</v>
      </c>
      <c r="E495" s="235"/>
      <c r="F495" s="236"/>
      <c r="G495" s="237"/>
      <c r="H495" s="238"/>
      <c r="I495" s="238"/>
      <c r="J495" s="239">
        <f t="shared" ref="J495:J558" si="2670">ROUND(J494*(365/12/7)*IF($S$4="5인 이상",1.5,1),0)</f>
        <v>0</v>
      </c>
      <c r="K495" s="239">
        <f t="shared" ref="K495:K558" si="2671">ROUND(K494*IF($S$4="5인 이상",1.5,1),0)</f>
        <v>0</v>
      </c>
      <c r="L495" s="239">
        <f t="shared" ref="L495:L558" si="2672">ROUND(L494*IF($S$4="5인 이상",1.5,1)+L494*IF($S$4="5인 이상",0.5,1),0)</f>
        <v>0</v>
      </c>
      <c r="M495" s="240"/>
      <c r="N495" s="236"/>
      <c r="O495" s="241"/>
      <c r="P495" s="241"/>
      <c r="Q495" s="241"/>
      <c r="R495" s="241"/>
      <c r="S495" s="241"/>
      <c r="T495" s="241"/>
      <c r="U495" s="241"/>
    </row>
    <row r="496" spans="2:21" ht="21.5" customHeight="1">
      <c r="B496" s="225">
        <f>'임금대장 양식'!B496</f>
        <v>0</v>
      </c>
      <c r="C496" s="225" cm="1">
        <f t="array" ref="C496:C497">'임금대장 양식'!C496:C497</f>
        <v>0</v>
      </c>
      <c r="D496" s="225">
        <f>'임금대장 양식'!D496</f>
        <v>0</v>
      </c>
      <c r="E496" s="226">
        <f>'임금대장 양식'!E496</f>
        <v>0</v>
      </c>
      <c r="F496" s="227">
        <f>'임금대장 양식'!F496</f>
        <v>0</v>
      </c>
      <c r="G496" s="228">
        <f t="shared" ref="G496" si="2673">IFERROR((F496)/M496,0)</f>
        <v>0</v>
      </c>
      <c r="H496" s="229">
        <f t="shared" ref="H496:H559" si="2674">IF(F496=0,0,ROUND((8*5)*(365/12/7),0))</f>
        <v>0</v>
      </c>
      <c r="I496" s="229">
        <f t="shared" ref="I496:I559" si="2675">IF(F496=0,0,ROUND(8*365/12/7,0))</f>
        <v>0</v>
      </c>
      <c r="J496" s="230">
        <f>'임금대장 양식'!J496</f>
        <v>0</v>
      </c>
      <c r="K496" s="231">
        <f>'임금대장 양식'!K496</f>
        <v>0</v>
      </c>
      <c r="L496" s="231">
        <f>'임금대장 양식'!L496</f>
        <v>0</v>
      </c>
      <c r="M496" s="232">
        <f t="shared" ref="M496:M559" si="2676">H496+I496+J497+K497+L497</f>
        <v>0</v>
      </c>
      <c r="N496" s="227">
        <f t="shared" ref="N496:N559" si="2677">IF(G496=0,0,G496*(H496+I496)-(R496+S496+T496+U496))</f>
        <v>0</v>
      </c>
      <c r="O496" s="233">
        <f t="shared" ref="O496:O559" si="2678">G496*J497</f>
        <v>0</v>
      </c>
      <c r="P496" s="233">
        <f t="shared" ref="P496:P559" si="2679">G496*K497</f>
        <v>0</v>
      </c>
      <c r="Q496" s="233">
        <f t="shared" ref="Q496:Q559" si="2680">G496*L497</f>
        <v>0</v>
      </c>
      <c r="R496" s="233">
        <f>'임금대장 양식'!R496</f>
        <v>0</v>
      </c>
      <c r="S496" s="233">
        <f>'임금대장 양식'!S496</f>
        <v>0</v>
      </c>
      <c r="T496" s="233">
        <f>'임금대장 양식'!T496</f>
        <v>0</v>
      </c>
      <c r="U496" s="233">
        <f>'임금대장 양식'!U496</f>
        <v>0</v>
      </c>
    </row>
    <row r="497" spans="2:21" ht="21.5" customHeight="1">
      <c r="B497" s="234"/>
      <c r="C497" s="234">
        <v>0</v>
      </c>
      <c r="D497" s="210">
        <f>'임금대장 양식'!D497</f>
        <v>0</v>
      </c>
      <c r="E497" s="235"/>
      <c r="F497" s="236"/>
      <c r="G497" s="237"/>
      <c r="H497" s="238"/>
      <c r="I497" s="238"/>
      <c r="J497" s="239">
        <f t="shared" ref="J497:J560" si="2681">ROUND(J496*(365/12/7)*IF($S$4="5인 이상",1.5,1),0)</f>
        <v>0</v>
      </c>
      <c r="K497" s="239">
        <f t="shared" ref="K497:K560" si="2682">ROUND(K496*IF($S$4="5인 이상",1.5,1),0)</f>
        <v>0</v>
      </c>
      <c r="L497" s="239">
        <f t="shared" ref="L497:L560" si="2683">ROUND(L496*IF($S$4="5인 이상",1.5,1)+L496*IF($S$4="5인 이상",0.5,1),0)</f>
        <v>0</v>
      </c>
      <c r="M497" s="240"/>
      <c r="N497" s="236"/>
      <c r="O497" s="241"/>
      <c r="P497" s="241"/>
      <c r="Q497" s="241"/>
      <c r="R497" s="241"/>
      <c r="S497" s="241"/>
      <c r="T497" s="241"/>
      <c r="U497" s="241"/>
    </row>
    <row r="498" spans="2:21" ht="21.5" customHeight="1">
      <c r="B498" s="225">
        <f>'임금대장 양식'!B498</f>
        <v>0</v>
      </c>
      <c r="C498" s="225" cm="1">
        <f t="array" ref="C498:C499">'임금대장 양식'!C498:C499</f>
        <v>0</v>
      </c>
      <c r="D498" s="225">
        <f>'임금대장 양식'!D498</f>
        <v>0</v>
      </c>
      <c r="E498" s="226">
        <f>'임금대장 양식'!E498</f>
        <v>0</v>
      </c>
      <c r="F498" s="227">
        <f>'임금대장 양식'!F498</f>
        <v>0</v>
      </c>
      <c r="G498" s="228">
        <f t="shared" ref="G498" si="2684">IFERROR((F498)/M498,0)</f>
        <v>0</v>
      </c>
      <c r="H498" s="229">
        <f t="shared" ref="H498:H561" si="2685">IF(F498=0,0,ROUND((8*5)*(365/12/7),0))</f>
        <v>0</v>
      </c>
      <c r="I498" s="229">
        <f t="shared" ref="I498:I561" si="2686">IF(F498=0,0,ROUND(8*365/12/7,0))</f>
        <v>0</v>
      </c>
      <c r="J498" s="230">
        <f>'임금대장 양식'!J498</f>
        <v>0</v>
      </c>
      <c r="K498" s="231">
        <f>'임금대장 양식'!K498</f>
        <v>0</v>
      </c>
      <c r="L498" s="231">
        <f>'임금대장 양식'!L498</f>
        <v>0</v>
      </c>
      <c r="M498" s="232">
        <f t="shared" ref="M498:M561" si="2687">H498+I498+J499+K499+L499</f>
        <v>0</v>
      </c>
      <c r="N498" s="227">
        <f t="shared" ref="N498:N561" si="2688">IF(G498=0,0,G498*(H498+I498)-(R498+S498+T498+U498))</f>
        <v>0</v>
      </c>
      <c r="O498" s="233">
        <f t="shared" ref="O498:O561" si="2689">G498*J499</f>
        <v>0</v>
      </c>
      <c r="P498" s="233">
        <f t="shared" ref="P498:P561" si="2690">G498*K499</f>
        <v>0</v>
      </c>
      <c r="Q498" s="233">
        <f t="shared" ref="Q498:Q561" si="2691">G498*L499</f>
        <v>0</v>
      </c>
      <c r="R498" s="233">
        <f>'임금대장 양식'!R498</f>
        <v>0</v>
      </c>
      <c r="S498" s="233">
        <f>'임금대장 양식'!S498</f>
        <v>0</v>
      </c>
      <c r="T498" s="233">
        <f>'임금대장 양식'!T498</f>
        <v>0</v>
      </c>
      <c r="U498" s="233">
        <f>'임금대장 양식'!U498</f>
        <v>0</v>
      </c>
    </row>
    <row r="499" spans="2:21" ht="21.5" customHeight="1">
      <c r="B499" s="234"/>
      <c r="C499" s="234">
        <v>0</v>
      </c>
      <c r="D499" s="210">
        <f>'임금대장 양식'!D499</f>
        <v>0</v>
      </c>
      <c r="E499" s="235"/>
      <c r="F499" s="236"/>
      <c r="G499" s="237"/>
      <c r="H499" s="238"/>
      <c r="I499" s="238"/>
      <c r="J499" s="239">
        <f t="shared" ref="J499:J562" si="2692">ROUND(J498*(365/12/7)*IF($S$4="5인 이상",1.5,1),0)</f>
        <v>0</v>
      </c>
      <c r="K499" s="239">
        <f t="shared" ref="K499:K562" si="2693">ROUND(K498*IF($S$4="5인 이상",1.5,1),0)</f>
        <v>0</v>
      </c>
      <c r="L499" s="239">
        <f t="shared" ref="L499:L562" si="2694">ROUND(L498*IF($S$4="5인 이상",1.5,1)+L498*IF($S$4="5인 이상",0.5,1),0)</f>
        <v>0</v>
      </c>
      <c r="M499" s="240"/>
      <c r="N499" s="236"/>
      <c r="O499" s="241"/>
      <c r="P499" s="241"/>
      <c r="Q499" s="241"/>
      <c r="R499" s="241"/>
      <c r="S499" s="241"/>
      <c r="T499" s="241"/>
      <c r="U499" s="241"/>
    </row>
    <row r="500" spans="2:21" ht="21.5" customHeight="1">
      <c r="B500" s="225">
        <f>'임금대장 양식'!B500</f>
        <v>0</v>
      </c>
      <c r="C500" s="225" cm="1">
        <f t="array" ref="C500:C501">'임금대장 양식'!C500:C501</f>
        <v>0</v>
      </c>
      <c r="D500" s="225">
        <f>'임금대장 양식'!D500</f>
        <v>0</v>
      </c>
      <c r="E500" s="226">
        <f>'임금대장 양식'!E500</f>
        <v>0</v>
      </c>
      <c r="F500" s="227">
        <f>'임금대장 양식'!F500</f>
        <v>0</v>
      </c>
      <c r="G500" s="228">
        <f t="shared" ref="G500" si="2695">IFERROR((F500)/M500,0)</f>
        <v>0</v>
      </c>
      <c r="H500" s="229">
        <f t="shared" ref="H500:H563" si="2696">IF(F500=0,0,ROUND((8*5)*(365/12/7),0))</f>
        <v>0</v>
      </c>
      <c r="I500" s="229">
        <f t="shared" ref="I500:I563" si="2697">IF(F500=0,0,ROUND(8*365/12/7,0))</f>
        <v>0</v>
      </c>
      <c r="J500" s="230">
        <f>'임금대장 양식'!J500</f>
        <v>0</v>
      </c>
      <c r="K500" s="231">
        <f>'임금대장 양식'!K500</f>
        <v>0</v>
      </c>
      <c r="L500" s="231">
        <f>'임금대장 양식'!L500</f>
        <v>0</v>
      </c>
      <c r="M500" s="232">
        <f t="shared" ref="M500:M563" si="2698">H500+I500+J501+K501+L501</f>
        <v>0</v>
      </c>
      <c r="N500" s="227">
        <f t="shared" ref="N500:N563" si="2699">IF(G500=0,0,G500*(H500+I500)-(R500+S500+T500+U500))</f>
        <v>0</v>
      </c>
      <c r="O500" s="233">
        <f t="shared" ref="O500:O563" si="2700">G500*J501</f>
        <v>0</v>
      </c>
      <c r="P500" s="233">
        <f t="shared" ref="P500:P563" si="2701">G500*K501</f>
        <v>0</v>
      </c>
      <c r="Q500" s="233">
        <f t="shared" ref="Q500:Q563" si="2702">G500*L501</f>
        <v>0</v>
      </c>
      <c r="R500" s="233">
        <f>'임금대장 양식'!R500</f>
        <v>0</v>
      </c>
      <c r="S500" s="233">
        <f>'임금대장 양식'!S500</f>
        <v>0</v>
      </c>
      <c r="T500" s="233">
        <f>'임금대장 양식'!T500</f>
        <v>0</v>
      </c>
      <c r="U500" s="233">
        <f>'임금대장 양식'!U500</f>
        <v>0</v>
      </c>
    </row>
    <row r="501" spans="2:21" ht="21.5" customHeight="1">
      <c r="B501" s="234"/>
      <c r="C501" s="234">
        <v>0</v>
      </c>
      <c r="D501" s="210">
        <f>'임금대장 양식'!D501</f>
        <v>0</v>
      </c>
      <c r="E501" s="235"/>
      <c r="F501" s="236"/>
      <c r="G501" s="237"/>
      <c r="H501" s="238"/>
      <c r="I501" s="238"/>
      <c r="J501" s="239">
        <f t="shared" ref="J501:J564" si="2703">ROUND(J500*(365/12/7)*IF($S$4="5인 이상",1.5,1),0)</f>
        <v>0</v>
      </c>
      <c r="K501" s="239">
        <f t="shared" ref="K501:K564" si="2704">ROUND(K500*IF($S$4="5인 이상",1.5,1),0)</f>
        <v>0</v>
      </c>
      <c r="L501" s="239">
        <f t="shared" ref="L501:L564" si="2705">ROUND(L500*IF($S$4="5인 이상",1.5,1)+L500*IF($S$4="5인 이상",0.5,1),0)</f>
        <v>0</v>
      </c>
      <c r="M501" s="240"/>
      <c r="N501" s="236"/>
      <c r="O501" s="241"/>
      <c r="P501" s="241"/>
      <c r="Q501" s="241"/>
      <c r="R501" s="241"/>
      <c r="S501" s="241"/>
      <c r="T501" s="241"/>
      <c r="U501" s="241"/>
    </row>
    <row r="502" spans="2:21" ht="21.5" customHeight="1">
      <c r="B502" s="225">
        <f>'임금대장 양식'!B502</f>
        <v>0</v>
      </c>
      <c r="C502" s="225" cm="1">
        <f t="array" ref="C502:C503">'임금대장 양식'!C502:C503</f>
        <v>0</v>
      </c>
      <c r="D502" s="225">
        <f>'임금대장 양식'!D502</f>
        <v>0</v>
      </c>
      <c r="E502" s="226">
        <f>'임금대장 양식'!E502</f>
        <v>0</v>
      </c>
      <c r="F502" s="227">
        <f>'임금대장 양식'!F502</f>
        <v>0</v>
      </c>
      <c r="G502" s="228">
        <f t="shared" ref="G502" si="2706">IFERROR((F502)/M502,0)</f>
        <v>0</v>
      </c>
      <c r="H502" s="229">
        <f t="shared" ref="H502:H565" si="2707">IF(F502=0,0,ROUND((8*5)*(365/12/7),0))</f>
        <v>0</v>
      </c>
      <c r="I502" s="229">
        <f t="shared" ref="I502:I565" si="2708">IF(F502=0,0,ROUND(8*365/12/7,0))</f>
        <v>0</v>
      </c>
      <c r="J502" s="230">
        <f>'임금대장 양식'!J502</f>
        <v>0</v>
      </c>
      <c r="K502" s="231">
        <f>'임금대장 양식'!K502</f>
        <v>0</v>
      </c>
      <c r="L502" s="231">
        <f>'임금대장 양식'!L502</f>
        <v>0</v>
      </c>
      <c r="M502" s="232">
        <f t="shared" ref="M502:M565" si="2709">H502+I502+J503+K503+L503</f>
        <v>0</v>
      </c>
      <c r="N502" s="227">
        <f t="shared" ref="N502:N565" si="2710">IF(G502=0,0,G502*(H502+I502)-(R502+S502+T502+U502))</f>
        <v>0</v>
      </c>
      <c r="O502" s="233">
        <f t="shared" ref="O502:O565" si="2711">G502*J503</f>
        <v>0</v>
      </c>
      <c r="P502" s="233">
        <f t="shared" ref="P502:P565" si="2712">G502*K503</f>
        <v>0</v>
      </c>
      <c r="Q502" s="233">
        <f t="shared" ref="Q502:Q565" si="2713">G502*L503</f>
        <v>0</v>
      </c>
      <c r="R502" s="233">
        <f>'임금대장 양식'!R502</f>
        <v>0</v>
      </c>
      <c r="S502" s="233">
        <f>'임금대장 양식'!S502</f>
        <v>0</v>
      </c>
      <c r="T502" s="233">
        <f>'임금대장 양식'!T502</f>
        <v>0</v>
      </c>
      <c r="U502" s="233">
        <f>'임금대장 양식'!U502</f>
        <v>0</v>
      </c>
    </row>
    <row r="503" spans="2:21" ht="21.5" customHeight="1">
      <c r="B503" s="234"/>
      <c r="C503" s="234">
        <v>0</v>
      </c>
      <c r="D503" s="210">
        <f>'임금대장 양식'!D503</f>
        <v>0</v>
      </c>
      <c r="E503" s="235"/>
      <c r="F503" s="236"/>
      <c r="G503" s="237"/>
      <c r="H503" s="238"/>
      <c r="I503" s="238"/>
      <c r="J503" s="239">
        <f t="shared" ref="J503:J566" si="2714">ROUND(J502*(365/12/7)*IF($S$4="5인 이상",1.5,1),0)</f>
        <v>0</v>
      </c>
      <c r="K503" s="239">
        <f t="shared" ref="K503:K566" si="2715">ROUND(K502*IF($S$4="5인 이상",1.5,1),0)</f>
        <v>0</v>
      </c>
      <c r="L503" s="239">
        <f t="shared" ref="L503:L566" si="2716">ROUND(L502*IF($S$4="5인 이상",1.5,1)+L502*IF($S$4="5인 이상",0.5,1),0)</f>
        <v>0</v>
      </c>
      <c r="M503" s="240"/>
      <c r="N503" s="236"/>
      <c r="O503" s="241"/>
      <c r="P503" s="241"/>
      <c r="Q503" s="241"/>
      <c r="R503" s="241"/>
      <c r="S503" s="241"/>
      <c r="T503" s="241"/>
      <c r="U503" s="241"/>
    </row>
    <row r="504" spans="2:21" ht="21.5" customHeight="1">
      <c r="B504" s="225">
        <f>'임금대장 양식'!B504</f>
        <v>0</v>
      </c>
      <c r="C504" s="225" cm="1">
        <f t="array" ref="C504:C505">'임금대장 양식'!C504:C505</f>
        <v>0</v>
      </c>
      <c r="D504" s="225">
        <f>'임금대장 양식'!D504</f>
        <v>0</v>
      </c>
      <c r="E504" s="226">
        <f>'임금대장 양식'!E504</f>
        <v>0</v>
      </c>
      <c r="F504" s="227">
        <f>'임금대장 양식'!F504</f>
        <v>0</v>
      </c>
      <c r="G504" s="228">
        <f t="shared" ref="G504" si="2717">IFERROR((F504)/M504,0)</f>
        <v>0</v>
      </c>
      <c r="H504" s="229">
        <f t="shared" ref="H504:H567" si="2718">IF(F504=0,0,ROUND((8*5)*(365/12/7),0))</f>
        <v>0</v>
      </c>
      <c r="I504" s="229">
        <f t="shared" ref="I504:I567" si="2719">IF(F504=0,0,ROUND(8*365/12/7,0))</f>
        <v>0</v>
      </c>
      <c r="J504" s="230">
        <f>'임금대장 양식'!J504</f>
        <v>0</v>
      </c>
      <c r="K504" s="231">
        <f>'임금대장 양식'!K504</f>
        <v>0</v>
      </c>
      <c r="L504" s="231">
        <f>'임금대장 양식'!L504</f>
        <v>0</v>
      </c>
      <c r="M504" s="232">
        <f t="shared" ref="M504:M567" si="2720">H504+I504+J505+K505+L505</f>
        <v>0</v>
      </c>
      <c r="N504" s="227">
        <f t="shared" ref="N504:N567" si="2721">IF(G504=0,0,G504*(H504+I504)-(R504+S504+T504+U504))</f>
        <v>0</v>
      </c>
      <c r="O504" s="233">
        <f t="shared" ref="O504:O567" si="2722">G504*J505</f>
        <v>0</v>
      </c>
      <c r="P504" s="233">
        <f t="shared" ref="P504:P567" si="2723">G504*K505</f>
        <v>0</v>
      </c>
      <c r="Q504" s="233">
        <f t="shared" ref="Q504:Q567" si="2724">G504*L505</f>
        <v>0</v>
      </c>
      <c r="R504" s="233">
        <f>'임금대장 양식'!R504</f>
        <v>0</v>
      </c>
      <c r="S504" s="233">
        <f>'임금대장 양식'!S504</f>
        <v>0</v>
      </c>
      <c r="T504" s="233">
        <f>'임금대장 양식'!T504</f>
        <v>0</v>
      </c>
      <c r="U504" s="233">
        <f>'임금대장 양식'!U504</f>
        <v>0</v>
      </c>
    </row>
    <row r="505" spans="2:21" ht="21.5" customHeight="1">
      <c r="B505" s="234"/>
      <c r="C505" s="234">
        <v>0</v>
      </c>
      <c r="D505" s="210">
        <f>'임금대장 양식'!D505</f>
        <v>0</v>
      </c>
      <c r="E505" s="235"/>
      <c r="F505" s="236"/>
      <c r="G505" s="237"/>
      <c r="H505" s="238"/>
      <c r="I505" s="238"/>
      <c r="J505" s="239">
        <f t="shared" ref="J505:J568" si="2725">ROUND(J504*(365/12/7)*IF($S$4="5인 이상",1.5,1),0)</f>
        <v>0</v>
      </c>
      <c r="K505" s="239">
        <f t="shared" ref="K505:K568" si="2726">ROUND(K504*IF($S$4="5인 이상",1.5,1),0)</f>
        <v>0</v>
      </c>
      <c r="L505" s="239">
        <f t="shared" ref="L505:L568" si="2727">ROUND(L504*IF($S$4="5인 이상",1.5,1)+L504*IF($S$4="5인 이상",0.5,1),0)</f>
        <v>0</v>
      </c>
      <c r="M505" s="240"/>
      <c r="N505" s="236"/>
      <c r="O505" s="241"/>
      <c r="P505" s="241"/>
      <c r="Q505" s="241"/>
      <c r="R505" s="241"/>
      <c r="S505" s="241"/>
      <c r="T505" s="241"/>
      <c r="U505" s="241"/>
    </row>
    <row r="506" spans="2:21" ht="21.5" customHeight="1">
      <c r="B506" s="225">
        <f>'임금대장 양식'!B506</f>
        <v>0</v>
      </c>
      <c r="C506" s="225" cm="1">
        <f t="array" ref="C506:C507">'임금대장 양식'!C506:C507</f>
        <v>0</v>
      </c>
      <c r="D506" s="225">
        <f>'임금대장 양식'!D506</f>
        <v>0</v>
      </c>
      <c r="E506" s="226">
        <f>'임금대장 양식'!E506</f>
        <v>0</v>
      </c>
      <c r="F506" s="227">
        <f>'임금대장 양식'!F506</f>
        <v>0</v>
      </c>
      <c r="G506" s="228">
        <f t="shared" ref="G506" si="2728">IFERROR((F506)/M506,0)</f>
        <v>0</v>
      </c>
      <c r="H506" s="229">
        <f t="shared" ref="H506:H569" si="2729">IF(F506=0,0,ROUND((8*5)*(365/12/7),0))</f>
        <v>0</v>
      </c>
      <c r="I506" s="229">
        <f t="shared" ref="I506:I569" si="2730">IF(F506=0,0,ROUND(8*365/12/7,0))</f>
        <v>0</v>
      </c>
      <c r="J506" s="230">
        <f>'임금대장 양식'!J506</f>
        <v>0</v>
      </c>
      <c r="K506" s="231">
        <f>'임금대장 양식'!K506</f>
        <v>0</v>
      </c>
      <c r="L506" s="231">
        <f>'임금대장 양식'!L506</f>
        <v>0</v>
      </c>
      <c r="M506" s="232">
        <f t="shared" ref="M506:M569" si="2731">H506+I506+J507+K507+L507</f>
        <v>0</v>
      </c>
      <c r="N506" s="227">
        <f t="shared" ref="N506:N569" si="2732">IF(G506=0,0,G506*(H506+I506)-(R506+S506+T506+U506))</f>
        <v>0</v>
      </c>
      <c r="O506" s="233">
        <f t="shared" ref="O506:O569" si="2733">G506*J507</f>
        <v>0</v>
      </c>
      <c r="P506" s="233">
        <f t="shared" ref="P506:P569" si="2734">G506*K507</f>
        <v>0</v>
      </c>
      <c r="Q506" s="233">
        <f t="shared" ref="Q506:Q569" si="2735">G506*L507</f>
        <v>0</v>
      </c>
      <c r="R506" s="233">
        <f>'임금대장 양식'!R506</f>
        <v>0</v>
      </c>
      <c r="S506" s="233">
        <f>'임금대장 양식'!S506</f>
        <v>0</v>
      </c>
      <c r="T506" s="233">
        <f>'임금대장 양식'!T506</f>
        <v>0</v>
      </c>
      <c r="U506" s="233">
        <f>'임금대장 양식'!U506</f>
        <v>0</v>
      </c>
    </row>
    <row r="507" spans="2:21" ht="21.5" customHeight="1">
      <c r="B507" s="234"/>
      <c r="C507" s="234">
        <v>0</v>
      </c>
      <c r="D507" s="210">
        <f>'임금대장 양식'!D507</f>
        <v>0</v>
      </c>
      <c r="E507" s="235"/>
      <c r="F507" s="236"/>
      <c r="G507" s="237"/>
      <c r="H507" s="238"/>
      <c r="I507" s="238"/>
      <c r="J507" s="239">
        <f t="shared" ref="J507:J570" si="2736">ROUND(J506*(365/12/7)*IF($S$4="5인 이상",1.5,1),0)</f>
        <v>0</v>
      </c>
      <c r="K507" s="239">
        <f t="shared" ref="K507:K570" si="2737">ROUND(K506*IF($S$4="5인 이상",1.5,1),0)</f>
        <v>0</v>
      </c>
      <c r="L507" s="239">
        <f t="shared" ref="L507:L570" si="2738">ROUND(L506*IF($S$4="5인 이상",1.5,1)+L506*IF($S$4="5인 이상",0.5,1),0)</f>
        <v>0</v>
      </c>
      <c r="M507" s="240"/>
      <c r="N507" s="236"/>
      <c r="O507" s="241"/>
      <c r="P507" s="241"/>
      <c r="Q507" s="241"/>
      <c r="R507" s="241"/>
      <c r="S507" s="241"/>
      <c r="T507" s="241"/>
      <c r="U507" s="241"/>
    </row>
    <row r="508" spans="2:21" ht="21.5" customHeight="1">
      <c r="B508" s="225">
        <f>'임금대장 양식'!B508</f>
        <v>0</v>
      </c>
      <c r="C508" s="225" cm="1">
        <f t="array" ref="C508:C509">'임금대장 양식'!C508:C509</f>
        <v>0</v>
      </c>
      <c r="D508" s="225">
        <f>'임금대장 양식'!D508</f>
        <v>0</v>
      </c>
      <c r="E508" s="226">
        <f>'임금대장 양식'!E508</f>
        <v>0</v>
      </c>
      <c r="F508" s="227">
        <f>'임금대장 양식'!F508</f>
        <v>0</v>
      </c>
      <c r="G508" s="228">
        <f t="shared" ref="G508" si="2739">IFERROR((F508)/M508,0)</f>
        <v>0</v>
      </c>
      <c r="H508" s="229">
        <f t="shared" ref="H508:H571" si="2740">IF(F508=0,0,ROUND((8*5)*(365/12/7),0))</f>
        <v>0</v>
      </c>
      <c r="I508" s="229">
        <f t="shared" ref="I508:I571" si="2741">IF(F508=0,0,ROUND(8*365/12/7,0))</f>
        <v>0</v>
      </c>
      <c r="J508" s="230">
        <f>'임금대장 양식'!J508</f>
        <v>0</v>
      </c>
      <c r="K508" s="231">
        <f>'임금대장 양식'!K508</f>
        <v>0</v>
      </c>
      <c r="L508" s="231">
        <f>'임금대장 양식'!L508</f>
        <v>0</v>
      </c>
      <c r="M508" s="232">
        <f t="shared" ref="M508:M571" si="2742">H508+I508+J509+K509+L509</f>
        <v>0</v>
      </c>
      <c r="N508" s="227">
        <f t="shared" ref="N508:N571" si="2743">IF(G508=0,0,G508*(H508+I508)-(R508+S508+T508+U508))</f>
        <v>0</v>
      </c>
      <c r="O508" s="233">
        <f t="shared" ref="O508:O571" si="2744">G508*J509</f>
        <v>0</v>
      </c>
      <c r="P508" s="233">
        <f t="shared" ref="P508:P571" si="2745">G508*K509</f>
        <v>0</v>
      </c>
      <c r="Q508" s="233">
        <f t="shared" ref="Q508:Q571" si="2746">G508*L509</f>
        <v>0</v>
      </c>
      <c r="R508" s="233">
        <f>'임금대장 양식'!R508</f>
        <v>0</v>
      </c>
      <c r="S508" s="233">
        <f>'임금대장 양식'!S508</f>
        <v>0</v>
      </c>
      <c r="T508" s="233">
        <f>'임금대장 양식'!T508</f>
        <v>0</v>
      </c>
      <c r="U508" s="233">
        <f>'임금대장 양식'!U508</f>
        <v>0</v>
      </c>
    </row>
    <row r="509" spans="2:21" ht="21.5" customHeight="1">
      <c r="B509" s="234"/>
      <c r="C509" s="234">
        <v>0</v>
      </c>
      <c r="D509" s="210">
        <f>'임금대장 양식'!D509</f>
        <v>0</v>
      </c>
      <c r="E509" s="235"/>
      <c r="F509" s="236"/>
      <c r="G509" s="237"/>
      <c r="H509" s="238"/>
      <c r="I509" s="238"/>
      <c r="J509" s="239">
        <f t="shared" ref="J509:J572" si="2747">ROUND(J508*(365/12/7)*IF($S$4="5인 이상",1.5,1),0)</f>
        <v>0</v>
      </c>
      <c r="K509" s="239">
        <f t="shared" ref="K509:K572" si="2748">ROUND(K508*IF($S$4="5인 이상",1.5,1),0)</f>
        <v>0</v>
      </c>
      <c r="L509" s="239">
        <f t="shared" ref="L509:L572" si="2749">ROUND(L508*IF($S$4="5인 이상",1.5,1)+L508*IF($S$4="5인 이상",0.5,1),0)</f>
        <v>0</v>
      </c>
      <c r="M509" s="240"/>
      <c r="N509" s="236"/>
      <c r="O509" s="241"/>
      <c r="P509" s="241"/>
      <c r="Q509" s="241"/>
      <c r="R509" s="241"/>
      <c r="S509" s="241"/>
      <c r="T509" s="241"/>
      <c r="U509" s="241"/>
    </row>
    <row r="510" spans="2:21" ht="21.5" customHeight="1">
      <c r="B510" s="225">
        <f>'임금대장 양식'!B510</f>
        <v>0</v>
      </c>
      <c r="C510" s="225" cm="1">
        <f t="array" ref="C510:C511">'임금대장 양식'!C510:C511</f>
        <v>0</v>
      </c>
      <c r="D510" s="225">
        <f>'임금대장 양식'!D510</f>
        <v>0</v>
      </c>
      <c r="E510" s="226">
        <f>'임금대장 양식'!E510</f>
        <v>0</v>
      </c>
      <c r="F510" s="227">
        <f>'임금대장 양식'!F510</f>
        <v>0</v>
      </c>
      <c r="G510" s="228">
        <f t="shared" ref="G510" si="2750">IFERROR((F510)/M510,0)</f>
        <v>0</v>
      </c>
      <c r="H510" s="229">
        <f t="shared" ref="H510:H573" si="2751">IF(F510=0,0,ROUND((8*5)*(365/12/7),0))</f>
        <v>0</v>
      </c>
      <c r="I510" s="229">
        <f t="shared" ref="I510:I573" si="2752">IF(F510=0,0,ROUND(8*365/12/7,0))</f>
        <v>0</v>
      </c>
      <c r="J510" s="230">
        <f>'임금대장 양식'!J510</f>
        <v>0</v>
      </c>
      <c r="K510" s="231">
        <f>'임금대장 양식'!K510</f>
        <v>0</v>
      </c>
      <c r="L510" s="231">
        <f>'임금대장 양식'!L510</f>
        <v>0</v>
      </c>
      <c r="M510" s="232">
        <f t="shared" ref="M510:M573" si="2753">H510+I510+J511+K511+L511</f>
        <v>0</v>
      </c>
      <c r="N510" s="227">
        <f t="shared" ref="N510:N573" si="2754">IF(G510=0,0,G510*(H510+I510)-(R510+S510+T510+U510))</f>
        <v>0</v>
      </c>
      <c r="O510" s="233">
        <f t="shared" ref="O510:O573" si="2755">G510*J511</f>
        <v>0</v>
      </c>
      <c r="P510" s="233">
        <f t="shared" ref="P510:P573" si="2756">G510*K511</f>
        <v>0</v>
      </c>
      <c r="Q510" s="233">
        <f t="shared" ref="Q510:Q573" si="2757">G510*L511</f>
        <v>0</v>
      </c>
      <c r="R510" s="233">
        <f>'임금대장 양식'!R510</f>
        <v>0</v>
      </c>
      <c r="S510" s="233">
        <f>'임금대장 양식'!S510</f>
        <v>0</v>
      </c>
      <c r="T510" s="233">
        <f>'임금대장 양식'!T510</f>
        <v>0</v>
      </c>
      <c r="U510" s="233">
        <f>'임금대장 양식'!U510</f>
        <v>0</v>
      </c>
    </row>
    <row r="511" spans="2:21" ht="21.5" customHeight="1">
      <c r="B511" s="234"/>
      <c r="C511" s="234">
        <v>0</v>
      </c>
      <c r="D511" s="210">
        <f>'임금대장 양식'!D511</f>
        <v>0</v>
      </c>
      <c r="E511" s="235"/>
      <c r="F511" s="236"/>
      <c r="G511" s="237"/>
      <c r="H511" s="238"/>
      <c r="I511" s="238"/>
      <c r="J511" s="239">
        <f t="shared" ref="J511:J574" si="2758">ROUND(J510*(365/12/7)*IF($S$4="5인 이상",1.5,1),0)</f>
        <v>0</v>
      </c>
      <c r="K511" s="239">
        <f t="shared" ref="K511:K574" si="2759">ROUND(K510*IF($S$4="5인 이상",1.5,1),0)</f>
        <v>0</v>
      </c>
      <c r="L511" s="239">
        <f t="shared" ref="L511:L574" si="2760">ROUND(L510*IF($S$4="5인 이상",1.5,1)+L510*IF($S$4="5인 이상",0.5,1),0)</f>
        <v>0</v>
      </c>
      <c r="M511" s="240"/>
      <c r="N511" s="236"/>
      <c r="O511" s="241"/>
      <c r="P511" s="241"/>
      <c r="Q511" s="241"/>
      <c r="R511" s="241"/>
      <c r="S511" s="241"/>
      <c r="T511" s="241"/>
      <c r="U511" s="241"/>
    </row>
    <row r="512" spans="2:21" ht="21.5" customHeight="1">
      <c r="B512" s="225">
        <f>'임금대장 양식'!B512</f>
        <v>0</v>
      </c>
      <c r="C512" s="225" cm="1">
        <f t="array" ref="C512:C513">'임금대장 양식'!C512:C513</f>
        <v>0</v>
      </c>
      <c r="D512" s="225">
        <f>'임금대장 양식'!D512</f>
        <v>0</v>
      </c>
      <c r="E512" s="226">
        <f>'임금대장 양식'!E512</f>
        <v>0</v>
      </c>
      <c r="F512" s="227">
        <f>'임금대장 양식'!F512</f>
        <v>0</v>
      </c>
      <c r="G512" s="228">
        <f t="shared" ref="G512" si="2761">IFERROR((F512)/M512,0)</f>
        <v>0</v>
      </c>
      <c r="H512" s="229">
        <f t="shared" ref="H512:H575" si="2762">IF(F512=0,0,ROUND((8*5)*(365/12/7),0))</f>
        <v>0</v>
      </c>
      <c r="I512" s="229">
        <f t="shared" ref="I512:I575" si="2763">IF(F512=0,0,ROUND(8*365/12/7,0))</f>
        <v>0</v>
      </c>
      <c r="J512" s="230">
        <f>'임금대장 양식'!J512</f>
        <v>0</v>
      </c>
      <c r="K512" s="231">
        <f>'임금대장 양식'!K512</f>
        <v>0</v>
      </c>
      <c r="L512" s="231">
        <f>'임금대장 양식'!L512</f>
        <v>0</v>
      </c>
      <c r="M512" s="232">
        <f t="shared" ref="M512:M575" si="2764">H512+I512+J513+K513+L513</f>
        <v>0</v>
      </c>
      <c r="N512" s="227">
        <f t="shared" ref="N512:N575" si="2765">IF(G512=0,0,G512*(H512+I512)-(R512+S512+T512+U512))</f>
        <v>0</v>
      </c>
      <c r="O512" s="233">
        <f t="shared" ref="O512:O575" si="2766">G512*J513</f>
        <v>0</v>
      </c>
      <c r="P512" s="233">
        <f t="shared" ref="P512:P575" si="2767">G512*K513</f>
        <v>0</v>
      </c>
      <c r="Q512" s="233">
        <f t="shared" ref="Q512:Q575" si="2768">G512*L513</f>
        <v>0</v>
      </c>
      <c r="R512" s="233">
        <f>'임금대장 양식'!R512</f>
        <v>0</v>
      </c>
      <c r="S512" s="233">
        <f>'임금대장 양식'!S512</f>
        <v>0</v>
      </c>
      <c r="T512" s="233">
        <f>'임금대장 양식'!T512</f>
        <v>0</v>
      </c>
      <c r="U512" s="233">
        <f>'임금대장 양식'!U512</f>
        <v>0</v>
      </c>
    </row>
    <row r="513" spans="2:21" ht="21.5" customHeight="1">
      <c r="B513" s="234"/>
      <c r="C513" s="234">
        <v>0</v>
      </c>
      <c r="D513" s="210">
        <f>'임금대장 양식'!D513</f>
        <v>0</v>
      </c>
      <c r="E513" s="235"/>
      <c r="F513" s="236"/>
      <c r="G513" s="237"/>
      <c r="H513" s="238"/>
      <c r="I513" s="238"/>
      <c r="J513" s="239">
        <f t="shared" ref="J513:J576" si="2769">ROUND(J512*(365/12/7)*IF($S$4="5인 이상",1.5,1),0)</f>
        <v>0</v>
      </c>
      <c r="K513" s="239">
        <f t="shared" ref="K513:K576" si="2770">ROUND(K512*IF($S$4="5인 이상",1.5,1),0)</f>
        <v>0</v>
      </c>
      <c r="L513" s="239">
        <f t="shared" ref="L513:L576" si="2771">ROUND(L512*IF($S$4="5인 이상",1.5,1)+L512*IF($S$4="5인 이상",0.5,1),0)</f>
        <v>0</v>
      </c>
      <c r="M513" s="240"/>
      <c r="N513" s="236"/>
      <c r="O513" s="241"/>
      <c r="P513" s="241"/>
      <c r="Q513" s="241"/>
      <c r="R513" s="241"/>
      <c r="S513" s="241"/>
      <c r="T513" s="241"/>
      <c r="U513" s="241"/>
    </row>
    <row r="514" spans="2:21" ht="21.5" customHeight="1">
      <c r="B514" s="225">
        <f>'임금대장 양식'!B514</f>
        <v>0</v>
      </c>
      <c r="C514" s="225" cm="1">
        <f t="array" ref="C514:C515">'임금대장 양식'!C514:C515</f>
        <v>0</v>
      </c>
      <c r="D514" s="225">
        <f>'임금대장 양식'!D514</f>
        <v>0</v>
      </c>
      <c r="E514" s="226">
        <f>'임금대장 양식'!E514</f>
        <v>0</v>
      </c>
      <c r="F514" s="227">
        <f>'임금대장 양식'!F514</f>
        <v>0</v>
      </c>
      <c r="G514" s="228">
        <f t="shared" ref="G514" si="2772">IFERROR((F514)/M514,0)</f>
        <v>0</v>
      </c>
      <c r="H514" s="229">
        <f t="shared" ref="H514:H577" si="2773">IF(F514=0,0,ROUND((8*5)*(365/12/7),0))</f>
        <v>0</v>
      </c>
      <c r="I514" s="229">
        <f t="shared" ref="I514:I577" si="2774">IF(F514=0,0,ROUND(8*365/12/7,0))</f>
        <v>0</v>
      </c>
      <c r="J514" s="230">
        <f>'임금대장 양식'!J514</f>
        <v>0</v>
      </c>
      <c r="K514" s="231">
        <f>'임금대장 양식'!K514</f>
        <v>0</v>
      </c>
      <c r="L514" s="231">
        <f>'임금대장 양식'!L514</f>
        <v>0</v>
      </c>
      <c r="M514" s="232">
        <f t="shared" ref="M514:M577" si="2775">H514+I514+J515+K515+L515</f>
        <v>0</v>
      </c>
      <c r="N514" s="227">
        <f t="shared" ref="N514:N577" si="2776">IF(G514=0,0,G514*(H514+I514)-(R514+S514+T514+U514))</f>
        <v>0</v>
      </c>
      <c r="O514" s="233">
        <f t="shared" ref="O514:O577" si="2777">G514*J515</f>
        <v>0</v>
      </c>
      <c r="P514" s="233">
        <f t="shared" ref="P514:P577" si="2778">G514*K515</f>
        <v>0</v>
      </c>
      <c r="Q514" s="233">
        <f t="shared" ref="Q514:Q577" si="2779">G514*L515</f>
        <v>0</v>
      </c>
      <c r="R514" s="233">
        <f>'임금대장 양식'!R514</f>
        <v>0</v>
      </c>
      <c r="S514" s="233">
        <f>'임금대장 양식'!S514</f>
        <v>0</v>
      </c>
      <c r="T514" s="233">
        <f>'임금대장 양식'!T514</f>
        <v>0</v>
      </c>
      <c r="U514" s="233">
        <f>'임금대장 양식'!U514</f>
        <v>0</v>
      </c>
    </row>
    <row r="515" spans="2:21" ht="21.5" customHeight="1">
      <c r="B515" s="234"/>
      <c r="C515" s="234">
        <v>0</v>
      </c>
      <c r="D515" s="210">
        <f>'임금대장 양식'!D515</f>
        <v>0</v>
      </c>
      <c r="E515" s="235"/>
      <c r="F515" s="236"/>
      <c r="G515" s="237"/>
      <c r="H515" s="238"/>
      <c r="I515" s="238"/>
      <c r="J515" s="239">
        <f t="shared" ref="J515:J578" si="2780">ROUND(J514*(365/12/7)*IF($S$4="5인 이상",1.5,1),0)</f>
        <v>0</v>
      </c>
      <c r="K515" s="239">
        <f t="shared" ref="K515:K578" si="2781">ROUND(K514*IF($S$4="5인 이상",1.5,1),0)</f>
        <v>0</v>
      </c>
      <c r="L515" s="239">
        <f t="shared" ref="L515:L578" si="2782">ROUND(L514*IF($S$4="5인 이상",1.5,1)+L514*IF($S$4="5인 이상",0.5,1),0)</f>
        <v>0</v>
      </c>
      <c r="M515" s="240"/>
      <c r="N515" s="236"/>
      <c r="O515" s="241"/>
      <c r="P515" s="241"/>
      <c r="Q515" s="241"/>
      <c r="R515" s="241"/>
      <c r="S515" s="241"/>
      <c r="T515" s="241"/>
      <c r="U515" s="241"/>
    </row>
    <row r="516" spans="2:21" ht="21.5" customHeight="1">
      <c r="B516" s="225">
        <f>'임금대장 양식'!B516</f>
        <v>0</v>
      </c>
      <c r="C516" s="225" cm="1">
        <f t="array" ref="C516:C517">'임금대장 양식'!C516:C517</f>
        <v>0</v>
      </c>
      <c r="D516" s="225">
        <f>'임금대장 양식'!D516</f>
        <v>0</v>
      </c>
      <c r="E516" s="226">
        <f>'임금대장 양식'!E516</f>
        <v>0</v>
      </c>
      <c r="F516" s="227">
        <f>'임금대장 양식'!F516</f>
        <v>0</v>
      </c>
      <c r="G516" s="228">
        <f t="shared" ref="G516" si="2783">IFERROR((F516)/M516,0)</f>
        <v>0</v>
      </c>
      <c r="H516" s="229">
        <f t="shared" ref="H516:H579" si="2784">IF(F516=0,0,ROUND((8*5)*(365/12/7),0))</f>
        <v>0</v>
      </c>
      <c r="I516" s="229">
        <f t="shared" ref="I516:I579" si="2785">IF(F516=0,0,ROUND(8*365/12/7,0))</f>
        <v>0</v>
      </c>
      <c r="J516" s="230">
        <f>'임금대장 양식'!J516</f>
        <v>0</v>
      </c>
      <c r="K516" s="231">
        <f>'임금대장 양식'!K516</f>
        <v>0</v>
      </c>
      <c r="L516" s="231">
        <f>'임금대장 양식'!L516</f>
        <v>0</v>
      </c>
      <c r="M516" s="232">
        <f t="shared" ref="M516:M579" si="2786">H516+I516+J517+K517+L517</f>
        <v>0</v>
      </c>
      <c r="N516" s="227">
        <f t="shared" ref="N516:N579" si="2787">IF(G516=0,0,G516*(H516+I516)-(R516+S516+T516+U516))</f>
        <v>0</v>
      </c>
      <c r="O516" s="233">
        <f t="shared" ref="O516:O579" si="2788">G516*J517</f>
        <v>0</v>
      </c>
      <c r="P516" s="233">
        <f t="shared" ref="P516:P579" si="2789">G516*K517</f>
        <v>0</v>
      </c>
      <c r="Q516" s="233">
        <f t="shared" ref="Q516:Q579" si="2790">G516*L517</f>
        <v>0</v>
      </c>
      <c r="R516" s="233">
        <f>'임금대장 양식'!R516</f>
        <v>0</v>
      </c>
      <c r="S516" s="233">
        <f>'임금대장 양식'!S516</f>
        <v>0</v>
      </c>
      <c r="T516" s="233">
        <f>'임금대장 양식'!T516</f>
        <v>0</v>
      </c>
      <c r="U516" s="233">
        <f>'임금대장 양식'!U516</f>
        <v>0</v>
      </c>
    </row>
    <row r="517" spans="2:21" ht="21.5" customHeight="1">
      <c r="B517" s="234"/>
      <c r="C517" s="234">
        <v>0</v>
      </c>
      <c r="D517" s="210">
        <f>'임금대장 양식'!D517</f>
        <v>0</v>
      </c>
      <c r="E517" s="235"/>
      <c r="F517" s="236"/>
      <c r="G517" s="237"/>
      <c r="H517" s="238"/>
      <c r="I517" s="238"/>
      <c r="J517" s="239">
        <f t="shared" ref="J517:J580" si="2791">ROUND(J516*(365/12/7)*IF($S$4="5인 이상",1.5,1),0)</f>
        <v>0</v>
      </c>
      <c r="K517" s="239">
        <f t="shared" ref="K517:K580" si="2792">ROUND(K516*IF($S$4="5인 이상",1.5,1),0)</f>
        <v>0</v>
      </c>
      <c r="L517" s="239">
        <f t="shared" ref="L517:L580" si="2793">ROUND(L516*IF($S$4="5인 이상",1.5,1)+L516*IF($S$4="5인 이상",0.5,1),0)</f>
        <v>0</v>
      </c>
      <c r="M517" s="240"/>
      <c r="N517" s="236"/>
      <c r="O517" s="241"/>
      <c r="P517" s="241"/>
      <c r="Q517" s="241"/>
      <c r="R517" s="241"/>
      <c r="S517" s="241"/>
      <c r="T517" s="241"/>
      <c r="U517" s="241"/>
    </row>
    <row r="518" spans="2:21" ht="21.5" customHeight="1">
      <c r="B518" s="225">
        <f>'임금대장 양식'!B518</f>
        <v>0</v>
      </c>
      <c r="C518" s="225" cm="1">
        <f t="array" ref="C518:C519">'임금대장 양식'!C518:C519</f>
        <v>0</v>
      </c>
      <c r="D518" s="225">
        <f>'임금대장 양식'!D518</f>
        <v>0</v>
      </c>
      <c r="E518" s="226">
        <f>'임금대장 양식'!E518</f>
        <v>0</v>
      </c>
      <c r="F518" s="227">
        <f>'임금대장 양식'!F518</f>
        <v>0</v>
      </c>
      <c r="G518" s="228">
        <f t="shared" ref="G518" si="2794">IFERROR((F518)/M518,0)</f>
        <v>0</v>
      </c>
      <c r="H518" s="229">
        <f t="shared" ref="H518:H581" si="2795">IF(F518=0,0,ROUND((8*5)*(365/12/7),0))</f>
        <v>0</v>
      </c>
      <c r="I518" s="229">
        <f t="shared" ref="I518:I581" si="2796">IF(F518=0,0,ROUND(8*365/12/7,0))</f>
        <v>0</v>
      </c>
      <c r="J518" s="230">
        <f>'임금대장 양식'!J518</f>
        <v>0</v>
      </c>
      <c r="K518" s="231">
        <f>'임금대장 양식'!K518</f>
        <v>0</v>
      </c>
      <c r="L518" s="231">
        <f>'임금대장 양식'!L518</f>
        <v>0</v>
      </c>
      <c r="M518" s="232">
        <f t="shared" ref="M518:M581" si="2797">H518+I518+J519+K519+L519</f>
        <v>0</v>
      </c>
      <c r="N518" s="227">
        <f t="shared" ref="N518:N581" si="2798">IF(G518=0,0,G518*(H518+I518)-(R518+S518+T518+U518))</f>
        <v>0</v>
      </c>
      <c r="O518" s="233">
        <f t="shared" ref="O518:O581" si="2799">G518*J519</f>
        <v>0</v>
      </c>
      <c r="P518" s="233">
        <f t="shared" ref="P518:P581" si="2800">G518*K519</f>
        <v>0</v>
      </c>
      <c r="Q518" s="233">
        <f t="shared" ref="Q518:Q581" si="2801">G518*L519</f>
        <v>0</v>
      </c>
      <c r="R518" s="233">
        <f>'임금대장 양식'!R518</f>
        <v>0</v>
      </c>
      <c r="S518" s="233">
        <f>'임금대장 양식'!S518</f>
        <v>0</v>
      </c>
      <c r="T518" s="233">
        <f>'임금대장 양식'!T518</f>
        <v>0</v>
      </c>
      <c r="U518" s="233">
        <f>'임금대장 양식'!U518</f>
        <v>0</v>
      </c>
    </row>
    <row r="519" spans="2:21" ht="21.5" customHeight="1">
      <c r="B519" s="234"/>
      <c r="C519" s="234">
        <v>0</v>
      </c>
      <c r="D519" s="210">
        <f>'임금대장 양식'!D519</f>
        <v>0</v>
      </c>
      <c r="E519" s="235"/>
      <c r="F519" s="236"/>
      <c r="G519" s="237"/>
      <c r="H519" s="238"/>
      <c r="I519" s="238"/>
      <c r="J519" s="239">
        <f t="shared" ref="J519:J582" si="2802">ROUND(J518*(365/12/7)*IF($S$4="5인 이상",1.5,1),0)</f>
        <v>0</v>
      </c>
      <c r="K519" s="239">
        <f t="shared" ref="K519:K582" si="2803">ROUND(K518*IF($S$4="5인 이상",1.5,1),0)</f>
        <v>0</v>
      </c>
      <c r="L519" s="239">
        <f t="shared" ref="L519:L582" si="2804">ROUND(L518*IF($S$4="5인 이상",1.5,1)+L518*IF($S$4="5인 이상",0.5,1),0)</f>
        <v>0</v>
      </c>
      <c r="M519" s="240"/>
      <c r="N519" s="236"/>
      <c r="O519" s="241"/>
      <c r="P519" s="241"/>
      <c r="Q519" s="241"/>
      <c r="R519" s="241"/>
      <c r="S519" s="241"/>
      <c r="T519" s="241"/>
      <c r="U519" s="241"/>
    </row>
    <row r="520" spans="2:21" ht="21.5" customHeight="1">
      <c r="B520" s="225">
        <f>'임금대장 양식'!B520</f>
        <v>0</v>
      </c>
      <c r="C520" s="225" cm="1">
        <f t="array" ref="C520:C521">'임금대장 양식'!C520:C521</f>
        <v>0</v>
      </c>
      <c r="D520" s="225">
        <f>'임금대장 양식'!D520</f>
        <v>0</v>
      </c>
      <c r="E520" s="226">
        <f>'임금대장 양식'!E520</f>
        <v>0</v>
      </c>
      <c r="F520" s="227">
        <f>'임금대장 양식'!F520</f>
        <v>0</v>
      </c>
      <c r="G520" s="228">
        <f t="shared" ref="G520" si="2805">IFERROR((F520)/M520,0)</f>
        <v>0</v>
      </c>
      <c r="H520" s="229">
        <f t="shared" ref="H520:H583" si="2806">IF(F520=0,0,ROUND((8*5)*(365/12/7),0))</f>
        <v>0</v>
      </c>
      <c r="I520" s="229">
        <f t="shared" ref="I520:I583" si="2807">IF(F520=0,0,ROUND(8*365/12/7,0))</f>
        <v>0</v>
      </c>
      <c r="J520" s="230">
        <f>'임금대장 양식'!J520</f>
        <v>0</v>
      </c>
      <c r="K520" s="231">
        <f>'임금대장 양식'!K520</f>
        <v>0</v>
      </c>
      <c r="L520" s="231">
        <f>'임금대장 양식'!L520</f>
        <v>0</v>
      </c>
      <c r="M520" s="232">
        <f t="shared" ref="M520:M583" si="2808">H520+I520+J521+K521+L521</f>
        <v>0</v>
      </c>
      <c r="N520" s="227">
        <f t="shared" ref="N520:N583" si="2809">IF(G520=0,0,G520*(H520+I520)-(R520+S520+T520+U520))</f>
        <v>0</v>
      </c>
      <c r="O520" s="233">
        <f t="shared" ref="O520:O583" si="2810">G520*J521</f>
        <v>0</v>
      </c>
      <c r="P520" s="233">
        <f t="shared" ref="P520:P583" si="2811">G520*K521</f>
        <v>0</v>
      </c>
      <c r="Q520" s="233">
        <f t="shared" ref="Q520:Q583" si="2812">G520*L521</f>
        <v>0</v>
      </c>
      <c r="R520" s="233">
        <f>'임금대장 양식'!R520</f>
        <v>0</v>
      </c>
      <c r="S520" s="233">
        <f>'임금대장 양식'!S520</f>
        <v>0</v>
      </c>
      <c r="T520" s="233">
        <f>'임금대장 양식'!T520</f>
        <v>0</v>
      </c>
      <c r="U520" s="233">
        <f>'임금대장 양식'!U520</f>
        <v>0</v>
      </c>
    </row>
    <row r="521" spans="2:21" ht="21.5" customHeight="1">
      <c r="B521" s="234"/>
      <c r="C521" s="234">
        <v>0</v>
      </c>
      <c r="D521" s="210">
        <f>'임금대장 양식'!D521</f>
        <v>0</v>
      </c>
      <c r="E521" s="235"/>
      <c r="F521" s="236"/>
      <c r="G521" s="237"/>
      <c r="H521" s="238"/>
      <c r="I521" s="238"/>
      <c r="J521" s="239">
        <f t="shared" ref="J521:J584" si="2813">ROUND(J520*(365/12/7)*IF($S$4="5인 이상",1.5,1),0)</f>
        <v>0</v>
      </c>
      <c r="K521" s="239">
        <f t="shared" ref="K521:K584" si="2814">ROUND(K520*IF($S$4="5인 이상",1.5,1),0)</f>
        <v>0</v>
      </c>
      <c r="L521" s="239">
        <f t="shared" ref="L521:L584" si="2815">ROUND(L520*IF($S$4="5인 이상",1.5,1)+L520*IF($S$4="5인 이상",0.5,1),0)</f>
        <v>0</v>
      </c>
      <c r="M521" s="240"/>
      <c r="N521" s="236"/>
      <c r="O521" s="241"/>
      <c r="P521" s="241"/>
      <c r="Q521" s="241"/>
      <c r="R521" s="241"/>
      <c r="S521" s="241"/>
      <c r="T521" s="241"/>
      <c r="U521" s="241"/>
    </row>
    <row r="522" spans="2:21" ht="21.5" customHeight="1">
      <c r="B522" s="225">
        <f>'임금대장 양식'!B522</f>
        <v>0</v>
      </c>
      <c r="C522" s="225" cm="1">
        <f t="array" ref="C522:C523">'임금대장 양식'!C522:C523</f>
        <v>0</v>
      </c>
      <c r="D522" s="225">
        <f>'임금대장 양식'!D522</f>
        <v>0</v>
      </c>
      <c r="E522" s="226">
        <f>'임금대장 양식'!E522</f>
        <v>0</v>
      </c>
      <c r="F522" s="227">
        <f>'임금대장 양식'!F522</f>
        <v>0</v>
      </c>
      <c r="G522" s="228">
        <f t="shared" ref="G522" si="2816">IFERROR((F522)/M522,0)</f>
        <v>0</v>
      </c>
      <c r="H522" s="229">
        <f t="shared" ref="H522:H585" si="2817">IF(F522=0,0,ROUND((8*5)*(365/12/7),0))</f>
        <v>0</v>
      </c>
      <c r="I522" s="229">
        <f t="shared" ref="I522:I585" si="2818">IF(F522=0,0,ROUND(8*365/12/7,0))</f>
        <v>0</v>
      </c>
      <c r="J522" s="230">
        <f>'임금대장 양식'!J522</f>
        <v>0</v>
      </c>
      <c r="K522" s="231">
        <f>'임금대장 양식'!K522</f>
        <v>0</v>
      </c>
      <c r="L522" s="231">
        <f>'임금대장 양식'!L522</f>
        <v>0</v>
      </c>
      <c r="M522" s="232">
        <f t="shared" ref="M522:M585" si="2819">H522+I522+J523+K523+L523</f>
        <v>0</v>
      </c>
      <c r="N522" s="227">
        <f t="shared" ref="N522:N585" si="2820">IF(G522=0,0,G522*(H522+I522)-(R522+S522+T522+U522))</f>
        <v>0</v>
      </c>
      <c r="O522" s="233">
        <f t="shared" ref="O522:O585" si="2821">G522*J523</f>
        <v>0</v>
      </c>
      <c r="P522" s="233">
        <f t="shared" ref="P522:P585" si="2822">G522*K523</f>
        <v>0</v>
      </c>
      <c r="Q522" s="233">
        <f t="shared" ref="Q522:Q585" si="2823">G522*L523</f>
        <v>0</v>
      </c>
      <c r="R522" s="233">
        <f>'임금대장 양식'!R522</f>
        <v>0</v>
      </c>
      <c r="S522" s="233">
        <f>'임금대장 양식'!S522</f>
        <v>0</v>
      </c>
      <c r="T522" s="233">
        <f>'임금대장 양식'!T522</f>
        <v>0</v>
      </c>
      <c r="U522" s="233">
        <f>'임금대장 양식'!U522</f>
        <v>0</v>
      </c>
    </row>
    <row r="523" spans="2:21" ht="21.5" customHeight="1">
      <c r="B523" s="234"/>
      <c r="C523" s="234">
        <v>0</v>
      </c>
      <c r="D523" s="210">
        <f>'임금대장 양식'!D523</f>
        <v>0</v>
      </c>
      <c r="E523" s="235"/>
      <c r="F523" s="236"/>
      <c r="G523" s="237"/>
      <c r="H523" s="238"/>
      <c r="I523" s="238"/>
      <c r="J523" s="239">
        <f t="shared" ref="J523:J586" si="2824">ROUND(J522*(365/12/7)*IF($S$4="5인 이상",1.5,1),0)</f>
        <v>0</v>
      </c>
      <c r="K523" s="239">
        <f t="shared" ref="K523:K586" si="2825">ROUND(K522*IF($S$4="5인 이상",1.5,1),0)</f>
        <v>0</v>
      </c>
      <c r="L523" s="239">
        <f t="shared" ref="L523:L586" si="2826">ROUND(L522*IF($S$4="5인 이상",1.5,1)+L522*IF($S$4="5인 이상",0.5,1),0)</f>
        <v>0</v>
      </c>
      <c r="M523" s="240"/>
      <c r="N523" s="236"/>
      <c r="O523" s="241"/>
      <c r="P523" s="241"/>
      <c r="Q523" s="241"/>
      <c r="R523" s="241"/>
      <c r="S523" s="241"/>
      <c r="T523" s="241"/>
      <c r="U523" s="241"/>
    </row>
    <row r="524" spans="2:21" ht="21.5" customHeight="1">
      <c r="B524" s="225">
        <f>'임금대장 양식'!B524</f>
        <v>0</v>
      </c>
      <c r="C524" s="225" cm="1">
        <f t="array" ref="C524:C525">'임금대장 양식'!C524:C525</f>
        <v>0</v>
      </c>
      <c r="D524" s="225">
        <f>'임금대장 양식'!D524</f>
        <v>0</v>
      </c>
      <c r="E524" s="226">
        <f>'임금대장 양식'!E524</f>
        <v>0</v>
      </c>
      <c r="F524" s="227">
        <f>'임금대장 양식'!F524</f>
        <v>0</v>
      </c>
      <c r="G524" s="228">
        <f t="shared" ref="G524" si="2827">IFERROR((F524)/M524,0)</f>
        <v>0</v>
      </c>
      <c r="H524" s="229">
        <f t="shared" ref="H524:H587" si="2828">IF(F524=0,0,ROUND((8*5)*(365/12/7),0))</f>
        <v>0</v>
      </c>
      <c r="I524" s="229">
        <f t="shared" ref="I524:I587" si="2829">IF(F524=0,0,ROUND(8*365/12/7,0))</f>
        <v>0</v>
      </c>
      <c r="J524" s="230">
        <f>'임금대장 양식'!J524</f>
        <v>0</v>
      </c>
      <c r="K524" s="231">
        <f>'임금대장 양식'!K524</f>
        <v>0</v>
      </c>
      <c r="L524" s="231">
        <f>'임금대장 양식'!L524</f>
        <v>0</v>
      </c>
      <c r="M524" s="232">
        <f t="shared" ref="M524:M587" si="2830">H524+I524+J525+K525+L525</f>
        <v>0</v>
      </c>
      <c r="N524" s="227">
        <f t="shared" ref="N524:N587" si="2831">IF(G524=0,0,G524*(H524+I524)-(R524+S524+T524+U524))</f>
        <v>0</v>
      </c>
      <c r="O524" s="233">
        <f t="shared" ref="O524:O587" si="2832">G524*J525</f>
        <v>0</v>
      </c>
      <c r="P524" s="233">
        <f t="shared" ref="P524:P587" si="2833">G524*K525</f>
        <v>0</v>
      </c>
      <c r="Q524" s="233">
        <f t="shared" ref="Q524:Q587" si="2834">G524*L525</f>
        <v>0</v>
      </c>
      <c r="R524" s="233">
        <f>'임금대장 양식'!R524</f>
        <v>0</v>
      </c>
      <c r="S524" s="233">
        <f>'임금대장 양식'!S524</f>
        <v>0</v>
      </c>
      <c r="T524" s="233">
        <f>'임금대장 양식'!T524</f>
        <v>0</v>
      </c>
      <c r="U524" s="233">
        <f>'임금대장 양식'!U524</f>
        <v>0</v>
      </c>
    </row>
    <row r="525" spans="2:21" ht="21.5" customHeight="1">
      <c r="B525" s="234"/>
      <c r="C525" s="234">
        <v>0</v>
      </c>
      <c r="D525" s="210">
        <f>'임금대장 양식'!D525</f>
        <v>0</v>
      </c>
      <c r="E525" s="235"/>
      <c r="F525" s="236"/>
      <c r="G525" s="237"/>
      <c r="H525" s="238"/>
      <c r="I525" s="238"/>
      <c r="J525" s="239">
        <f t="shared" ref="J525:J588" si="2835">ROUND(J524*(365/12/7)*IF($S$4="5인 이상",1.5,1),0)</f>
        <v>0</v>
      </c>
      <c r="K525" s="239">
        <f t="shared" ref="K525:K588" si="2836">ROUND(K524*IF($S$4="5인 이상",1.5,1),0)</f>
        <v>0</v>
      </c>
      <c r="L525" s="239">
        <f t="shared" ref="L525:L588" si="2837">ROUND(L524*IF($S$4="5인 이상",1.5,1)+L524*IF($S$4="5인 이상",0.5,1),0)</f>
        <v>0</v>
      </c>
      <c r="M525" s="240"/>
      <c r="N525" s="236"/>
      <c r="O525" s="241"/>
      <c r="P525" s="241"/>
      <c r="Q525" s="241"/>
      <c r="R525" s="241"/>
      <c r="S525" s="241"/>
      <c r="T525" s="241"/>
      <c r="U525" s="241"/>
    </row>
    <row r="526" spans="2:21" ht="21.5" customHeight="1">
      <c r="B526" s="225">
        <f>'임금대장 양식'!B526</f>
        <v>0</v>
      </c>
      <c r="C526" s="225" cm="1">
        <f t="array" ref="C526:C527">'임금대장 양식'!C526:C527</f>
        <v>0</v>
      </c>
      <c r="D526" s="225">
        <f>'임금대장 양식'!D526</f>
        <v>0</v>
      </c>
      <c r="E526" s="226">
        <f>'임금대장 양식'!E526</f>
        <v>0</v>
      </c>
      <c r="F526" s="227">
        <f>'임금대장 양식'!F526</f>
        <v>0</v>
      </c>
      <c r="G526" s="228">
        <f t="shared" ref="G526" si="2838">IFERROR((F526)/M526,0)</f>
        <v>0</v>
      </c>
      <c r="H526" s="229">
        <f t="shared" ref="H526:H589" si="2839">IF(F526=0,0,ROUND((8*5)*(365/12/7),0))</f>
        <v>0</v>
      </c>
      <c r="I526" s="229">
        <f t="shared" ref="I526:I589" si="2840">IF(F526=0,0,ROUND(8*365/12/7,0))</f>
        <v>0</v>
      </c>
      <c r="J526" s="230">
        <f>'임금대장 양식'!J526</f>
        <v>0</v>
      </c>
      <c r="K526" s="231">
        <f>'임금대장 양식'!K526</f>
        <v>0</v>
      </c>
      <c r="L526" s="231">
        <f>'임금대장 양식'!L526</f>
        <v>0</v>
      </c>
      <c r="M526" s="232">
        <f t="shared" ref="M526:M589" si="2841">H526+I526+J527+K527+L527</f>
        <v>0</v>
      </c>
      <c r="N526" s="227">
        <f t="shared" ref="N526:N589" si="2842">IF(G526=0,0,G526*(H526+I526)-(R526+S526+T526+U526))</f>
        <v>0</v>
      </c>
      <c r="O526" s="233">
        <f t="shared" ref="O526:O589" si="2843">G526*J527</f>
        <v>0</v>
      </c>
      <c r="P526" s="233">
        <f t="shared" ref="P526:P589" si="2844">G526*K527</f>
        <v>0</v>
      </c>
      <c r="Q526" s="233">
        <f t="shared" ref="Q526:Q589" si="2845">G526*L527</f>
        <v>0</v>
      </c>
      <c r="R526" s="233">
        <f>'임금대장 양식'!R526</f>
        <v>0</v>
      </c>
      <c r="S526" s="233">
        <f>'임금대장 양식'!S526</f>
        <v>0</v>
      </c>
      <c r="T526" s="233">
        <f>'임금대장 양식'!T526</f>
        <v>0</v>
      </c>
      <c r="U526" s="233">
        <f>'임금대장 양식'!U526</f>
        <v>0</v>
      </c>
    </row>
    <row r="527" spans="2:21" ht="21.5" customHeight="1">
      <c r="B527" s="234"/>
      <c r="C527" s="234">
        <v>0</v>
      </c>
      <c r="D527" s="210">
        <f>'임금대장 양식'!D527</f>
        <v>0</v>
      </c>
      <c r="E527" s="235"/>
      <c r="F527" s="236"/>
      <c r="G527" s="237"/>
      <c r="H527" s="238"/>
      <c r="I527" s="238"/>
      <c r="J527" s="239">
        <f t="shared" ref="J527:J590" si="2846">ROUND(J526*(365/12/7)*IF($S$4="5인 이상",1.5,1),0)</f>
        <v>0</v>
      </c>
      <c r="K527" s="239">
        <f t="shared" ref="K527:K590" si="2847">ROUND(K526*IF($S$4="5인 이상",1.5,1),0)</f>
        <v>0</v>
      </c>
      <c r="L527" s="239">
        <f t="shared" ref="L527:L590" si="2848">ROUND(L526*IF($S$4="5인 이상",1.5,1)+L526*IF($S$4="5인 이상",0.5,1),0)</f>
        <v>0</v>
      </c>
      <c r="M527" s="240"/>
      <c r="N527" s="236"/>
      <c r="O527" s="241"/>
      <c r="P527" s="241"/>
      <c r="Q527" s="241"/>
      <c r="R527" s="241"/>
      <c r="S527" s="241"/>
      <c r="T527" s="241"/>
      <c r="U527" s="241"/>
    </row>
    <row r="528" spans="2:21" ht="21.5" customHeight="1">
      <c r="B528" s="225">
        <f>'임금대장 양식'!B528</f>
        <v>0</v>
      </c>
      <c r="C528" s="225" cm="1">
        <f t="array" ref="C528:C529">'임금대장 양식'!C528:C529</f>
        <v>0</v>
      </c>
      <c r="D528" s="225">
        <f>'임금대장 양식'!D528</f>
        <v>0</v>
      </c>
      <c r="E528" s="226">
        <f>'임금대장 양식'!E528</f>
        <v>0</v>
      </c>
      <c r="F528" s="227">
        <f>'임금대장 양식'!F528</f>
        <v>0</v>
      </c>
      <c r="G528" s="228">
        <f t="shared" ref="G528" si="2849">IFERROR((F528)/M528,0)</f>
        <v>0</v>
      </c>
      <c r="H528" s="229">
        <f t="shared" ref="H528:H591" si="2850">IF(F528=0,0,ROUND((8*5)*(365/12/7),0))</f>
        <v>0</v>
      </c>
      <c r="I528" s="229">
        <f t="shared" ref="I528:I591" si="2851">IF(F528=0,0,ROUND(8*365/12/7,0))</f>
        <v>0</v>
      </c>
      <c r="J528" s="230">
        <f>'임금대장 양식'!J528</f>
        <v>0</v>
      </c>
      <c r="K528" s="231">
        <f>'임금대장 양식'!K528</f>
        <v>0</v>
      </c>
      <c r="L528" s="231">
        <f>'임금대장 양식'!L528</f>
        <v>0</v>
      </c>
      <c r="M528" s="232">
        <f t="shared" ref="M528:M591" si="2852">H528+I528+J529+K529+L529</f>
        <v>0</v>
      </c>
      <c r="N528" s="227">
        <f t="shared" ref="N528:N591" si="2853">IF(G528=0,0,G528*(H528+I528)-(R528+S528+T528+U528))</f>
        <v>0</v>
      </c>
      <c r="O528" s="233">
        <f t="shared" ref="O528:O591" si="2854">G528*J529</f>
        <v>0</v>
      </c>
      <c r="P528" s="233">
        <f t="shared" ref="P528:P591" si="2855">G528*K529</f>
        <v>0</v>
      </c>
      <c r="Q528" s="233">
        <f t="shared" ref="Q528:Q591" si="2856">G528*L529</f>
        <v>0</v>
      </c>
      <c r="R528" s="233">
        <f>'임금대장 양식'!R528</f>
        <v>0</v>
      </c>
      <c r="S528" s="233">
        <f>'임금대장 양식'!S528</f>
        <v>0</v>
      </c>
      <c r="T528" s="233">
        <f>'임금대장 양식'!T528</f>
        <v>0</v>
      </c>
      <c r="U528" s="233">
        <f>'임금대장 양식'!U528</f>
        <v>0</v>
      </c>
    </row>
    <row r="529" spans="2:21" ht="21.5" customHeight="1">
      <c r="B529" s="234"/>
      <c r="C529" s="234">
        <v>0</v>
      </c>
      <c r="D529" s="210">
        <f>'임금대장 양식'!D529</f>
        <v>0</v>
      </c>
      <c r="E529" s="235"/>
      <c r="F529" s="236"/>
      <c r="G529" s="237"/>
      <c r="H529" s="238"/>
      <c r="I529" s="238"/>
      <c r="J529" s="239">
        <f t="shared" ref="J529:J592" si="2857">ROUND(J528*(365/12/7)*IF($S$4="5인 이상",1.5,1),0)</f>
        <v>0</v>
      </c>
      <c r="K529" s="239">
        <f t="shared" ref="K529:K592" si="2858">ROUND(K528*IF($S$4="5인 이상",1.5,1),0)</f>
        <v>0</v>
      </c>
      <c r="L529" s="239">
        <f t="shared" ref="L529:L592" si="2859">ROUND(L528*IF($S$4="5인 이상",1.5,1)+L528*IF($S$4="5인 이상",0.5,1),0)</f>
        <v>0</v>
      </c>
      <c r="M529" s="240"/>
      <c r="N529" s="236"/>
      <c r="O529" s="241"/>
      <c r="P529" s="241"/>
      <c r="Q529" s="241"/>
      <c r="R529" s="241"/>
      <c r="S529" s="241"/>
      <c r="T529" s="241"/>
      <c r="U529" s="241"/>
    </row>
    <row r="530" spans="2:21" ht="21.5" customHeight="1">
      <c r="B530" s="225">
        <f>'임금대장 양식'!B530</f>
        <v>0</v>
      </c>
      <c r="C530" s="225" cm="1">
        <f t="array" ref="C530:C531">'임금대장 양식'!C530:C531</f>
        <v>0</v>
      </c>
      <c r="D530" s="225">
        <f>'임금대장 양식'!D530</f>
        <v>0</v>
      </c>
      <c r="E530" s="226">
        <f>'임금대장 양식'!E530</f>
        <v>0</v>
      </c>
      <c r="F530" s="227">
        <f>'임금대장 양식'!F530</f>
        <v>0</v>
      </c>
      <c r="G530" s="228">
        <f t="shared" ref="G530" si="2860">IFERROR((F530)/M530,0)</f>
        <v>0</v>
      </c>
      <c r="H530" s="229">
        <f t="shared" ref="H530:H593" si="2861">IF(F530=0,0,ROUND((8*5)*(365/12/7),0))</f>
        <v>0</v>
      </c>
      <c r="I530" s="229">
        <f t="shared" ref="I530:I593" si="2862">IF(F530=0,0,ROUND(8*365/12/7,0))</f>
        <v>0</v>
      </c>
      <c r="J530" s="230">
        <f>'임금대장 양식'!J530</f>
        <v>0</v>
      </c>
      <c r="K530" s="231">
        <f>'임금대장 양식'!K530</f>
        <v>0</v>
      </c>
      <c r="L530" s="231">
        <f>'임금대장 양식'!L530</f>
        <v>0</v>
      </c>
      <c r="M530" s="232">
        <f t="shared" ref="M530:M593" si="2863">H530+I530+J531+K531+L531</f>
        <v>0</v>
      </c>
      <c r="N530" s="227">
        <f t="shared" ref="N530:N593" si="2864">IF(G530=0,0,G530*(H530+I530)-(R530+S530+T530+U530))</f>
        <v>0</v>
      </c>
      <c r="O530" s="233">
        <f t="shared" ref="O530:O593" si="2865">G530*J531</f>
        <v>0</v>
      </c>
      <c r="P530" s="233">
        <f t="shared" ref="P530:P593" si="2866">G530*K531</f>
        <v>0</v>
      </c>
      <c r="Q530" s="233">
        <f t="shared" ref="Q530:Q593" si="2867">G530*L531</f>
        <v>0</v>
      </c>
      <c r="R530" s="233">
        <f>'임금대장 양식'!R530</f>
        <v>0</v>
      </c>
      <c r="S530" s="233">
        <f>'임금대장 양식'!S530</f>
        <v>0</v>
      </c>
      <c r="T530" s="233">
        <f>'임금대장 양식'!T530</f>
        <v>0</v>
      </c>
      <c r="U530" s="233">
        <f>'임금대장 양식'!U530</f>
        <v>0</v>
      </c>
    </row>
    <row r="531" spans="2:21" ht="21.5" customHeight="1">
      <c r="B531" s="234"/>
      <c r="C531" s="234">
        <v>0</v>
      </c>
      <c r="D531" s="210">
        <f>'임금대장 양식'!D531</f>
        <v>0</v>
      </c>
      <c r="E531" s="235"/>
      <c r="F531" s="236"/>
      <c r="G531" s="237"/>
      <c r="H531" s="238"/>
      <c r="I531" s="238"/>
      <c r="J531" s="239">
        <f t="shared" ref="J531:J594" si="2868">ROUND(J530*(365/12/7)*IF($S$4="5인 이상",1.5,1),0)</f>
        <v>0</v>
      </c>
      <c r="K531" s="239">
        <f t="shared" ref="K531:K594" si="2869">ROUND(K530*IF($S$4="5인 이상",1.5,1),0)</f>
        <v>0</v>
      </c>
      <c r="L531" s="239">
        <f t="shared" ref="L531:L594" si="2870">ROUND(L530*IF($S$4="5인 이상",1.5,1)+L530*IF($S$4="5인 이상",0.5,1),0)</f>
        <v>0</v>
      </c>
      <c r="M531" s="240"/>
      <c r="N531" s="236"/>
      <c r="O531" s="241"/>
      <c r="P531" s="241"/>
      <c r="Q531" s="241"/>
      <c r="R531" s="241"/>
      <c r="S531" s="241"/>
      <c r="T531" s="241"/>
      <c r="U531" s="241"/>
    </row>
    <row r="532" spans="2:21" ht="21.5" customHeight="1">
      <c r="B532" s="225">
        <f>'임금대장 양식'!B532</f>
        <v>0</v>
      </c>
      <c r="C532" s="225" cm="1">
        <f t="array" ref="C532:C533">'임금대장 양식'!C532:C533</f>
        <v>0</v>
      </c>
      <c r="D532" s="225">
        <f>'임금대장 양식'!D532</f>
        <v>0</v>
      </c>
      <c r="E532" s="226">
        <f>'임금대장 양식'!E532</f>
        <v>0</v>
      </c>
      <c r="F532" s="227">
        <f>'임금대장 양식'!F532</f>
        <v>0</v>
      </c>
      <c r="G532" s="228">
        <f t="shared" ref="G532" si="2871">IFERROR((F532)/M532,0)</f>
        <v>0</v>
      </c>
      <c r="H532" s="229">
        <f t="shared" ref="H532:H595" si="2872">IF(F532=0,0,ROUND((8*5)*(365/12/7),0))</f>
        <v>0</v>
      </c>
      <c r="I532" s="229">
        <f t="shared" ref="I532:I595" si="2873">IF(F532=0,0,ROUND(8*365/12/7,0))</f>
        <v>0</v>
      </c>
      <c r="J532" s="230">
        <f>'임금대장 양식'!J532</f>
        <v>0</v>
      </c>
      <c r="K532" s="231">
        <f>'임금대장 양식'!K532</f>
        <v>0</v>
      </c>
      <c r="L532" s="231">
        <f>'임금대장 양식'!L532</f>
        <v>0</v>
      </c>
      <c r="M532" s="232">
        <f t="shared" ref="M532:M595" si="2874">H532+I532+J533+K533+L533</f>
        <v>0</v>
      </c>
      <c r="N532" s="227">
        <f t="shared" ref="N532:N595" si="2875">IF(G532=0,0,G532*(H532+I532)-(R532+S532+T532+U532))</f>
        <v>0</v>
      </c>
      <c r="O532" s="233">
        <f t="shared" ref="O532:O595" si="2876">G532*J533</f>
        <v>0</v>
      </c>
      <c r="P532" s="233">
        <f t="shared" ref="P532:P595" si="2877">G532*K533</f>
        <v>0</v>
      </c>
      <c r="Q532" s="233">
        <f t="shared" ref="Q532:Q595" si="2878">G532*L533</f>
        <v>0</v>
      </c>
      <c r="R532" s="233">
        <f>'임금대장 양식'!R532</f>
        <v>0</v>
      </c>
      <c r="S532" s="233">
        <f>'임금대장 양식'!S532</f>
        <v>0</v>
      </c>
      <c r="T532" s="233">
        <f>'임금대장 양식'!T532</f>
        <v>0</v>
      </c>
      <c r="U532" s="233">
        <f>'임금대장 양식'!U532</f>
        <v>0</v>
      </c>
    </row>
    <row r="533" spans="2:21" ht="21.5" customHeight="1">
      <c r="B533" s="234"/>
      <c r="C533" s="234">
        <v>0</v>
      </c>
      <c r="D533" s="210">
        <f>'임금대장 양식'!D533</f>
        <v>0</v>
      </c>
      <c r="E533" s="235"/>
      <c r="F533" s="236"/>
      <c r="G533" s="237"/>
      <c r="H533" s="238"/>
      <c r="I533" s="238"/>
      <c r="J533" s="239">
        <f t="shared" ref="J533:J596" si="2879">ROUND(J532*(365/12/7)*IF($S$4="5인 이상",1.5,1),0)</f>
        <v>0</v>
      </c>
      <c r="K533" s="239">
        <f t="shared" ref="K533:K596" si="2880">ROUND(K532*IF($S$4="5인 이상",1.5,1),0)</f>
        <v>0</v>
      </c>
      <c r="L533" s="239">
        <f t="shared" ref="L533:L596" si="2881">ROUND(L532*IF($S$4="5인 이상",1.5,1)+L532*IF($S$4="5인 이상",0.5,1),0)</f>
        <v>0</v>
      </c>
      <c r="M533" s="240"/>
      <c r="N533" s="236"/>
      <c r="O533" s="241"/>
      <c r="P533" s="241"/>
      <c r="Q533" s="241"/>
      <c r="R533" s="241"/>
      <c r="S533" s="241"/>
      <c r="T533" s="241"/>
      <c r="U533" s="241"/>
    </row>
    <row r="534" spans="2:21" ht="21.5" customHeight="1">
      <c r="B534" s="225">
        <f>'임금대장 양식'!B534</f>
        <v>0</v>
      </c>
      <c r="C534" s="225" cm="1">
        <f t="array" ref="C534:C535">'임금대장 양식'!C534:C535</f>
        <v>0</v>
      </c>
      <c r="D534" s="225">
        <f>'임금대장 양식'!D534</f>
        <v>0</v>
      </c>
      <c r="E534" s="226">
        <f>'임금대장 양식'!E534</f>
        <v>0</v>
      </c>
      <c r="F534" s="227">
        <f>'임금대장 양식'!F534</f>
        <v>0</v>
      </c>
      <c r="G534" s="228">
        <f t="shared" ref="G534" si="2882">IFERROR((F534)/M534,0)</f>
        <v>0</v>
      </c>
      <c r="H534" s="229">
        <f t="shared" ref="H534:H597" si="2883">IF(F534=0,0,ROUND((8*5)*(365/12/7),0))</f>
        <v>0</v>
      </c>
      <c r="I534" s="229">
        <f t="shared" ref="I534:I597" si="2884">IF(F534=0,0,ROUND(8*365/12/7,0))</f>
        <v>0</v>
      </c>
      <c r="J534" s="230">
        <f>'임금대장 양식'!J534</f>
        <v>0</v>
      </c>
      <c r="K534" s="231">
        <f>'임금대장 양식'!K534</f>
        <v>0</v>
      </c>
      <c r="L534" s="231">
        <f>'임금대장 양식'!L534</f>
        <v>0</v>
      </c>
      <c r="M534" s="232">
        <f t="shared" ref="M534:M597" si="2885">H534+I534+J535+K535+L535</f>
        <v>0</v>
      </c>
      <c r="N534" s="227">
        <f t="shared" ref="N534:N597" si="2886">IF(G534=0,0,G534*(H534+I534)-(R534+S534+T534+U534))</f>
        <v>0</v>
      </c>
      <c r="O534" s="233">
        <f t="shared" ref="O534:O597" si="2887">G534*J535</f>
        <v>0</v>
      </c>
      <c r="P534" s="233">
        <f t="shared" ref="P534:P597" si="2888">G534*K535</f>
        <v>0</v>
      </c>
      <c r="Q534" s="233">
        <f t="shared" ref="Q534:Q597" si="2889">G534*L535</f>
        <v>0</v>
      </c>
      <c r="R534" s="233">
        <f>'임금대장 양식'!R534</f>
        <v>0</v>
      </c>
      <c r="S534" s="233">
        <f>'임금대장 양식'!S534</f>
        <v>0</v>
      </c>
      <c r="T534" s="233">
        <f>'임금대장 양식'!T534</f>
        <v>0</v>
      </c>
      <c r="U534" s="233">
        <f>'임금대장 양식'!U534</f>
        <v>0</v>
      </c>
    </row>
    <row r="535" spans="2:21" ht="21.5" customHeight="1">
      <c r="B535" s="234"/>
      <c r="C535" s="234">
        <v>0</v>
      </c>
      <c r="D535" s="210">
        <f>'임금대장 양식'!D535</f>
        <v>0</v>
      </c>
      <c r="E535" s="235"/>
      <c r="F535" s="236"/>
      <c r="G535" s="237"/>
      <c r="H535" s="238"/>
      <c r="I535" s="238"/>
      <c r="J535" s="239">
        <f t="shared" ref="J535:J598" si="2890">ROUND(J534*(365/12/7)*IF($S$4="5인 이상",1.5,1),0)</f>
        <v>0</v>
      </c>
      <c r="K535" s="239">
        <f t="shared" ref="K535:K598" si="2891">ROUND(K534*IF($S$4="5인 이상",1.5,1),0)</f>
        <v>0</v>
      </c>
      <c r="L535" s="239">
        <f t="shared" ref="L535:L598" si="2892">ROUND(L534*IF($S$4="5인 이상",1.5,1)+L534*IF($S$4="5인 이상",0.5,1),0)</f>
        <v>0</v>
      </c>
      <c r="M535" s="240"/>
      <c r="N535" s="236"/>
      <c r="O535" s="241"/>
      <c r="P535" s="241"/>
      <c r="Q535" s="241"/>
      <c r="R535" s="241"/>
      <c r="S535" s="241"/>
      <c r="T535" s="241"/>
      <c r="U535" s="241"/>
    </row>
    <row r="536" spans="2:21" ht="21.5" customHeight="1">
      <c r="B536" s="225">
        <f>'임금대장 양식'!B536</f>
        <v>0</v>
      </c>
      <c r="C536" s="225" cm="1">
        <f t="array" ref="C536:C537">'임금대장 양식'!C536:C537</f>
        <v>0</v>
      </c>
      <c r="D536" s="225">
        <f>'임금대장 양식'!D536</f>
        <v>0</v>
      </c>
      <c r="E536" s="226">
        <f>'임금대장 양식'!E536</f>
        <v>0</v>
      </c>
      <c r="F536" s="227">
        <f>'임금대장 양식'!F536</f>
        <v>0</v>
      </c>
      <c r="G536" s="228">
        <f t="shared" ref="G536" si="2893">IFERROR((F536)/M536,0)</f>
        <v>0</v>
      </c>
      <c r="H536" s="229">
        <f t="shared" ref="H536:H599" si="2894">IF(F536=0,0,ROUND((8*5)*(365/12/7),0))</f>
        <v>0</v>
      </c>
      <c r="I536" s="229">
        <f t="shared" ref="I536:I599" si="2895">IF(F536=0,0,ROUND(8*365/12/7,0))</f>
        <v>0</v>
      </c>
      <c r="J536" s="230">
        <f>'임금대장 양식'!J536</f>
        <v>0</v>
      </c>
      <c r="K536" s="231">
        <f>'임금대장 양식'!K536</f>
        <v>0</v>
      </c>
      <c r="L536" s="231">
        <f>'임금대장 양식'!L536</f>
        <v>0</v>
      </c>
      <c r="M536" s="232">
        <f t="shared" ref="M536:M599" si="2896">H536+I536+J537+K537+L537</f>
        <v>0</v>
      </c>
      <c r="N536" s="227">
        <f t="shared" ref="N536:N599" si="2897">IF(G536=0,0,G536*(H536+I536)-(R536+S536+T536+U536))</f>
        <v>0</v>
      </c>
      <c r="O536" s="233">
        <f t="shared" ref="O536:O599" si="2898">G536*J537</f>
        <v>0</v>
      </c>
      <c r="P536" s="233">
        <f t="shared" ref="P536:P599" si="2899">G536*K537</f>
        <v>0</v>
      </c>
      <c r="Q536" s="233">
        <f t="shared" ref="Q536:Q599" si="2900">G536*L537</f>
        <v>0</v>
      </c>
      <c r="R536" s="233">
        <f>'임금대장 양식'!R536</f>
        <v>0</v>
      </c>
      <c r="S536" s="233">
        <f>'임금대장 양식'!S536</f>
        <v>0</v>
      </c>
      <c r="T536" s="233">
        <f>'임금대장 양식'!T536</f>
        <v>0</v>
      </c>
      <c r="U536" s="233">
        <f>'임금대장 양식'!U536</f>
        <v>0</v>
      </c>
    </row>
    <row r="537" spans="2:21" ht="21.5" customHeight="1">
      <c r="B537" s="234"/>
      <c r="C537" s="234">
        <v>0</v>
      </c>
      <c r="D537" s="210">
        <f>'임금대장 양식'!D537</f>
        <v>0</v>
      </c>
      <c r="E537" s="235"/>
      <c r="F537" s="236"/>
      <c r="G537" s="237"/>
      <c r="H537" s="238"/>
      <c r="I537" s="238"/>
      <c r="J537" s="239">
        <f t="shared" ref="J537:J600" si="2901">ROUND(J536*(365/12/7)*IF($S$4="5인 이상",1.5,1),0)</f>
        <v>0</v>
      </c>
      <c r="K537" s="239">
        <f t="shared" ref="K537:K600" si="2902">ROUND(K536*IF($S$4="5인 이상",1.5,1),0)</f>
        <v>0</v>
      </c>
      <c r="L537" s="239">
        <f t="shared" ref="L537:L600" si="2903">ROUND(L536*IF($S$4="5인 이상",1.5,1)+L536*IF($S$4="5인 이상",0.5,1),0)</f>
        <v>0</v>
      </c>
      <c r="M537" s="240"/>
      <c r="N537" s="236"/>
      <c r="O537" s="241"/>
      <c r="P537" s="241"/>
      <c r="Q537" s="241"/>
      <c r="R537" s="241"/>
      <c r="S537" s="241"/>
      <c r="T537" s="241"/>
      <c r="U537" s="241"/>
    </row>
    <row r="538" spans="2:21" ht="21.5" customHeight="1">
      <c r="B538" s="225">
        <f>'임금대장 양식'!B538</f>
        <v>0</v>
      </c>
      <c r="C538" s="225" cm="1">
        <f t="array" ref="C538:C539">'임금대장 양식'!C538:C539</f>
        <v>0</v>
      </c>
      <c r="D538" s="225">
        <f>'임금대장 양식'!D538</f>
        <v>0</v>
      </c>
      <c r="E538" s="226">
        <f>'임금대장 양식'!E538</f>
        <v>0</v>
      </c>
      <c r="F538" s="227">
        <f>'임금대장 양식'!F538</f>
        <v>0</v>
      </c>
      <c r="G538" s="228">
        <f t="shared" ref="G538" si="2904">IFERROR((F538)/M538,0)</f>
        <v>0</v>
      </c>
      <c r="H538" s="229">
        <f t="shared" ref="H538:H601" si="2905">IF(F538=0,0,ROUND((8*5)*(365/12/7),0))</f>
        <v>0</v>
      </c>
      <c r="I538" s="229">
        <f t="shared" ref="I538:I601" si="2906">IF(F538=0,0,ROUND(8*365/12/7,0))</f>
        <v>0</v>
      </c>
      <c r="J538" s="230">
        <f>'임금대장 양식'!J538</f>
        <v>0</v>
      </c>
      <c r="K538" s="231">
        <f>'임금대장 양식'!K538</f>
        <v>0</v>
      </c>
      <c r="L538" s="231">
        <f>'임금대장 양식'!L538</f>
        <v>0</v>
      </c>
      <c r="M538" s="232">
        <f t="shared" ref="M538:M601" si="2907">H538+I538+J539+K539+L539</f>
        <v>0</v>
      </c>
      <c r="N538" s="227">
        <f t="shared" ref="N538:N601" si="2908">IF(G538=0,0,G538*(H538+I538)-(R538+S538+T538+U538))</f>
        <v>0</v>
      </c>
      <c r="O538" s="233">
        <f t="shared" ref="O538:O601" si="2909">G538*J539</f>
        <v>0</v>
      </c>
      <c r="P538" s="233">
        <f t="shared" ref="P538:P601" si="2910">G538*K539</f>
        <v>0</v>
      </c>
      <c r="Q538" s="233">
        <f t="shared" ref="Q538:Q601" si="2911">G538*L539</f>
        <v>0</v>
      </c>
      <c r="R538" s="233">
        <f>'임금대장 양식'!R538</f>
        <v>0</v>
      </c>
      <c r="S538" s="233">
        <f>'임금대장 양식'!S538</f>
        <v>0</v>
      </c>
      <c r="T538" s="233">
        <f>'임금대장 양식'!T538</f>
        <v>0</v>
      </c>
      <c r="U538" s="233">
        <f>'임금대장 양식'!U538</f>
        <v>0</v>
      </c>
    </row>
    <row r="539" spans="2:21" ht="21.5" customHeight="1">
      <c r="B539" s="234"/>
      <c r="C539" s="234">
        <v>0</v>
      </c>
      <c r="D539" s="210">
        <f>'임금대장 양식'!D539</f>
        <v>0</v>
      </c>
      <c r="E539" s="235"/>
      <c r="F539" s="236"/>
      <c r="G539" s="237"/>
      <c r="H539" s="238"/>
      <c r="I539" s="238"/>
      <c r="J539" s="239">
        <f t="shared" ref="J539:J602" si="2912">ROUND(J538*(365/12/7)*IF($S$4="5인 이상",1.5,1),0)</f>
        <v>0</v>
      </c>
      <c r="K539" s="239">
        <f t="shared" ref="K539:K602" si="2913">ROUND(K538*IF($S$4="5인 이상",1.5,1),0)</f>
        <v>0</v>
      </c>
      <c r="L539" s="239">
        <f t="shared" ref="L539:L602" si="2914">ROUND(L538*IF($S$4="5인 이상",1.5,1)+L538*IF($S$4="5인 이상",0.5,1),0)</f>
        <v>0</v>
      </c>
      <c r="M539" s="240"/>
      <c r="N539" s="236"/>
      <c r="O539" s="241"/>
      <c r="P539" s="241"/>
      <c r="Q539" s="241"/>
      <c r="R539" s="241"/>
      <c r="S539" s="241"/>
      <c r="T539" s="241"/>
      <c r="U539" s="241"/>
    </row>
    <row r="540" spans="2:21" ht="21.5" customHeight="1">
      <c r="B540" s="225">
        <f>'임금대장 양식'!B540</f>
        <v>0</v>
      </c>
      <c r="C540" s="225" cm="1">
        <f t="array" ref="C540:C541">'임금대장 양식'!C540:C541</f>
        <v>0</v>
      </c>
      <c r="D540" s="225">
        <f>'임금대장 양식'!D540</f>
        <v>0</v>
      </c>
      <c r="E540" s="226">
        <f>'임금대장 양식'!E540</f>
        <v>0</v>
      </c>
      <c r="F540" s="227">
        <f>'임금대장 양식'!F540</f>
        <v>0</v>
      </c>
      <c r="G540" s="228">
        <f t="shared" ref="G540" si="2915">IFERROR((F540)/M540,0)</f>
        <v>0</v>
      </c>
      <c r="H540" s="229">
        <f t="shared" ref="H540:H603" si="2916">IF(F540=0,0,ROUND((8*5)*(365/12/7),0))</f>
        <v>0</v>
      </c>
      <c r="I540" s="229">
        <f t="shared" ref="I540:I603" si="2917">IF(F540=0,0,ROUND(8*365/12/7,0))</f>
        <v>0</v>
      </c>
      <c r="J540" s="230">
        <f>'임금대장 양식'!J540</f>
        <v>0</v>
      </c>
      <c r="K540" s="231">
        <f>'임금대장 양식'!K540</f>
        <v>0</v>
      </c>
      <c r="L540" s="231">
        <f>'임금대장 양식'!L540</f>
        <v>0</v>
      </c>
      <c r="M540" s="232">
        <f t="shared" ref="M540:M603" si="2918">H540+I540+J541+K541+L541</f>
        <v>0</v>
      </c>
      <c r="N540" s="227">
        <f t="shared" ref="N540:N603" si="2919">IF(G540=0,0,G540*(H540+I540)-(R540+S540+T540+U540))</f>
        <v>0</v>
      </c>
      <c r="O540" s="233">
        <f t="shared" ref="O540:O603" si="2920">G540*J541</f>
        <v>0</v>
      </c>
      <c r="P540" s="233">
        <f t="shared" ref="P540:P603" si="2921">G540*K541</f>
        <v>0</v>
      </c>
      <c r="Q540" s="233">
        <f t="shared" ref="Q540:Q603" si="2922">G540*L541</f>
        <v>0</v>
      </c>
      <c r="R540" s="233">
        <f>'임금대장 양식'!R540</f>
        <v>0</v>
      </c>
      <c r="S540" s="233">
        <f>'임금대장 양식'!S540</f>
        <v>0</v>
      </c>
      <c r="T540" s="233">
        <f>'임금대장 양식'!T540</f>
        <v>0</v>
      </c>
      <c r="U540" s="233">
        <f>'임금대장 양식'!U540</f>
        <v>0</v>
      </c>
    </row>
    <row r="541" spans="2:21" ht="21.5" customHeight="1">
      <c r="B541" s="234"/>
      <c r="C541" s="234">
        <v>0</v>
      </c>
      <c r="D541" s="210">
        <f>'임금대장 양식'!D541</f>
        <v>0</v>
      </c>
      <c r="E541" s="235"/>
      <c r="F541" s="236"/>
      <c r="G541" s="237"/>
      <c r="H541" s="238"/>
      <c r="I541" s="238"/>
      <c r="J541" s="239">
        <f t="shared" ref="J541:J604" si="2923">ROUND(J540*(365/12/7)*IF($S$4="5인 이상",1.5,1),0)</f>
        <v>0</v>
      </c>
      <c r="K541" s="239">
        <f t="shared" ref="K541:K604" si="2924">ROUND(K540*IF($S$4="5인 이상",1.5,1),0)</f>
        <v>0</v>
      </c>
      <c r="L541" s="239">
        <f t="shared" ref="L541:L604" si="2925">ROUND(L540*IF($S$4="5인 이상",1.5,1)+L540*IF($S$4="5인 이상",0.5,1),0)</f>
        <v>0</v>
      </c>
      <c r="M541" s="240"/>
      <c r="N541" s="236"/>
      <c r="O541" s="241"/>
      <c r="P541" s="241"/>
      <c r="Q541" s="241"/>
      <c r="R541" s="241"/>
      <c r="S541" s="241"/>
      <c r="T541" s="241"/>
      <c r="U541" s="241"/>
    </row>
    <row r="542" spans="2:21" ht="21.5" customHeight="1">
      <c r="B542" s="225">
        <f>'임금대장 양식'!B542</f>
        <v>0</v>
      </c>
      <c r="C542" s="225" cm="1">
        <f t="array" ref="C542:C543">'임금대장 양식'!C542:C543</f>
        <v>0</v>
      </c>
      <c r="D542" s="225">
        <f>'임금대장 양식'!D542</f>
        <v>0</v>
      </c>
      <c r="E542" s="226">
        <f>'임금대장 양식'!E542</f>
        <v>0</v>
      </c>
      <c r="F542" s="227">
        <f>'임금대장 양식'!F542</f>
        <v>0</v>
      </c>
      <c r="G542" s="228">
        <f t="shared" ref="G542" si="2926">IFERROR((F542)/M542,0)</f>
        <v>0</v>
      </c>
      <c r="H542" s="229">
        <f t="shared" ref="H542:H605" si="2927">IF(F542=0,0,ROUND((8*5)*(365/12/7),0))</f>
        <v>0</v>
      </c>
      <c r="I542" s="229">
        <f t="shared" ref="I542:I605" si="2928">IF(F542=0,0,ROUND(8*365/12/7,0))</f>
        <v>0</v>
      </c>
      <c r="J542" s="230">
        <f>'임금대장 양식'!J542</f>
        <v>0</v>
      </c>
      <c r="K542" s="231">
        <f>'임금대장 양식'!K542</f>
        <v>0</v>
      </c>
      <c r="L542" s="231">
        <f>'임금대장 양식'!L542</f>
        <v>0</v>
      </c>
      <c r="M542" s="232">
        <f t="shared" ref="M542:M605" si="2929">H542+I542+J543+K543+L543</f>
        <v>0</v>
      </c>
      <c r="N542" s="227">
        <f t="shared" ref="N542:N605" si="2930">IF(G542=0,0,G542*(H542+I542)-(R542+S542+T542+U542))</f>
        <v>0</v>
      </c>
      <c r="O542" s="233">
        <f t="shared" ref="O542:O605" si="2931">G542*J543</f>
        <v>0</v>
      </c>
      <c r="P542" s="233">
        <f t="shared" ref="P542:P605" si="2932">G542*K543</f>
        <v>0</v>
      </c>
      <c r="Q542" s="233">
        <f t="shared" ref="Q542:Q605" si="2933">G542*L543</f>
        <v>0</v>
      </c>
      <c r="R542" s="233">
        <f>'임금대장 양식'!R542</f>
        <v>0</v>
      </c>
      <c r="S542" s="233">
        <f>'임금대장 양식'!S542</f>
        <v>0</v>
      </c>
      <c r="T542" s="233">
        <f>'임금대장 양식'!T542</f>
        <v>0</v>
      </c>
      <c r="U542" s="233">
        <f>'임금대장 양식'!U542</f>
        <v>0</v>
      </c>
    </row>
    <row r="543" spans="2:21" ht="21.5" customHeight="1">
      <c r="B543" s="234"/>
      <c r="C543" s="234">
        <v>0</v>
      </c>
      <c r="D543" s="210">
        <f>'임금대장 양식'!D543</f>
        <v>0</v>
      </c>
      <c r="E543" s="235"/>
      <c r="F543" s="236"/>
      <c r="G543" s="237"/>
      <c r="H543" s="238"/>
      <c r="I543" s="238"/>
      <c r="J543" s="239">
        <f t="shared" ref="J543:J606" si="2934">ROUND(J542*(365/12/7)*IF($S$4="5인 이상",1.5,1),0)</f>
        <v>0</v>
      </c>
      <c r="K543" s="239">
        <f t="shared" ref="K543:K606" si="2935">ROUND(K542*IF($S$4="5인 이상",1.5,1),0)</f>
        <v>0</v>
      </c>
      <c r="L543" s="239">
        <f t="shared" ref="L543:L606" si="2936">ROUND(L542*IF($S$4="5인 이상",1.5,1)+L542*IF($S$4="5인 이상",0.5,1),0)</f>
        <v>0</v>
      </c>
      <c r="M543" s="240"/>
      <c r="N543" s="236"/>
      <c r="O543" s="241"/>
      <c r="P543" s="241"/>
      <c r="Q543" s="241"/>
      <c r="R543" s="241"/>
      <c r="S543" s="241"/>
      <c r="T543" s="241"/>
      <c r="U543" s="241"/>
    </row>
    <row r="544" spans="2:21" ht="21.5" customHeight="1">
      <c r="B544" s="225">
        <f>'임금대장 양식'!B544</f>
        <v>0</v>
      </c>
      <c r="C544" s="225" cm="1">
        <f t="array" ref="C544:C545">'임금대장 양식'!C544:C545</f>
        <v>0</v>
      </c>
      <c r="D544" s="225">
        <f>'임금대장 양식'!D544</f>
        <v>0</v>
      </c>
      <c r="E544" s="226">
        <f>'임금대장 양식'!E544</f>
        <v>0</v>
      </c>
      <c r="F544" s="227">
        <f>'임금대장 양식'!F544</f>
        <v>0</v>
      </c>
      <c r="G544" s="228">
        <f t="shared" ref="G544" si="2937">IFERROR((F544)/M544,0)</f>
        <v>0</v>
      </c>
      <c r="H544" s="229">
        <f t="shared" ref="H544:H607" si="2938">IF(F544=0,0,ROUND((8*5)*(365/12/7),0))</f>
        <v>0</v>
      </c>
      <c r="I544" s="229">
        <f t="shared" ref="I544:I607" si="2939">IF(F544=0,0,ROUND(8*365/12/7,0))</f>
        <v>0</v>
      </c>
      <c r="J544" s="230">
        <f>'임금대장 양식'!J544</f>
        <v>0</v>
      </c>
      <c r="K544" s="231">
        <f>'임금대장 양식'!K544</f>
        <v>0</v>
      </c>
      <c r="L544" s="231">
        <f>'임금대장 양식'!L544</f>
        <v>0</v>
      </c>
      <c r="M544" s="232">
        <f t="shared" ref="M544:M607" si="2940">H544+I544+J545+K545+L545</f>
        <v>0</v>
      </c>
      <c r="N544" s="227">
        <f t="shared" ref="N544:N607" si="2941">IF(G544=0,0,G544*(H544+I544)-(R544+S544+T544+U544))</f>
        <v>0</v>
      </c>
      <c r="O544" s="233">
        <f t="shared" ref="O544:O607" si="2942">G544*J545</f>
        <v>0</v>
      </c>
      <c r="P544" s="233">
        <f t="shared" ref="P544:P607" si="2943">G544*K545</f>
        <v>0</v>
      </c>
      <c r="Q544" s="233">
        <f t="shared" ref="Q544:Q607" si="2944">G544*L545</f>
        <v>0</v>
      </c>
      <c r="R544" s="233">
        <f>'임금대장 양식'!R544</f>
        <v>0</v>
      </c>
      <c r="S544" s="233">
        <f>'임금대장 양식'!S544</f>
        <v>0</v>
      </c>
      <c r="T544" s="233">
        <f>'임금대장 양식'!T544</f>
        <v>0</v>
      </c>
      <c r="U544" s="233">
        <f>'임금대장 양식'!U544</f>
        <v>0</v>
      </c>
    </row>
    <row r="545" spans="2:21" ht="21.5" customHeight="1">
      <c r="B545" s="234"/>
      <c r="C545" s="234">
        <v>0</v>
      </c>
      <c r="D545" s="210">
        <f>'임금대장 양식'!D545</f>
        <v>0</v>
      </c>
      <c r="E545" s="235"/>
      <c r="F545" s="236"/>
      <c r="G545" s="237"/>
      <c r="H545" s="238"/>
      <c r="I545" s="238"/>
      <c r="J545" s="239">
        <f t="shared" ref="J545:J608" si="2945">ROUND(J544*(365/12/7)*IF($S$4="5인 이상",1.5,1),0)</f>
        <v>0</v>
      </c>
      <c r="K545" s="239">
        <f t="shared" ref="K545:K608" si="2946">ROUND(K544*IF($S$4="5인 이상",1.5,1),0)</f>
        <v>0</v>
      </c>
      <c r="L545" s="239">
        <f t="shared" ref="L545:L608" si="2947">ROUND(L544*IF($S$4="5인 이상",1.5,1)+L544*IF($S$4="5인 이상",0.5,1),0)</f>
        <v>0</v>
      </c>
      <c r="M545" s="240"/>
      <c r="N545" s="236"/>
      <c r="O545" s="241"/>
      <c r="P545" s="241"/>
      <c r="Q545" s="241"/>
      <c r="R545" s="241"/>
      <c r="S545" s="241"/>
      <c r="T545" s="241"/>
      <c r="U545" s="241"/>
    </row>
    <row r="546" spans="2:21" ht="21.5" customHeight="1">
      <c r="B546" s="225">
        <f>'임금대장 양식'!B546</f>
        <v>0</v>
      </c>
      <c r="C546" s="225" cm="1">
        <f t="array" ref="C546:C547">'임금대장 양식'!C546:C547</f>
        <v>0</v>
      </c>
      <c r="D546" s="225">
        <f>'임금대장 양식'!D546</f>
        <v>0</v>
      </c>
      <c r="E546" s="226">
        <f>'임금대장 양식'!E546</f>
        <v>0</v>
      </c>
      <c r="F546" s="227">
        <f>'임금대장 양식'!F546</f>
        <v>0</v>
      </c>
      <c r="G546" s="228">
        <f t="shared" ref="G546" si="2948">IFERROR((F546)/M546,0)</f>
        <v>0</v>
      </c>
      <c r="H546" s="229">
        <f t="shared" ref="H546:H609" si="2949">IF(F546=0,0,ROUND((8*5)*(365/12/7),0))</f>
        <v>0</v>
      </c>
      <c r="I546" s="229">
        <f t="shared" ref="I546:I609" si="2950">IF(F546=0,0,ROUND(8*365/12/7,0))</f>
        <v>0</v>
      </c>
      <c r="J546" s="230">
        <f>'임금대장 양식'!J546</f>
        <v>0</v>
      </c>
      <c r="K546" s="231">
        <f>'임금대장 양식'!K546</f>
        <v>0</v>
      </c>
      <c r="L546" s="231">
        <f>'임금대장 양식'!L546</f>
        <v>0</v>
      </c>
      <c r="M546" s="232">
        <f t="shared" ref="M546:M609" si="2951">H546+I546+J547+K547+L547</f>
        <v>0</v>
      </c>
      <c r="N546" s="227">
        <f t="shared" ref="N546:N609" si="2952">IF(G546=0,0,G546*(H546+I546)-(R546+S546+T546+U546))</f>
        <v>0</v>
      </c>
      <c r="O546" s="233">
        <f t="shared" ref="O546:O609" si="2953">G546*J547</f>
        <v>0</v>
      </c>
      <c r="P546" s="233">
        <f t="shared" ref="P546:P609" si="2954">G546*K547</f>
        <v>0</v>
      </c>
      <c r="Q546" s="233">
        <f t="shared" ref="Q546:Q609" si="2955">G546*L547</f>
        <v>0</v>
      </c>
      <c r="R546" s="233">
        <f>'임금대장 양식'!R546</f>
        <v>0</v>
      </c>
      <c r="S546" s="233">
        <f>'임금대장 양식'!S546</f>
        <v>0</v>
      </c>
      <c r="T546" s="233">
        <f>'임금대장 양식'!T546</f>
        <v>0</v>
      </c>
      <c r="U546" s="233">
        <f>'임금대장 양식'!U546</f>
        <v>0</v>
      </c>
    </row>
    <row r="547" spans="2:21" ht="21.5" customHeight="1">
      <c r="B547" s="234"/>
      <c r="C547" s="234">
        <v>0</v>
      </c>
      <c r="D547" s="210">
        <f>'임금대장 양식'!D547</f>
        <v>0</v>
      </c>
      <c r="E547" s="235"/>
      <c r="F547" s="236"/>
      <c r="G547" s="237"/>
      <c r="H547" s="238"/>
      <c r="I547" s="238"/>
      <c r="J547" s="239">
        <f t="shared" ref="J547:J610" si="2956">ROUND(J546*(365/12/7)*IF($S$4="5인 이상",1.5,1),0)</f>
        <v>0</v>
      </c>
      <c r="K547" s="239">
        <f t="shared" ref="K547:K610" si="2957">ROUND(K546*IF($S$4="5인 이상",1.5,1),0)</f>
        <v>0</v>
      </c>
      <c r="L547" s="239">
        <f t="shared" ref="L547:L610" si="2958">ROUND(L546*IF($S$4="5인 이상",1.5,1)+L546*IF($S$4="5인 이상",0.5,1),0)</f>
        <v>0</v>
      </c>
      <c r="M547" s="240"/>
      <c r="N547" s="236"/>
      <c r="O547" s="241"/>
      <c r="P547" s="241"/>
      <c r="Q547" s="241"/>
      <c r="R547" s="241"/>
      <c r="S547" s="241"/>
      <c r="T547" s="241"/>
      <c r="U547" s="241"/>
    </row>
    <row r="548" spans="2:21" ht="21.5" customHeight="1">
      <c r="B548" s="225">
        <f>'임금대장 양식'!B548</f>
        <v>0</v>
      </c>
      <c r="C548" s="225" cm="1">
        <f t="array" ref="C548:C549">'임금대장 양식'!C548:C549</f>
        <v>0</v>
      </c>
      <c r="D548" s="225">
        <f>'임금대장 양식'!D548</f>
        <v>0</v>
      </c>
      <c r="E548" s="226">
        <f>'임금대장 양식'!E548</f>
        <v>0</v>
      </c>
      <c r="F548" s="227">
        <f>'임금대장 양식'!F548</f>
        <v>0</v>
      </c>
      <c r="G548" s="228">
        <f t="shared" ref="G548" si="2959">IFERROR((F548)/M548,0)</f>
        <v>0</v>
      </c>
      <c r="H548" s="229">
        <f t="shared" ref="H548:H611" si="2960">IF(F548=0,0,ROUND((8*5)*(365/12/7),0))</f>
        <v>0</v>
      </c>
      <c r="I548" s="229">
        <f t="shared" ref="I548:I611" si="2961">IF(F548=0,0,ROUND(8*365/12/7,0))</f>
        <v>0</v>
      </c>
      <c r="J548" s="230">
        <f>'임금대장 양식'!J548</f>
        <v>0</v>
      </c>
      <c r="K548" s="231">
        <f>'임금대장 양식'!K548</f>
        <v>0</v>
      </c>
      <c r="L548" s="231">
        <f>'임금대장 양식'!L548</f>
        <v>0</v>
      </c>
      <c r="M548" s="232">
        <f t="shared" ref="M548:M611" si="2962">H548+I548+J549+K549+L549</f>
        <v>0</v>
      </c>
      <c r="N548" s="227">
        <f t="shared" ref="N548:N611" si="2963">IF(G548=0,0,G548*(H548+I548)-(R548+S548+T548+U548))</f>
        <v>0</v>
      </c>
      <c r="O548" s="233">
        <f t="shared" ref="O548:O611" si="2964">G548*J549</f>
        <v>0</v>
      </c>
      <c r="P548" s="233">
        <f t="shared" ref="P548:P611" si="2965">G548*K549</f>
        <v>0</v>
      </c>
      <c r="Q548" s="233">
        <f t="shared" ref="Q548:Q611" si="2966">G548*L549</f>
        <v>0</v>
      </c>
      <c r="R548" s="233">
        <f>'임금대장 양식'!R548</f>
        <v>0</v>
      </c>
      <c r="S548" s="233">
        <f>'임금대장 양식'!S548</f>
        <v>0</v>
      </c>
      <c r="T548" s="233">
        <f>'임금대장 양식'!T548</f>
        <v>0</v>
      </c>
      <c r="U548" s="233">
        <f>'임금대장 양식'!U548</f>
        <v>0</v>
      </c>
    </row>
    <row r="549" spans="2:21" ht="21.5" customHeight="1">
      <c r="B549" s="234"/>
      <c r="C549" s="234">
        <v>0</v>
      </c>
      <c r="D549" s="210">
        <f>'임금대장 양식'!D549</f>
        <v>0</v>
      </c>
      <c r="E549" s="235"/>
      <c r="F549" s="236"/>
      <c r="G549" s="237"/>
      <c r="H549" s="238"/>
      <c r="I549" s="238"/>
      <c r="J549" s="239">
        <f t="shared" ref="J549:J612" si="2967">ROUND(J548*(365/12/7)*IF($S$4="5인 이상",1.5,1),0)</f>
        <v>0</v>
      </c>
      <c r="K549" s="239">
        <f t="shared" ref="K549:K612" si="2968">ROUND(K548*IF($S$4="5인 이상",1.5,1),0)</f>
        <v>0</v>
      </c>
      <c r="L549" s="239">
        <f t="shared" ref="L549:L612" si="2969">ROUND(L548*IF($S$4="5인 이상",1.5,1)+L548*IF($S$4="5인 이상",0.5,1),0)</f>
        <v>0</v>
      </c>
      <c r="M549" s="240"/>
      <c r="N549" s="236"/>
      <c r="O549" s="241"/>
      <c r="P549" s="241"/>
      <c r="Q549" s="241"/>
      <c r="R549" s="241"/>
      <c r="S549" s="241"/>
      <c r="T549" s="241"/>
      <c r="U549" s="241"/>
    </row>
    <row r="550" spans="2:21" ht="21.5" customHeight="1">
      <c r="B550" s="225">
        <f>'임금대장 양식'!B550</f>
        <v>0</v>
      </c>
      <c r="C550" s="225" cm="1">
        <f t="array" ref="C550:C551">'임금대장 양식'!C550:C551</f>
        <v>0</v>
      </c>
      <c r="D550" s="225">
        <f>'임금대장 양식'!D550</f>
        <v>0</v>
      </c>
      <c r="E550" s="226">
        <f>'임금대장 양식'!E550</f>
        <v>0</v>
      </c>
      <c r="F550" s="227">
        <f>'임금대장 양식'!F550</f>
        <v>0</v>
      </c>
      <c r="G550" s="228">
        <f t="shared" ref="G550" si="2970">IFERROR((F550)/M550,0)</f>
        <v>0</v>
      </c>
      <c r="H550" s="229">
        <f t="shared" ref="H550:H613" si="2971">IF(F550=0,0,ROUND((8*5)*(365/12/7),0))</f>
        <v>0</v>
      </c>
      <c r="I550" s="229">
        <f t="shared" ref="I550:I613" si="2972">IF(F550=0,0,ROUND(8*365/12/7,0))</f>
        <v>0</v>
      </c>
      <c r="J550" s="230">
        <f>'임금대장 양식'!J550</f>
        <v>0</v>
      </c>
      <c r="K550" s="231">
        <f>'임금대장 양식'!K550</f>
        <v>0</v>
      </c>
      <c r="L550" s="231">
        <f>'임금대장 양식'!L550</f>
        <v>0</v>
      </c>
      <c r="M550" s="232">
        <f t="shared" ref="M550:M613" si="2973">H550+I550+J551+K551+L551</f>
        <v>0</v>
      </c>
      <c r="N550" s="227">
        <f t="shared" ref="N550:N613" si="2974">IF(G550=0,0,G550*(H550+I550)-(R550+S550+T550+U550))</f>
        <v>0</v>
      </c>
      <c r="O550" s="233">
        <f t="shared" ref="O550:O613" si="2975">G550*J551</f>
        <v>0</v>
      </c>
      <c r="P550" s="233">
        <f t="shared" ref="P550:P613" si="2976">G550*K551</f>
        <v>0</v>
      </c>
      <c r="Q550" s="233">
        <f t="shared" ref="Q550:Q613" si="2977">G550*L551</f>
        <v>0</v>
      </c>
      <c r="R550" s="233">
        <f>'임금대장 양식'!R550</f>
        <v>0</v>
      </c>
      <c r="S550" s="233">
        <f>'임금대장 양식'!S550</f>
        <v>0</v>
      </c>
      <c r="T550" s="233">
        <f>'임금대장 양식'!T550</f>
        <v>0</v>
      </c>
      <c r="U550" s="233">
        <f>'임금대장 양식'!U550</f>
        <v>0</v>
      </c>
    </row>
    <row r="551" spans="2:21" ht="21.5" customHeight="1">
      <c r="B551" s="234"/>
      <c r="C551" s="234">
        <v>0</v>
      </c>
      <c r="D551" s="210">
        <f>'임금대장 양식'!D551</f>
        <v>0</v>
      </c>
      <c r="E551" s="235"/>
      <c r="F551" s="236"/>
      <c r="G551" s="237"/>
      <c r="H551" s="238"/>
      <c r="I551" s="238"/>
      <c r="J551" s="239">
        <f t="shared" ref="J551:J614" si="2978">ROUND(J550*(365/12/7)*IF($S$4="5인 이상",1.5,1),0)</f>
        <v>0</v>
      </c>
      <c r="K551" s="239">
        <f t="shared" ref="K551:K614" si="2979">ROUND(K550*IF($S$4="5인 이상",1.5,1),0)</f>
        <v>0</v>
      </c>
      <c r="L551" s="239">
        <f t="shared" ref="L551:L614" si="2980">ROUND(L550*IF($S$4="5인 이상",1.5,1)+L550*IF($S$4="5인 이상",0.5,1),0)</f>
        <v>0</v>
      </c>
      <c r="M551" s="240"/>
      <c r="N551" s="236"/>
      <c r="O551" s="241"/>
      <c r="P551" s="241"/>
      <c r="Q551" s="241"/>
      <c r="R551" s="241"/>
      <c r="S551" s="241"/>
      <c r="T551" s="241"/>
      <c r="U551" s="241"/>
    </row>
    <row r="552" spans="2:21" ht="21.5" customHeight="1">
      <c r="B552" s="225">
        <f>'임금대장 양식'!B552</f>
        <v>0</v>
      </c>
      <c r="C552" s="225" cm="1">
        <f t="array" ref="C552:C553">'임금대장 양식'!C552:C553</f>
        <v>0</v>
      </c>
      <c r="D552" s="225">
        <f>'임금대장 양식'!D552</f>
        <v>0</v>
      </c>
      <c r="E552" s="226">
        <f>'임금대장 양식'!E552</f>
        <v>0</v>
      </c>
      <c r="F552" s="227">
        <f>'임금대장 양식'!F552</f>
        <v>0</v>
      </c>
      <c r="G552" s="228">
        <f t="shared" ref="G552" si="2981">IFERROR((F552)/M552,0)</f>
        <v>0</v>
      </c>
      <c r="H552" s="229">
        <f t="shared" ref="H552:H615" si="2982">IF(F552=0,0,ROUND((8*5)*(365/12/7),0))</f>
        <v>0</v>
      </c>
      <c r="I552" s="229">
        <f t="shared" ref="I552:I615" si="2983">IF(F552=0,0,ROUND(8*365/12/7,0))</f>
        <v>0</v>
      </c>
      <c r="J552" s="230">
        <f>'임금대장 양식'!J552</f>
        <v>0</v>
      </c>
      <c r="K552" s="231">
        <f>'임금대장 양식'!K552</f>
        <v>0</v>
      </c>
      <c r="L552" s="231">
        <f>'임금대장 양식'!L552</f>
        <v>0</v>
      </c>
      <c r="M552" s="232">
        <f t="shared" ref="M552:M615" si="2984">H552+I552+J553+K553+L553</f>
        <v>0</v>
      </c>
      <c r="N552" s="227">
        <f t="shared" ref="N552:N615" si="2985">IF(G552=0,0,G552*(H552+I552)-(R552+S552+T552+U552))</f>
        <v>0</v>
      </c>
      <c r="O552" s="233">
        <f t="shared" ref="O552:O615" si="2986">G552*J553</f>
        <v>0</v>
      </c>
      <c r="P552" s="233">
        <f t="shared" ref="P552:P615" si="2987">G552*K553</f>
        <v>0</v>
      </c>
      <c r="Q552" s="233">
        <f t="shared" ref="Q552:Q615" si="2988">G552*L553</f>
        <v>0</v>
      </c>
      <c r="R552" s="233">
        <f>'임금대장 양식'!R552</f>
        <v>0</v>
      </c>
      <c r="S552" s="233">
        <f>'임금대장 양식'!S552</f>
        <v>0</v>
      </c>
      <c r="T552" s="233">
        <f>'임금대장 양식'!T552</f>
        <v>0</v>
      </c>
      <c r="U552" s="233">
        <f>'임금대장 양식'!U552</f>
        <v>0</v>
      </c>
    </row>
    <row r="553" spans="2:21" ht="21.5" customHeight="1">
      <c r="B553" s="234"/>
      <c r="C553" s="234">
        <v>0</v>
      </c>
      <c r="D553" s="210">
        <f>'임금대장 양식'!D553</f>
        <v>0</v>
      </c>
      <c r="E553" s="235"/>
      <c r="F553" s="236"/>
      <c r="G553" s="237"/>
      <c r="H553" s="238"/>
      <c r="I553" s="238"/>
      <c r="J553" s="239">
        <f t="shared" ref="J553:J616" si="2989">ROUND(J552*(365/12/7)*IF($S$4="5인 이상",1.5,1),0)</f>
        <v>0</v>
      </c>
      <c r="K553" s="239">
        <f t="shared" ref="K553:K616" si="2990">ROUND(K552*IF($S$4="5인 이상",1.5,1),0)</f>
        <v>0</v>
      </c>
      <c r="L553" s="239">
        <f t="shared" ref="L553:L616" si="2991">ROUND(L552*IF($S$4="5인 이상",1.5,1)+L552*IF($S$4="5인 이상",0.5,1),0)</f>
        <v>0</v>
      </c>
      <c r="M553" s="240"/>
      <c r="N553" s="236"/>
      <c r="O553" s="241"/>
      <c r="P553" s="241"/>
      <c r="Q553" s="241"/>
      <c r="R553" s="241"/>
      <c r="S553" s="241"/>
      <c r="T553" s="241"/>
      <c r="U553" s="241"/>
    </row>
    <row r="554" spans="2:21" ht="21.5" customHeight="1">
      <c r="B554" s="225">
        <f>'임금대장 양식'!B554</f>
        <v>0</v>
      </c>
      <c r="C554" s="225" cm="1">
        <f t="array" ref="C554:C555">'임금대장 양식'!C554:C555</f>
        <v>0</v>
      </c>
      <c r="D554" s="225">
        <f>'임금대장 양식'!D554</f>
        <v>0</v>
      </c>
      <c r="E554" s="226">
        <f>'임금대장 양식'!E554</f>
        <v>0</v>
      </c>
      <c r="F554" s="227">
        <f>'임금대장 양식'!F554</f>
        <v>0</v>
      </c>
      <c r="G554" s="228">
        <f t="shared" ref="G554" si="2992">IFERROR((F554)/M554,0)</f>
        <v>0</v>
      </c>
      <c r="H554" s="229">
        <f t="shared" ref="H554:H617" si="2993">IF(F554=0,0,ROUND((8*5)*(365/12/7),0))</f>
        <v>0</v>
      </c>
      <c r="I554" s="229">
        <f t="shared" ref="I554:I617" si="2994">IF(F554=0,0,ROUND(8*365/12/7,0))</f>
        <v>0</v>
      </c>
      <c r="J554" s="230">
        <f>'임금대장 양식'!J554</f>
        <v>0</v>
      </c>
      <c r="K554" s="231">
        <f>'임금대장 양식'!K554</f>
        <v>0</v>
      </c>
      <c r="L554" s="231">
        <f>'임금대장 양식'!L554</f>
        <v>0</v>
      </c>
      <c r="M554" s="232">
        <f t="shared" ref="M554:M617" si="2995">H554+I554+J555+K555+L555</f>
        <v>0</v>
      </c>
      <c r="N554" s="227">
        <f t="shared" ref="N554:N617" si="2996">IF(G554=0,0,G554*(H554+I554)-(R554+S554+T554+U554))</f>
        <v>0</v>
      </c>
      <c r="O554" s="233">
        <f t="shared" ref="O554:O617" si="2997">G554*J555</f>
        <v>0</v>
      </c>
      <c r="P554" s="233">
        <f t="shared" ref="P554:P617" si="2998">G554*K555</f>
        <v>0</v>
      </c>
      <c r="Q554" s="233">
        <f t="shared" ref="Q554:Q617" si="2999">G554*L555</f>
        <v>0</v>
      </c>
      <c r="R554" s="233">
        <f>'임금대장 양식'!R554</f>
        <v>0</v>
      </c>
      <c r="S554" s="233">
        <f>'임금대장 양식'!S554</f>
        <v>0</v>
      </c>
      <c r="T554" s="233">
        <f>'임금대장 양식'!T554</f>
        <v>0</v>
      </c>
      <c r="U554" s="233">
        <f>'임금대장 양식'!U554</f>
        <v>0</v>
      </c>
    </row>
    <row r="555" spans="2:21" ht="21.5" customHeight="1">
      <c r="B555" s="234"/>
      <c r="C555" s="234">
        <v>0</v>
      </c>
      <c r="D555" s="210">
        <f>'임금대장 양식'!D555</f>
        <v>0</v>
      </c>
      <c r="E555" s="235"/>
      <c r="F555" s="236"/>
      <c r="G555" s="237"/>
      <c r="H555" s="238"/>
      <c r="I555" s="238"/>
      <c r="J555" s="239">
        <f t="shared" ref="J555:J618" si="3000">ROUND(J554*(365/12/7)*IF($S$4="5인 이상",1.5,1),0)</f>
        <v>0</v>
      </c>
      <c r="K555" s="239">
        <f t="shared" ref="K555:K618" si="3001">ROUND(K554*IF($S$4="5인 이상",1.5,1),0)</f>
        <v>0</v>
      </c>
      <c r="L555" s="239">
        <f t="shared" ref="L555:L618" si="3002">ROUND(L554*IF($S$4="5인 이상",1.5,1)+L554*IF($S$4="5인 이상",0.5,1),0)</f>
        <v>0</v>
      </c>
      <c r="M555" s="240"/>
      <c r="N555" s="236"/>
      <c r="O555" s="241"/>
      <c r="P555" s="241"/>
      <c r="Q555" s="241"/>
      <c r="R555" s="241"/>
      <c r="S555" s="241"/>
      <c r="T555" s="241"/>
      <c r="U555" s="241"/>
    </row>
    <row r="556" spans="2:21" ht="21.5" customHeight="1">
      <c r="B556" s="225">
        <f>'임금대장 양식'!B556</f>
        <v>0</v>
      </c>
      <c r="C556" s="225" cm="1">
        <f t="array" ref="C556:C557">'임금대장 양식'!C556:C557</f>
        <v>0</v>
      </c>
      <c r="D556" s="225">
        <f>'임금대장 양식'!D556</f>
        <v>0</v>
      </c>
      <c r="E556" s="226">
        <f>'임금대장 양식'!E556</f>
        <v>0</v>
      </c>
      <c r="F556" s="227">
        <f>'임금대장 양식'!F556</f>
        <v>0</v>
      </c>
      <c r="G556" s="228">
        <f t="shared" ref="G556" si="3003">IFERROR((F556)/M556,0)</f>
        <v>0</v>
      </c>
      <c r="H556" s="229">
        <f t="shared" ref="H556:H619" si="3004">IF(F556=0,0,ROUND((8*5)*(365/12/7),0))</f>
        <v>0</v>
      </c>
      <c r="I556" s="229">
        <f t="shared" ref="I556:I619" si="3005">IF(F556=0,0,ROUND(8*365/12/7,0))</f>
        <v>0</v>
      </c>
      <c r="J556" s="230">
        <f>'임금대장 양식'!J556</f>
        <v>0</v>
      </c>
      <c r="K556" s="231">
        <f>'임금대장 양식'!K556</f>
        <v>0</v>
      </c>
      <c r="L556" s="231">
        <f>'임금대장 양식'!L556</f>
        <v>0</v>
      </c>
      <c r="M556" s="232">
        <f t="shared" ref="M556:M619" si="3006">H556+I556+J557+K557+L557</f>
        <v>0</v>
      </c>
      <c r="N556" s="227">
        <f t="shared" ref="N556:N619" si="3007">IF(G556=0,0,G556*(H556+I556)-(R556+S556+T556+U556))</f>
        <v>0</v>
      </c>
      <c r="O556" s="233">
        <f t="shared" ref="O556:O619" si="3008">G556*J557</f>
        <v>0</v>
      </c>
      <c r="P556" s="233">
        <f t="shared" ref="P556:P619" si="3009">G556*K557</f>
        <v>0</v>
      </c>
      <c r="Q556" s="233">
        <f t="shared" ref="Q556:Q619" si="3010">G556*L557</f>
        <v>0</v>
      </c>
      <c r="R556" s="233">
        <f>'임금대장 양식'!R556</f>
        <v>0</v>
      </c>
      <c r="S556" s="233">
        <f>'임금대장 양식'!S556</f>
        <v>0</v>
      </c>
      <c r="T556" s="233">
        <f>'임금대장 양식'!T556</f>
        <v>0</v>
      </c>
      <c r="U556" s="233">
        <f>'임금대장 양식'!U556</f>
        <v>0</v>
      </c>
    </row>
    <row r="557" spans="2:21" ht="21.5" customHeight="1">
      <c r="B557" s="234"/>
      <c r="C557" s="234">
        <v>0</v>
      </c>
      <c r="D557" s="210">
        <f>'임금대장 양식'!D557</f>
        <v>0</v>
      </c>
      <c r="E557" s="235"/>
      <c r="F557" s="236"/>
      <c r="G557" s="237"/>
      <c r="H557" s="238"/>
      <c r="I557" s="238"/>
      <c r="J557" s="239">
        <f t="shared" ref="J557:J620" si="3011">ROUND(J556*(365/12/7)*IF($S$4="5인 이상",1.5,1),0)</f>
        <v>0</v>
      </c>
      <c r="K557" s="239">
        <f t="shared" ref="K557:K620" si="3012">ROUND(K556*IF($S$4="5인 이상",1.5,1),0)</f>
        <v>0</v>
      </c>
      <c r="L557" s="239">
        <f t="shared" ref="L557:L620" si="3013">ROUND(L556*IF($S$4="5인 이상",1.5,1)+L556*IF($S$4="5인 이상",0.5,1),0)</f>
        <v>0</v>
      </c>
      <c r="M557" s="240"/>
      <c r="N557" s="236"/>
      <c r="O557" s="241"/>
      <c r="P557" s="241"/>
      <c r="Q557" s="241"/>
      <c r="R557" s="241"/>
      <c r="S557" s="241"/>
      <c r="T557" s="241"/>
      <c r="U557" s="241"/>
    </row>
    <row r="558" spans="2:21" ht="21.5" customHeight="1">
      <c r="B558" s="225">
        <f>'임금대장 양식'!B558</f>
        <v>0</v>
      </c>
      <c r="C558" s="225" cm="1">
        <f t="array" ref="C558:C559">'임금대장 양식'!C558:C559</f>
        <v>0</v>
      </c>
      <c r="D558" s="225">
        <f>'임금대장 양식'!D558</f>
        <v>0</v>
      </c>
      <c r="E558" s="226">
        <f>'임금대장 양식'!E558</f>
        <v>0</v>
      </c>
      <c r="F558" s="227">
        <f>'임금대장 양식'!F558</f>
        <v>0</v>
      </c>
      <c r="G558" s="228">
        <f t="shared" ref="G558" si="3014">IFERROR((F558)/M558,0)</f>
        <v>0</v>
      </c>
      <c r="H558" s="229">
        <f t="shared" ref="H558:H621" si="3015">IF(F558=0,0,ROUND((8*5)*(365/12/7),0))</f>
        <v>0</v>
      </c>
      <c r="I558" s="229">
        <f t="shared" ref="I558:I621" si="3016">IF(F558=0,0,ROUND(8*365/12/7,0))</f>
        <v>0</v>
      </c>
      <c r="J558" s="230">
        <f>'임금대장 양식'!J558</f>
        <v>0</v>
      </c>
      <c r="K558" s="231">
        <f>'임금대장 양식'!K558</f>
        <v>0</v>
      </c>
      <c r="L558" s="231">
        <f>'임금대장 양식'!L558</f>
        <v>0</v>
      </c>
      <c r="M558" s="232">
        <f t="shared" ref="M558:M621" si="3017">H558+I558+J559+K559+L559</f>
        <v>0</v>
      </c>
      <c r="N558" s="227">
        <f t="shared" ref="N558:N621" si="3018">IF(G558=0,0,G558*(H558+I558)-(R558+S558+T558+U558))</f>
        <v>0</v>
      </c>
      <c r="O558" s="233">
        <f t="shared" ref="O558:O621" si="3019">G558*J559</f>
        <v>0</v>
      </c>
      <c r="P558" s="233">
        <f t="shared" ref="P558:P621" si="3020">G558*K559</f>
        <v>0</v>
      </c>
      <c r="Q558" s="233">
        <f t="shared" ref="Q558:Q621" si="3021">G558*L559</f>
        <v>0</v>
      </c>
      <c r="R558" s="233">
        <f>'임금대장 양식'!R558</f>
        <v>0</v>
      </c>
      <c r="S558" s="233">
        <f>'임금대장 양식'!S558</f>
        <v>0</v>
      </c>
      <c r="T558" s="233">
        <f>'임금대장 양식'!T558</f>
        <v>0</v>
      </c>
      <c r="U558" s="233">
        <f>'임금대장 양식'!U558</f>
        <v>0</v>
      </c>
    </row>
    <row r="559" spans="2:21" ht="21.5" customHeight="1">
      <c r="B559" s="234"/>
      <c r="C559" s="234">
        <v>0</v>
      </c>
      <c r="D559" s="210">
        <f>'임금대장 양식'!D559</f>
        <v>0</v>
      </c>
      <c r="E559" s="235"/>
      <c r="F559" s="236"/>
      <c r="G559" s="237"/>
      <c r="H559" s="238"/>
      <c r="I559" s="238"/>
      <c r="J559" s="239">
        <f t="shared" ref="J559:J622" si="3022">ROUND(J558*(365/12/7)*IF($S$4="5인 이상",1.5,1),0)</f>
        <v>0</v>
      </c>
      <c r="K559" s="239">
        <f t="shared" ref="K559:K622" si="3023">ROUND(K558*IF($S$4="5인 이상",1.5,1),0)</f>
        <v>0</v>
      </c>
      <c r="L559" s="239">
        <f t="shared" ref="L559:L622" si="3024">ROUND(L558*IF($S$4="5인 이상",1.5,1)+L558*IF($S$4="5인 이상",0.5,1),0)</f>
        <v>0</v>
      </c>
      <c r="M559" s="240"/>
      <c r="N559" s="236"/>
      <c r="O559" s="241"/>
      <c r="P559" s="241"/>
      <c r="Q559" s="241"/>
      <c r="R559" s="241"/>
      <c r="S559" s="241"/>
      <c r="T559" s="241"/>
      <c r="U559" s="241"/>
    </row>
    <row r="560" spans="2:21" ht="21.5" customHeight="1">
      <c r="B560" s="225">
        <f>'임금대장 양식'!B560</f>
        <v>0</v>
      </c>
      <c r="C560" s="225" cm="1">
        <f t="array" ref="C560:C561">'임금대장 양식'!C560:C561</f>
        <v>0</v>
      </c>
      <c r="D560" s="225">
        <f>'임금대장 양식'!D560</f>
        <v>0</v>
      </c>
      <c r="E560" s="226">
        <f>'임금대장 양식'!E560</f>
        <v>0</v>
      </c>
      <c r="F560" s="227">
        <f>'임금대장 양식'!F560</f>
        <v>0</v>
      </c>
      <c r="G560" s="228">
        <f t="shared" ref="G560" si="3025">IFERROR((F560)/M560,0)</f>
        <v>0</v>
      </c>
      <c r="H560" s="229">
        <f t="shared" ref="H560:H623" si="3026">IF(F560=0,0,ROUND((8*5)*(365/12/7),0))</f>
        <v>0</v>
      </c>
      <c r="I560" s="229">
        <f t="shared" ref="I560:I623" si="3027">IF(F560=0,0,ROUND(8*365/12/7,0))</f>
        <v>0</v>
      </c>
      <c r="J560" s="230">
        <f>'임금대장 양식'!J560</f>
        <v>0</v>
      </c>
      <c r="K560" s="231">
        <f>'임금대장 양식'!K560</f>
        <v>0</v>
      </c>
      <c r="L560" s="231">
        <f>'임금대장 양식'!L560</f>
        <v>0</v>
      </c>
      <c r="M560" s="232">
        <f t="shared" ref="M560:M623" si="3028">H560+I560+J561+K561+L561</f>
        <v>0</v>
      </c>
      <c r="N560" s="227">
        <f t="shared" ref="N560:N623" si="3029">IF(G560=0,0,G560*(H560+I560)-(R560+S560+T560+U560))</f>
        <v>0</v>
      </c>
      <c r="O560" s="233">
        <f t="shared" ref="O560:O623" si="3030">G560*J561</f>
        <v>0</v>
      </c>
      <c r="P560" s="233">
        <f t="shared" ref="P560:P623" si="3031">G560*K561</f>
        <v>0</v>
      </c>
      <c r="Q560" s="233">
        <f t="shared" ref="Q560:Q623" si="3032">G560*L561</f>
        <v>0</v>
      </c>
      <c r="R560" s="233">
        <f>'임금대장 양식'!R560</f>
        <v>0</v>
      </c>
      <c r="S560" s="233">
        <f>'임금대장 양식'!S560</f>
        <v>0</v>
      </c>
      <c r="T560" s="233">
        <f>'임금대장 양식'!T560</f>
        <v>0</v>
      </c>
      <c r="U560" s="233">
        <f>'임금대장 양식'!U560</f>
        <v>0</v>
      </c>
    </row>
    <row r="561" spans="2:21" ht="21.5" customHeight="1">
      <c r="B561" s="234"/>
      <c r="C561" s="234">
        <v>0</v>
      </c>
      <c r="D561" s="210">
        <f>'임금대장 양식'!D561</f>
        <v>0</v>
      </c>
      <c r="E561" s="235"/>
      <c r="F561" s="236"/>
      <c r="G561" s="237"/>
      <c r="H561" s="238"/>
      <c r="I561" s="238"/>
      <c r="J561" s="239">
        <f t="shared" ref="J561:J624" si="3033">ROUND(J560*(365/12/7)*IF($S$4="5인 이상",1.5,1),0)</f>
        <v>0</v>
      </c>
      <c r="K561" s="239">
        <f t="shared" ref="K561:K624" si="3034">ROUND(K560*IF($S$4="5인 이상",1.5,1),0)</f>
        <v>0</v>
      </c>
      <c r="L561" s="239">
        <f t="shared" ref="L561:L624" si="3035">ROUND(L560*IF($S$4="5인 이상",1.5,1)+L560*IF($S$4="5인 이상",0.5,1),0)</f>
        <v>0</v>
      </c>
      <c r="M561" s="240"/>
      <c r="N561" s="236"/>
      <c r="O561" s="241"/>
      <c r="P561" s="241"/>
      <c r="Q561" s="241"/>
      <c r="R561" s="241"/>
      <c r="S561" s="241"/>
      <c r="T561" s="241"/>
      <c r="U561" s="241"/>
    </row>
    <row r="562" spans="2:21" ht="21.5" customHeight="1">
      <c r="B562" s="225">
        <f>'임금대장 양식'!B562</f>
        <v>0</v>
      </c>
      <c r="C562" s="225" cm="1">
        <f t="array" ref="C562:C563">'임금대장 양식'!C562:C563</f>
        <v>0</v>
      </c>
      <c r="D562" s="225">
        <f>'임금대장 양식'!D562</f>
        <v>0</v>
      </c>
      <c r="E562" s="226">
        <f>'임금대장 양식'!E562</f>
        <v>0</v>
      </c>
      <c r="F562" s="227">
        <f>'임금대장 양식'!F562</f>
        <v>0</v>
      </c>
      <c r="G562" s="228">
        <f t="shared" ref="G562" si="3036">IFERROR((F562)/M562,0)</f>
        <v>0</v>
      </c>
      <c r="H562" s="229">
        <f t="shared" ref="H562:H625" si="3037">IF(F562=0,0,ROUND((8*5)*(365/12/7),0))</f>
        <v>0</v>
      </c>
      <c r="I562" s="229">
        <f t="shared" ref="I562:I625" si="3038">IF(F562=0,0,ROUND(8*365/12/7,0))</f>
        <v>0</v>
      </c>
      <c r="J562" s="230">
        <f>'임금대장 양식'!J562</f>
        <v>0</v>
      </c>
      <c r="K562" s="231">
        <f>'임금대장 양식'!K562</f>
        <v>0</v>
      </c>
      <c r="L562" s="231">
        <f>'임금대장 양식'!L562</f>
        <v>0</v>
      </c>
      <c r="M562" s="232">
        <f t="shared" ref="M562:M625" si="3039">H562+I562+J563+K563+L563</f>
        <v>0</v>
      </c>
      <c r="N562" s="227">
        <f t="shared" ref="N562:N625" si="3040">IF(G562=0,0,G562*(H562+I562)-(R562+S562+T562+U562))</f>
        <v>0</v>
      </c>
      <c r="O562" s="233">
        <f t="shared" ref="O562:O625" si="3041">G562*J563</f>
        <v>0</v>
      </c>
      <c r="P562" s="233">
        <f t="shared" ref="P562:P625" si="3042">G562*K563</f>
        <v>0</v>
      </c>
      <c r="Q562" s="233">
        <f t="shared" ref="Q562:Q625" si="3043">G562*L563</f>
        <v>0</v>
      </c>
      <c r="R562" s="233">
        <f>'임금대장 양식'!R562</f>
        <v>0</v>
      </c>
      <c r="S562" s="233">
        <f>'임금대장 양식'!S562</f>
        <v>0</v>
      </c>
      <c r="T562" s="233">
        <f>'임금대장 양식'!T562</f>
        <v>0</v>
      </c>
      <c r="U562" s="233">
        <f>'임금대장 양식'!U562</f>
        <v>0</v>
      </c>
    </row>
    <row r="563" spans="2:21" ht="21.5" customHeight="1">
      <c r="B563" s="234"/>
      <c r="C563" s="234">
        <v>0</v>
      </c>
      <c r="D563" s="210">
        <f>'임금대장 양식'!D563</f>
        <v>0</v>
      </c>
      <c r="E563" s="235"/>
      <c r="F563" s="236"/>
      <c r="G563" s="237"/>
      <c r="H563" s="238"/>
      <c r="I563" s="238"/>
      <c r="J563" s="239">
        <f t="shared" ref="J563:J626" si="3044">ROUND(J562*(365/12/7)*IF($S$4="5인 이상",1.5,1),0)</f>
        <v>0</v>
      </c>
      <c r="K563" s="239">
        <f t="shared" ref="K563:K626" si="3045">ROUND(K562*IF($S$4="5인 이상",1.5,1),0)</f>
        <v>0</v>
      </c>
      <c r="L563" s="239">
        <f t="shared" ref="L563:L626" si="3046">ROUND(L562*IF($S$4="5인 이상",1.5,1)+L562*IF($S$4="5인 이상",0.5,1),0)</f>
        <v>0</v>
      </c>
      <c r="M563" s="240"/>
      <c r="N563" s="236"/>
      <c r="O563" s="241"/>
      <c r="P563" s="241"/>
      <c r="Q563" s="241"/>
      <c r="R563" s="241"/>
      <c r="S563" s="241"/>
      <c r="T563" s="241"/>
      <c r="U563" s="241"/>
    </row>
    <row r="564" spans="2:21" ht="21.5" customHeight="1">
      <c r="B564" s="225">
        <f>'임금대장 양식'!B564</f>
        <v>0</v>
      </c>
      <c r="C564" s="225" cm="1">
        <f t="array" ref="C564:C565">'임금대장 양식'!C564:C565</f>
        <v>0</v>
      </c>
      <c r="D564" s="225">
        <f>'임금대장 양식'!D564</f>
        <v>0</v>
      </c>
      <c r="E564" s="226">
        <f>'임금대장 양식'!E564</f>
        <v>0</v>
      </c>
      <c r="F564" s="227">
        <f>'임금대장 양식'!F564</f>
        <v>0</v>
      </c>
      <c r="G564" s="228">
        <f t="shared" ref="G564" si="3047">IFERROR((F564)/M564,0)</f>
        <v>0</v>
      </c>
      <c r="H564" s="229">
        <f t="shared" ref="H564:H627" si="3048">IF(F564=0,0,ROUND((8*5)*(365/12/7),0))</f>
        <v>0</v>
      </c>
      <c r="I564" s="229">
        <f t="shared" ref="I564:I627" si="3049">IF(F564=0,0,ROUND(8*365/12/7,0))</f>
        <v>0</v>
      </c>
      <c r="J564" s="230">
        <f>'임금대장 양식'!J564</f>
        <v>0</v>
      </c>
      <c r="K564" s="231">
        <f>'임금대장 양식'!K564</f>
        <v>0</v>
      </c>
      <c r="L564" s="231">
        <f>'임금대장 양식'!L564</f>
        <v>0</v>
      </c>
      <c r="M564" s="232">
        <f t="shared" ref="M564:M627" si="3050">H564+I564+J565+K565+L565</f>
        <v>0</v>
      </c>
      <c r="N564" s="227">
        <f t="shared" ref="N564:N627" si="3051">IF(G564=0,0,G564*(H564+I564)-(R564+S564+T564+U564))</f>
        <v>0</v>
      </c>
      <c r="O564" s="233">
        <f t="shared" ref="O564:O627" si="3052">G564*J565</f>
        <v>0</v>
      </c>
      <c r="P564" s="233">
        <f t="shared" ref="P564:P627" si="3053">G564*K565</f>
        <v>0</v>
      </c>
      <c r="Q564" s="233">
        <f t="shared" ref="Q564:Q627" si="3054">G564*L565</f>
        <v>0</v>
      </c>
      <c r="R564" s="233">
        <f>'임금대장 양식'!R564</f>
        <v>0</v>
      </c>
      <c r="S564" s="233">
        <f>'임금대장 양식'!S564</f>
        <v>0</v>
      </c>
      <c r="T564" s="233">
        <f>'임금대장 양식'!T564</f>
        <v>0</v>
      </c>
      <c r="U564" s="233">
        <f>'임금대장 양식'!U564</f>
        <v>0</v>
      </c>
    </row>
    <row r="565" spans="2:21" ht="21.5" customHeight="1">
      <c r="B565" s="234"/>
      <c r="C565" s="234">
        <v>0</v>
      </c>
      <c r="D565" s="210">
        <f>'임금대장 양식'!D565</f>
        <v>0</v>
      </c>
      <c r="E565" s="235"/>
      <c r="F565" s="236"/>
      <c r="G565" s="237"/>
      <c r="H565" s="238"/>
      <c r="I565" s="238"/>
      <c r="J565" s="239">
        <f t="shared" ref="J565:J628" si="3055">ROUND(J564*(365/12/7)*IF($S$4="5인 이상",1.5,1),0)</f>
        <v>0</v>
      </c>
      <c r="K565" s="239">
        <f t="shared" ref="K565:K628" si="3056">ROUND(K564*IF($S$4="5인 이상",1.5,1),0)</f>
        <v>0</v>
      </c>
      <c r="L565" s="239">
        <f t="shared" ref="L565:L628" si="3057">ROUND(L564*IF($S$4="5인 이상",1.5,1)+L564*IF($S$4="5인 이상",0.5,1),0)</f>
        <v>0</v>
      </c>
      <c r="M565" s="240"/>
      <c r="N565" s="236"/>
      <c r="O565" s="241"/>
      <c r="P565" s="241"/>
      <c r="Q565" s="241"/>
      <c r="R565" s="241"/>
      <c r="S565" s="241"/>
      <c r="T565" s="241"/>
      <c r="U565" s="241"/>
    </row>
    <row r="566" spans="2:21" ht="21.5" customHeight="1">
      <c r="B566" s="225">
        <f>'임금대장 양식'!B566</f>
        <v>0</v>
      </c>
      <c r="C566" s="225" cm="1">
        <f t="array" ref="C566:C567">'임금대장 양식'!C566:C567</f>
        <v>0</v>
      </c>
      <c r="D566" s="225">
        <f>'임금대장 양식'!D566</f>
        <v>0</v>
      </c>
      <c r="E566" s="226">
        <f>'임금대장 양식'!E566</f>
        <v>0</v>
      </c>
      <c r="F566" s="227">
        <f>'임금대장 양식'!F566</f>
        <v>0</v>
      </c>
      <c r="G566" s="228">
        <f t="shared" ref="G566" si="3058">IFERROR((F566)/M566,0)</f>
        <v>0</v>
      </c>
      <c r="H566" s="229">
        <f t="shared" ref="H566:H629" si="3059">IF(F566=0,0,ROUND((8*5)*(365/12/7),0))</f>
        <v>0</v>
      </c>
      <c r="I566" s="229">
        <f t="shared" ref="I566:I629" si="3060">IF(F566=0,0,ROUND(8*365/12/7,0))</f>
        <v>0</v>
      </c>
      <c r="J566" s="230">
        <f>'임금대장 양식'!J566</f>
        <v>0</v>
      </c>
      <c r="K566" s="231">
        <f>'임금대장 양식'!K566</f>
        <v>0</v>
      </c>
      <c r="L566" s="231">
        <f>'임금대장 양식'!L566</f>
        <v>0</v>
      </c>
      <c r="M566" s="232">
        <f t="shared" ref="M566:M629" si="3061">H566+I566+J567+K567+L567</f>
        <v>0</v>
      </c>
      <c r="N566" s="227">
        <f t="shared" ref="N566:N629" si="3062">IF(G566=0,0,G566*(H566+I566)-(R566+S566+T566+U566))</f>
        <v>0</v>
      </c>
      <c r="O566" s="233">
        <f t="shared" ref="O566:O629" si="3063">G566*J567</f>
        <v>0</v>
      </c>
      <c r="P566" s="233">
        <f t="shared" ref="P566:P629" si="3064">G566*K567</f>
        <v>0</v>
      </c>
      <c r="Q566" s="233">
        <f t="shared" ref="Q566:Q629" si="3065">G566*L567</f>
        <v>0</v>
      </c>
      <c r="R566" s="233">
        <f>'임금대장 양식'!R566</f>
        <v>0</v>
      </c>
      <c r="S566" s="233">
        <f>'임금대장 양식'!S566</f>
        <v>0</v>
      </c>
      <c r="T566" s="233">
        <f>'임금대장 양식'!T566</f>
        <v>0</v>
      </c>
      <c r="U566" s="233">
        <f>'임금대장 양식'!U566</f>
        <v>0</v>
      </c>
    </row>
    <row r="567" spans="2:21" ht="21.5" customHeight="1">
      <c r="B567" s="234"/>
      <c r="C567" s="234">
        <v>0</v>
      </c>
      <c r="D567" s="210">
        <f>'임금대장 양식'!D567</f>
        <v>0</v>
      </c>
      <c r="E567" s="235"/>
      <c r="F567" s="236"/>
      <c r="G567" s="237"/>
      <c r="H567" s="238"/>
      <c r="I567" s="238"/>
      <c r="J567" s="239">
        <f t="shared" ref="J567:J630" si="3066">ROUND(J566*(365/12/7)*IF($S$4="5인 이상",1.5,1),0)</f>
        <v>0</v>
      </c>
      <c r="K567" s="239">
        <f t="shared" ref="K567:K630" si="3067">ROUND(K566*IF($S$4="5인 이상",1.5,1),0)</f>
        <v>0</v>
      </c>
      <c r="L567" s="239">
        <f t="shared" ref="L567:L630" si="3068">ROUND(L566*IF($S$4="5인 이상",1.5,1)+L566*IF($S$4="5인 이상",0.5,1),0)</f>
        <v>0</v>
      </c>
      <c r="M567" s="240"/>
      <c r="N567" s="236"/>
      <c r="O567" s="241"/>
      <c r="P567" s="241"/>
      <c r="Q567" s="241"/>
      <c r="R567" s="241"/>
      <c r="S567" s="241"/>
      <c r="T567" s="241"/>
      <c r="U567" s="241"/>
    </row>
    <row r="568" spans="2:21" ht="21.5" customHeight="1">
      <c r="B568" s="225">
        <f>'임금대장 양식'!B568</f>
        <v>0</v>
      </c>
      <c r="C568" s="225" cm="1">
        <f t="array" ref="C568:C569">'임금대장 양식'!C568:C569</f>
        <v>0</v>
      </c>
      <c r="D568" s="225">
        <f>'임금대장 양식'!D568</f>
        <v>0</v>
      </c>
      <c r="E568" s="226">
        <f>'임금대장 양식'!E568</f>
        <v>0</v>
      </c>
      <c r="F568" s="227">
        <f>'임금대장 양식'!F568</f>
        <v>0</v>
      </c>
      <c r="G568" s="228">
        <f t="shared" ref="G568" si="3069">IFERROR((F568)/M568,0)</f>
        <v>0</v>
      </c>
      <c r="H568" s="229">
        <f t="shared" ref="H568:H631" si="3070">IF(F568=0,0,ROUND((8*5)*(365/12/7),0))</f>
        <v>0</v>
      </c>
      <c r="I568" s="229">
        <f t="shared" ref="I568:I631" si="3071">IF(F568=0,0,ROUND(8*365/12/7,0))</f>
        <v>0</v>
      </c>
      <c r="J568" s="230">
        <f>'임금대장 양식'!J568</f>
        <v>0</v>
      </c>
      <c r="K568" s="231">
        <f>'임금대장 양식'!K568</f>
        <v>0</v>
      </c>
      <c r="L568" s="231">
        <f>'임금대장 양식'!L568</f>
        <v>0</v>
      </c>
      <c r="M568" s="232">
        <f t="shared" ref="M568:M631" si="3072">H568+I568+J569+K569+L569</f>
        <v>0</v>
      </c>
      <c r="N568" s="227">
        <f t="shared" ref="N568:N631" si="3073">IF(G568=0,0,G568*(H568+I568)-(R568+S568+T568+U568))</f>
        <v>0</v>
      </c>
      <c r="O568" s="233">
        <f t="shared" ref="O568:O631" si="3074">G568*J569</f>
        <v>0</v>
      </c>
      <c r="P568" s="233">
        <f t="shared" ref="P568:P631" si="3075">G568*K569</f>
        <v>0</v>
      </c>
      <c r="Q568" s="233">
        <f t="shared" ref="Q568:Q631" si="3076">G568*L569</f>
        <v>0</v>
      </c>
      <c r="R568" s="233">
        <f>'임금대장 양식'!R568</f>
        <v>0</v>
      </c>
      <c r="S568" s="233">
        <f>'임금대장 양식'!S568</f>
        <v>0</v>
      </c>
      <c r="T568" s="233">
        <f>'임금대장 양식'!T568</f>
        <v>0</v>
      </c>
      <c r="U568" s="233">
        <f>'임금대장 양식'!U568</f>
        <v>0</v>
      </c>
    </row>
    <row r="569" spans="2:21" ht="21.5" customHeight="1">
      <c r="B569" s="234"/>
      <c r="C569" s="234">
        <v>0</v>
      </c>
      <c r="D569" s="210">
        <f>'임금대장 양식'!D569</f>
        <v>0</v>
      </c>
      <c r="E569" s="235"/>
      <c r="F569" s="236"/>
      <c r="G569" s="237"/>
      <c r="H569" s="238"/>
      <c r="I569" s="238"/>
      <c r="J569" s="239">
        <f t="shared" ref="J569:J632" si="3077">ROUND(J568*(365/12/7)*IF($S$4="5인 이상",1.5,1),0)</f>
        <v>0</v>
      </c>
      <c r="K569" s="239">
        <f t="shared" ref="K569:K632" si="3078">ROUND(K568*IF($S$4="5인 이상",1.5,1),0)</f>
        <v>0</v>
      </c>
      <c r="L569" s="239">
        <f t="shared" ref="L569:L632" si="3079">ROUND(L568*IF($S$4="5인 이상",1.5,1)+L568*IF($S$4="5인 이상",0.5,1),0)</f>
        <v>0</v>
      </c>
      <c r="M569" s="240"/>
      <c r="N569" s="236"/>
      <c r="O569" s="241"/>
      <c r="P569" s="241"/>
      <c r="Q569" s="241"/>
      <c r="R569" s="241"/>
      <c r="S569" s="241"/>
      <c r="T569" s="241"/>
      <c r="U569" s="241"/>
    </row>
    <row r="570" spans="2:21" ht="21.5" customHeight="1">
      <c r="B570" s="225">
        <f>'임금대장 양식'!B570</f>
        <v>0</v>
      </c>
      <c r="C570" s="225" cm="1">
        <f t="array" ref="C570:C571">'임금대장 양식'!C570:C571</f>
        <v>0</v>
      </c>
      <c r="D570" s="225">
        <f>'임금대장 양식'!D570</f>
        <v>0</v>
      </c>
      <c r="E570" s="226">
        <f>'임금대장 양식'!E570</f>
        <v>0</v>
      </c>
      <c r="F570" s="227">
        <f>'임금대장 양식'!F570</f>
        <v>0</v>
      </c>
      <c r="G570" s="228">
        <f t="shared" ref="G570" si="3080">IFERROR((F570)/M570,0)</f>
        <v>0</v>
      </c>
      <c r="H570" s="229">
        <f t="shared" ref="H570:H633" si="3081">IF(F570=0,0,ROUND((8*5)*(365/12/7),0))</f>
        <v>0</v>
      </c>
      <c r="I570" s="229">
        <f t="shared" ref="I570:I633" si="3082">IF(F570=0,0,ROUND(8*365/12/7,0))</f>
        <v>0</v>
      </c>
      <c r="J570" s="230">
        <f>'임금대장 양식'!J570</f>
        <v>0</v>
      </c>
      <c r="K570" s="231">
        <f>'임금대장 양식'!K570</f>
        <v>0</v>
      </c>
      <c r="L570" s="231">
        <f>'임금대장 양식'!L570</f>
        <v>0</v>
      </c>
      <c r="M570" s="232">
        <f t="shared" ref="M570:M633" si="3083">H570+I570+J571+K571+L571</f>
        <v>0</v>
      </c>
      <c r="N570" s="227">
        <f t="shared" ref="N570:N633" si="3084">IF(G570=0,0,G570*(H570+I570)-(R570+S570+T570+U570))</f>
        <v>0</v>
      </c>
      <c r="O570" s="233">
        <f t="shared" ref="O570:O633" si="3085">G570*J571</f>
        <v>0</v>
      </c>
      <c r="P570" s="233">
        <f t="shared" ref="P570:P633" si="3086">G570*K571</f>
        <v>0</v>
      </c>
      <c r="Q570" s="233">
        <f t="shared" ref="Q570:Q633" si="3087">G570*L571</f>
        <v>0</v>
      </c>
      <c r="R570" s="233">
        <f>'임금대장 양식'!R570</f>
        <v>0</v>
      </c>
      <c r="S570" s="233">
        <f>'임금대장 양식'!S570</f>
        <v>0</v>
      </c>
      <c r="T570" s="233">
        <f>'임금대장 양식'!T570</f>
        <v>0</v>
      </c>
      <c r="U570" s="233">
        <f>'임금대장 양식'!U570</f>
        <v>0</v>
      </c>
    </row>
    <row r="571" spans="2:21" ht="21.5" customHeight="1">
      <c r="B571" s="234"/>
      <c r="C571" s="234">
        <v>0</v>
      </c>
      <c r="D571" s="210">
        <f>'임금대장 양식'!D571</f>
        <v>0</v>
      </c>
      <c r="E571" s="235"/>
      <c r="F571" s="236"/>
      <c r="G571" s="237"/>
      <c r="H571" s="238"/>
      <c r="I571" s="238"/>
      <c r="J571" s="239">
        <f t="shared" ref="J571:J634" si="3088">ROUND(J570*(365/12/7)*IF($S$4="5인 이상",1.5,1),0)</f>
        <v>0</v>
      </c>
      <c r="K571" s="239">
        <f t="shared" ref="K571:K634" si="3089">ROUND(K570*IF($S$4="5인 이상",1.5,1),0)</f>
        <v>0</v>
      </c>
      <c r="L571" s="239">
        <f t="shared" ref="L571:L634" si="3090">ROUND(L570*IF($S$4="5인 이상",1.5,1)+L570*IF($S$4="5인 이상",0.5,1),0)</f>
        <v>0</v>
      </c>
      <c r="M571" s="240"/>
      <c r="N571" s="236"/>
      <c r="O571" s="241"/>
      <c r="P571" s="241"/>
      <c r="Q571" s="241"/>
      <c r="R571" s="241"/>
      <c r="S571" s="241"/>
      <c r="T571" s="241"/>
      <c r="U571" s="241"/>
    </row>
    <row r="572" spans="2:21" ht="21.5" customHeight="1">
      <c r="B572" s="225">
        <f>'임금대장 양식'!B572</f>
        <v>0</v>
      </c>
      <c r="C572" s="225" cm="1">
        <f t="array" ref="C572:C573">'임금대장 양식'!C572:C573</f>
        <v>0</v>
      </c>
      <c r="D572" s="225">
        <f>'임금대장 양식'!D572</f>
        <v>0</v>
      </c>
      <c r="E572" s="226">
        <f>'임금대장 양식'!E572</f>
        <v>0</v>
      </c>
      <c r="F572" s="227">
        <f>'임금대장 양식'!F572</f>
        <v>0</v>
      </c>
      <c r="G572" s="228">
        <f t="shared" ref="G572" si="3091">IFERROR((F572)/M572,0)</f>
        <v>0</v>
      </c>
      <c r="H572" s="229">
        <f t="shared" ref="H572:H635" si="3092">IF(F572=0,0,ROUND((8*5)*(365/12/7),0))</f>
        <v>0</v>
      </c>
      <c r="I572" s="229">
        <f t="shared" ref="I572:I635" si="3093">IF(F572=0,0,ROUND(8*365/12/7,0))</f>
        <v>0</v>
      </c>
      <c r="J572" s="230">
        <f>'임금대장 양식'!J572</f>
        <v>0</v>
      </c>
      <c r="K572" s="231">
        <f>'임금대장 양식'!K572</f>
        <v>0</v>
      </c>
      <c r="L572" s="231">
        <f>'임금대장 양식'!L572</f>
        <v>0</v>
      </c>
      <c r="M572" s="232">
        <f t="shared" ref="M572:M635" si="3094">H572+I572+J573+K573+L573</f>
        <v>0</v>
      </c>
      <c r="N572" s="227">
        <f t="shared" ref="N572:N635" si="3095">IF(G572=0,0,G572*(H572+I572)-(R572+S572+T572+U572))</f>
        <v>0</v>
      </c>
      <c r="O572" s="233">
        <f t="shared" ref="O572:O635" si="3096">G572*J573</f>
        <v>0</v>
      </c>
      <c r="P572" s="233">
        <f t="shared" ref="P572:P635" si="3097">G572*K573</f>
        <v>0</v>
      </c>
      <c r="Q572" s="233">
        <f t="shared" ref="Q572:Q635" si="3098">G572*L573</f>
        <v>0</v>
      </c>
      <c r="R572" s="233">
        <f>'임금대장 양식'!R572</f>
        <v>0</v>
      </c>
      <c r="S572" s="233">
        <f>'임금대장 양식'!S572</f>
        <v>0</v>
      </c>
      <c r="T572" s="233">
        <f>'임금대장 양식'!T572</f>
        <v>0</v>
      </c>
      <c r="U572" s="233">
        <f>'임금대장 양식'!U572</f>
        <v>0</v>
      </c>
    </row>
    <row r="573" spans="2:21" ht="21.5" customHeight="1">
      <c r="B573" s="234"/>
      <c r="C573" s="234">
        <v>0</v>
      </c>
      <c r="D573" s="210">
        <f>'임금대장 양식'!D573</f>
        <v>0</v>
      </c>
      <c r="E573" s="235"/>
      <c r="F573" s="236"/>
      <c r="G573" s="237"/>
      <c r="H573" s="238"/>
      <c r="I573" s="238"/>
      <c r="J573" s="239">
        <f t="shared" ref="J573:J636" si="3099">ROUND(J572*(365/12/7)*IF($S$4="5인 이상",1.5,1),0)</f>
        <v>0</v>
      </c>
      <c r="K573" s="239">
        <f t="shared" ref="K573:K636" si="3100">ROUND(K572*IF($S$4="5인 이상",1.5,1),0)</f>
        <v>0</v>
      </c>
      <c r="L573" s="239">
        <f t="shared" ref="L573:L636" si="3101">ROUND(L572*IF($S$4="5인 이상",1.5,1)+L572*IF($S$4="5인 이상",0.5,1),0)</f>
        <v>0</v>
      </c>
      <c r="M573" s="240"/>
      <c r="N573" s="236"/>
      <c r="O573" s="241"/>
      <c r="P573" s="241"/>
      <c r="Q573" s="241"/>
      <c r="R573" s="241"/>
      <c r="S573" s="241"/>
      <c r="T573" s="241"/>
      <c r="U573" s="241"/>
    </row>
    <row r="574" spans="2:21" ht="21.5" customHeight="1">
      <c r="B574" s="225">
        <f>'임금대장 양식'!B574</f>
        <v>0</v>
      </c>
      <c r="C574" s="225" cm="1">
        <f t="array" ref="C574:C575">'임금대장 양식'!C574:C575</f>
        <v>0</v>
      </c>
      <c r="D574" s="225">
        <f>'임금대장 양식'!D574</f>
        <v>0</v>
      </c>
      <c r="E574" s="226">
        <f>'임금대장 양식'!E574</f>
        <v>0</v>
      </c>
      <c r="F574" s="227">
        <f>'임금대장 양식'!F574</f>
        <v>0</v>
      </c>
      <c r="G574" s="228">
        <f t="shared" ref="G574" si="3102">IFERROR((F574)/M574,0)</f>
        <v>0</v>
      </c>
      <c r="H574" s="229">
        <f t="shared" ref="H574:H637" si="3103">IF(F574=0,0,ROUND((8*5)*(365/12/7),0))</f>
        <v>0</v>
      </c>
      <c r="I574" s="229">
        <f t="shared" ref="I574:I637" si="3104">IF(F574=0,0,ROUND(8*365/12/7,0))</f>
        <v>0</v>
      </c>
      <c r="J574" s="230">
        <f>'임금대장 양식'!J574</f>
        <v>0</v>
      </c>
      <c r="K574" s="231">
        <f>'임금대장 양식'!K574</f>
        <v>0</v>
      </c>
      <c r="L574" s="231">
        <f>'임금대장 양식'!L574</f>
        <v>0</v>
      </c>
      <c r="M574" s="232">
        <f t="shared" ref="M574:M637" si="3105">H574+I574+J575+K575+L575</f>
        <v>0</v>
      </c>
      <c r="N574" s="227">
        <f t="shared" ref="N574:N637" si="3106">IF(G574=0,0,G574*(H574+I574)-(R574+S574+T574+U574))</f>
        <v>0</v>
      </c>
      <c r="O574" s="233">
        <f t="shared" ref="O574:O637" si="3107">G574*J575</f>
        <v>0</v>
      </c>
      <c r="P574" s="233">
        <f t="shared" ref="P574:P637" si="3108">G574*K575</f>
        <v>0</v>
      </c>
      <c r="Q574" s="233">
        <f t="shared" ref="Q574:Q637" si="3109">G574*L575</f>
        <v>0</v>
      </c>
      <c r="R574" s="233">
        <f>'임금대장 양식'!R574</f>
        <v>0</v>
      </c>
      <c r="S574" s="233">
        <f>'임금대장 양식'!S574</f>
        <v>0</v>
      </c>
      <c r="T574" s="233">
        <f>'임금대장 양식'!T574</f>
        <v>0</v>
      </c>
      <c r="U574" s="233">
        <f>'임금대장 양식'!U574</f>
        <v>0</v>
      </c>
    </row>
    <row r="575" spans="2:21" ht="21.5" customHeight="1">
      <c r="B575" s="234"/>
      <c r="C575" s="234">
        <v>0</v>
      </c>
      <c r="D575" s="210">
        <f>'임금대장 양식'!D575</f>
        <v>0</v>
      </c>
      <c r="E575" s="235"/>
      <c r="F575" s="236"/>
      <c r="G575" s="237"/>
      <c r="H575" s="238"/>
      <c r="I575" s="238"/>
      <c r="J575" s="239">
        <f t="shared" ref="J575:J638" si="3110">ROUND(J574*(365/12/7)*IF($S$4="5인 이상",1.5,1),0)</f>
        <v>0</v>
      </c>
      <c r="K575" s="239">
        <f t="shared" ref="K575:K638" si="3111">ROUND(K574*IF($S$4="5인 이상",1.5,1),0)</f>
        <v>0</v>
      </c>
      <c r="L575" s="239">
        <f t="shared" ref="L575:L638" si="3112">ROUND(L574*IF($S$4="5인 이상",1.5,1)+L574*IF($S$4="5인 이상",0.5,1),0)</f>
        <v>0</v>
      </c>
      <c r="M575" s="240"/>
      <c r="N575" s="236"/>
      <c r="O575" s="241"/>
      <c r="P575" s="241"/>
      <c r="Q575" s="241"/>
      <c r="R575" s="241"/>
      <c r="S575" s="241"/>
      <c r="T575" s="241"/>
      <c r="U575" s="241"/>
    </row>
    <row r="576" spans="2:21" ht="21.5" customHeight="1">
      <c r="B576" s="225">
        <f>'임금대장 양식'!B576</f>
        <v>0</v>
      </c>
      <c r="C576" s="225" cm="1">
        <f t="array" ref="C576:C577">'임금대장 양식'!C576:C577</f>
        <v>0</v>
      </c>
      <c r="D576" s="225">
        <f>'임금대장 양식'!D576</f>
        <v>0</v>
      </c>
      <c r="E576" s="226">
        <f>'임금대장 양식'!E576</f>
        <v>0</v>
      </c>
      <c r="F576" s="227">
        <f>'임금대장 양식'!F576</f>
        <v>0</v>
      </c>
      <c r="G576" s="228">
        <f t="shared" ref="G576" si="3113">IFERROR((F576)/M576,0)</f>
        <v>0</v>
      </c>
      <c r="H576" s="229">
        <f t="shared" ref="H576:H639" si="3114">IF(F576=0,0,ROUND((8*5)*(365/12/7),0))</f>
        <v>0</v>
      </c>
      <c r="I576" s="229">
        <f t="shared" ref="I576:I639" si="3115">IF(F576=0,0,ROUND(8*365/12/7,0))</f>
        <v>0</v>
      </c>
      <c r="J576" s="230">
        <f>'임금대장 양식'!J576</f>
        <v>0</v>
      </c>
      <c r="K576" s="231">
        <f>'임금대장 양식'!K576</f>
        <v>0</v>
      </c>
      <c r="L576" s="231">
        <f>'임금대장 양식'!L576</f>
        <v>0</v>
      </c>
      <c r="M576" s="232">
        <f t="shared" ref="M576:M639" si="3116">H576+I576+J577+K577+L577</f>
        <v>0</v>
      </c>
      <c r="N576" s="227">
        <f t="shared" ref="N576:N639" si="3117">IF(G576=0,0,G576*(H576+I576)-(R576+S576+T576+U576))</f>
        <v>0</v>
      </c>
      <c r="O576" s="233">
        <f t="shared" ref="O576:O639" si="3118">G576*J577</f>
        <v>0</v>
      </c>
      <c r="P576" s="233">
        <f t="shared" ref="P576:P639" si="3119">G576*K577</f>
        <v>0</v>
      </c>
      <c r="Q576" s="233">
        <f t="shared" ref="Q576:Q639" si="3120">G576*L577</f>
        <v>0</v>
      </c>
      <c r="R576" s="233">
        <f>'임금대장 양식'!R576</f>
        <v>0</v>
      </c>
      <c r="S576" s="233">
        <f>'임금대장 양식'!S576</f>
        <v>0</v>
      </c>
      <c r="T576" s="233">
        <f>'임금대장 양식'!T576</f>
        <v>0</v>
      </c>
      <c r="U576" s="233">
        <f>'임금대장 양식'!U576</f>
        <v>0</v>
      </c>
    </row>
    <row r="577" spans="2:21" ht="21.5" customHeight="1">
      <c r="B577" s="234"/>
      <c r="C577" s="234">
        <v>0</v>
      </c>
      <c r="D577" s="210">
        <f>'임금대장 양식'!D577</f>
        <v>0</v>
      </c>
      <c r="E577" s="235"/>
      <c r="F577" s="236"/>
      <c r="G577" s="237"/>
      <c r="H577" s="238"/>
      <c r="I577" s="238"/>
      <c r="J577" s="239">
        <f t="shared" ref="J577:J640" si="3121">ROUND(J576*(365/12/7)*IF($S$4="5인 이상",1.5,1),0)</f>
        <v>0</v>
      </c>
      <c r="K577" s="239">
        <f t="shared" ref="K577:K640" si="3122">ROUND(K576*IF($S$4="5인 이상",1.5,1),0)</f>
        <v>0</v>
      </c>
      <c r="L577" s="239">
        <f t="shared" ref="L577:L640" si="3123">ROUND(L576*IF($S$4="5인 이상",1.5,1)+L576*IF($S$4="5인 이상",0.5,1),0)</f>
        <v>0</v>
      </c>
      <c r="M577" s="240"/>
      <c r="N577" s="236"/>
      <c r="O577" s="241"/>
      <c r="P577" s="241"/>
      <c r="Q577" s="241"/>
      <c r="R577" s="241"/>
      <c r="S577" s="241"/>
      <c r="T577" s="241"/>
      <c r="U577" s="241"/>
    </row>
    <row r="578" spans="2:21" ht="21.5" customHeight="1">
      <c r="B578" s="225">
        <f>'임금대장 양식'!B578</f>
        <v>0</v>
      </c>
      <c r="C578" s="225" cm="1">
        <f t="array" ref="C578:C579">'임금대장 양식'!C578:C579</f>
        <v>0</v>
      </c>
      <c r="D578" s="225">
        <f>'임금대장 양식'!D578</f>
        <v>0</v>
      </c>
      <c r="E578" s="226">
        <f>'임금대장 양식'!E578</f>
        <v>0</v>
      </c>
      <c r="F578" s="227">
        <f>'임금대장 양식'!F578</f>
        <v>0</v>
      </c>
      <c r="G578" s="228">
        <f t="shared" ref="G578" si="3124">IFERROR((F578)/M578,0)</f>
        <v>0</v>
      </c>
      <c r="H578" s="229">
        <f t="shared" ref="H578:H641" si="3125">IF(F578=0,0,ROUND((8*5)*(365/12/7),0))</f>
        <v>0</v>
      </c>
      <c r="I578" s="229">
        <f t="shared" ref="I578:I641" si="3126">IF(F578=0,0,ROUND(8*365/12/7,0))</f>
        <v>0</v>
      </c>
      <c r="J578" s="230">
        <f>'임금대장 양식'!J578</f>
        <v>0</v>
      </c>
      <c r="K578" s="231">
        <f>'임금대장 양식'!K578</f>
        <v>0</v>
      </c>
      <c r="L578" s="231">
        <f>'임금대장 양식'!L578</f>
        <v>0</v>
      </c>
      <c r="M578" s="232">
        <f t="shared" ref="M578:M641" si="3127">H578+I578+J579+K579+L579</f>
        <v>0</v>
      </c>
      <c r="N578" s="227">
        <f t="shared" ref="N578:N641" si="3128">IF(G578=0,0,G578*(H578+I578)-(R578+S578+T578+U578))</f>
        <v>0</v>
      </c>
      <c r="O578" s="233">
        <f t="shared" ref="O578:O641" si="3129">G578*J579</f>
        <v>0</v>
      </c>
      <c r="P578" s="233">
        <f t="shared" ref="P578:P641" si="3130">G578*K579</f>
        <v>0</v>
      </c>
      <c r="Q578" s="233">
        <f t="shared" ref="Q578:Q641" si="3131">G578*L579</f>
        <v>0</v>
      </c>
      <c r="R578" s="233">
        <f>'임금대장 양식'!R578</f>
        <v>0</v>
      </c>
      <c r="S578" s="233">
        <f>'임금대장 양식'!S578</f>
        <v>0</v>
      </c>
      <c r="T578" s="233">
        <f>'임금대장 양식'!T578</f>
        <v>0</v>
      </c>
      <c r="U578" s="233">
        <f>'임금대장 양식'!U578</f>
        <v>0</v>
      </c>
    </row>
    <row r="579" spans="2:21" ht="21.5" customHeight="1">
      <c r="B579" s="234"/>
      <c r="C579" s="234">
        <v>0</v>
      </c>
      <c r="D579" s="210">
        <f>'임금대장 양식'!D579</f>
        <v>0</v>
      </c>
      <c r="E579" s="235"/>
      <c r="F579" s="236"/>
      <c r="G579" s="237"/>
      <c r="H579" s="238"/>
      <c r="I579" s="238"/>
      <c r="J579" s="239">
        <f t="shared" ref="J579:J642" si="3132">ROUND(J578*(365/12/7)*IF($S$4="5인 이상",1.5,1),0)</f>
        <v>0</v>
      </c>
      <c r="K579" s="239">
        <f t="shared" ref="K579:K642" si="3133">ROUND(K578*IF($S$4="5인 이상",1.5,1),0)</f>
        <v>0</v>
      </c>
      <c r="L579" s="239">
        <f t="shared" ref="L579:L642" si="3134">ROUND(L578*IF($S$4="5인 이상",1.5,1)+L578*IF($S$4="5인 이상",0.5,1),0)</f>
        <v>0</v>
      </c>
      <c r="M579" s="240"/>
      <c r="N579" s="236"/>
      <c r="O579" s="241"/>
      <c r="P579" s="241"/>
      <c r="Q579" s="241"/>
      <c r="R579" s="241"/>
      <c r="S579" s="241"/>
      <c r="T579" s="241"/>
      <c r="U579" s="241"/>
    </row>
    <row r="580" spans="2:21" ht="21.5" customHeight="1">
      <c r="B580" s="225">
        <f>'임금대장 양식'!B580</f>
        <v>0</v>
      </c>
      <c r="C580" s="225" cm="1">
        <f t="array" ref="C580:C581">'임금대장 양식'!C580:C581</f>
        <v>0</v>
      </c>
      <c r="D580" s="225">
        <f>'임금대장 양식'!D580</f>
        <v>0</v>
      </c>
      <c r="E580" s="226">
        <f>'임금대장 양식'!E580</f>
        <v>0</v>
      </c>
      <c r="F580" s="227">
        <f>'임금대장 양식'!F580</f>
        <v>0</v>
      </c>
      <c r="G580" s="228">
        <f t="shared" ref="G580" si="3135">IFERROR((F580)/M580,0)</f>
        <v>0</v>
      </c>
      <c r="H580" s="229">
        <f t="shared" ref="H580:H643" si="3136">IF(F580=0,0,ROUND((8*5)*(365/12/7),0))</f>
        <v>0</v>
      </c>
      <c r="I580" s="229">
        <f t="shared" ref="I580:I643" si="3137">IF(F580=0,0,ROUND(8*365/12/7,0))</f>
        <v>0</v>
      </c>
      <c r="J580" s="230">
        <f>'임금대장 양식'!J580</f>
        <v>0</v>
      </c>
      <c r="K580" s="231">
        <f>'임금대장 양식'!K580</f>
        <v>0</v>
      </c>
      <c r="L580" s="231">
        <f>'임금대장 양식'!L580</f>
        <v>0</v>
      </c>
      <c r="M580" s="232">
        <f t="shared" ref="M580:M643" si="3138">H580+I580+J581+K581+L581</f>
        <v>0</v>
      </c>
      <c r="N580" s="227">
        <f t="shared" ref="N580:N643" si="3139">IF(G580=0,0,G580*(H580+I580)-(R580+S580+T580+U580))</f>
        <v>0</v>
      </c>
      <c r="O580" s="233">
        <f t="shared" ref="O580:O643" si="3140">G580*J581</f>
        <v>0</v>
      </c>
      <c r="P580" s="233">
        <f t="shared" ref="P580:P643" si="3141">G580*K581</f>
        <v>0</v>
      </c>
      <c r="Q580" s="233">
        <f t="shared" ref="Q580:Q643" si="3142">G580*L581</f>
        <v>0</v>
      </c>
      <c r="R580" s="233">
        <f>'임금대장 양식'!R580</f>
        <v>0</v>
      </c>
      <c r="S580" s="233">
        <f>'임금대장 양식'!S580</f>
        <v>0</v>
      </c>
      <c r="T580" s="233">
        <f>'임금대장 양식'!T580</f>
        <v>0</v>
      </c>
      <c r="U580" s="233">
        <f>'임금대장 양식'!U580</f>
        <v>0</v>
      </c>
    </row>
    <row r="581" spans="2:21" ht="21.5" customHeight="1">
      <c r="B581" s="234"/>
      <c r="C581" s="234">
        <v>0</v>
      </c>
      <c r="D581" s="210">
        <f>'임금대장 양식'!D581</f>
        <v>0</v>
      </c>
      <c r="E581" s="235"/>
      <c r="F581" s="236"/>
      <c r="G581" s="237"/>
      <c r="H581" s="238"/>
      <c r="I581" s="238"/>
      <c r="J581" s="239">
        <f t="shared" ref="J581:J644" si="3143">ROUND(J580*(365/12/7)*IF($S$4="5인 이상",1.5,1),0)</f>
        <v>0</v>
      </c>
      <c r="K581" s="239">
        <f t="shared" ref="K581:K644" si="3144">ROUND(K580*IF($S$4="5인 이상",1.5,1),0)</f>
        <v>0</v>
      </c>
      <c r="L581" s="239">
        <f t="shared" ref="L581:L644" si="3145">ROUND(L580*IF($S$4="5인 이상",1.5,1)+L580*IF($S$4="5인 이상",0.5,1),0)</f>
        <v>0</v>
      </c>
      <c r="M581" s="240"/>
      <c r="N581" s="236"/>
      <c r="O581" s="241"/>
      <c r="P581" s="241"/>
      <c r="Q581" s="241"/>
      <c r="R581" s="241"/>
      <c r="S581" s="241"/>
      <c r="T581" s="241"/>
      <c r="U581" s="241"/>
    </row>
    <row r="582" spans="2:21" ht="21.5" customHeight="1">
      <c r="B582" s="225">
        <f>'임금대장 양식'!B582</f>
        <v>0</v>
      </c>
      <c r="C582" s="225" cm="1">
        <f t="array" ref="C582:C583">'임금대장 양식'!C582:C583</f>
        <v>0</v>
      </c>
      <c r="D582" s="225">
        <f>'임금대장 양식'!D582</f>
        <v>0</v>
      </c>
      <c r="E582" s="226">
        <f>'임금대장 양식'!E582</f>
        <v>0</v>
      </c>
      <c r="F582" s="227">
        <f>'임금대장 양식'!F582</f>
        <v>0</v>
      </c>
      <c r="G582" s="228">
        <f t="shared" ref="G582" si="3146">IFERROR((F582)/M582,0)</f>
        <v>0</v>
      </c>
      <c r="H582" s="229">
        <f t="shared" ref="H582:H645" si="3147">IF(F582=0,0,ROUND((8*5)*(365/12/7),0))</f>
        <v>0</v>
      </c>
      <c r="I582" s="229">
        <f t="shared" ref="I582:I645" si="3148">IF(F582=0,0,ROUND(8*365/12/7,0))</f>
        <v>0</v>
      </c>
      <c r="J582" s="230">
        <f>'임금대장 양식'!J582</f>
        <v>0</v>
      </c>
      <c r="K582" s="231">
        <f>'임금대장 양식'!K582</f>
        <v>0</v>
      </c>
      <c r="L582" s="231">
        <f>'임금대장 양식'!L582</f>
        <v>0</v>
      </c>
      <c r="M582" s="232">
        <f t="shared" ref="M582:M645" si="3149">H582+I582+J583+K583+L583</f>
        <v>0</v>
      </c>
      <c r="N582" s="227">
        <f t="shared" ref="N582:N645" si="3150">IF(G582=0,0,G582*(H582+I582)-(R582+S582+T582+U582))</f>
        <v>0</v>
      </c>
      <c r="O582" s="233">
        <f t="shared" ref="O582:O645" si="3151">G582*J583</f>
        <v>0</v>
      </c>
      <c r="P582" s="233">
        <f t="shared" ref="P582:P645" si="3152">G582*K583</f>
        <v>0</v>
      </c>
      <c r="Q582" s="233">
        <f t="shared" ref="Q582:Q645" si="3153">G582*L583</f>
        <v>0</v>
      </c>
      <c r="R582" s="233">
        <f>'임금대장 양식'!R582</f>
        <v>0</v>
      </c>
      <c r="S582" s="233">
        <f>'임금대장 양식'!S582</f>
        <v>0</v>
      </c>
      <c r="T582" s="233">
        <f>'임금대장 양식'!T582</f>
        <v>0</v>
      </c>
      <c r="U582" s="233">
        <f>'임금대장 양식'!U582</f>
        <v>0</v>
      </c>
    </row>
    <row r="583" spans="2:21" ht="21.5" customHeight="1">
      <c r="B583" s="234"/>
      <c r="C583" s="234">
        <v>0</v>
      </c>
      <c r="D583" s="210">
        <f>'임금대장 양식'!D583</f>
        <v>0</v>
      </c>
      <c r="E583" s="235"/>
      <c r="F583" s="236"/>
      <c r="G583" s="237"/>
      <c r="H583" s="238"/>
      <c r="I583" s="238"/>
      <c r="J583" s="239">
        <f t="shared" ref="J583:J646" si="3154">ROUND(J582*(365/12/7)*IF($S$4="5인 이상",1.5,1),0)</f>
        <v>0</v>
      </c>
      <c r="K583" s="239">
        <f t="shared" ref="K583:K646" si="3155">ROUND(K582*IF($S$4="5인 이상",1.5,1),0)</f>
        <v>0</v>
      </c>
      <c r="L583" s="239">
        <f t="shared" ref="L583:L646" si="3156">ROUND(L582*IF($S$4="5인 이상",1.5,1)+L582*IF($S$4="5인 이상",0.5,1),0)</f>
        <v>0</v>
      </c>
      <c r="M583" s="240"/>
      <c r="N583" s="236"/>
      <c r="O583" s="241"/>
      <c r="P583" s="241"/>
      <c r="Q583" s="241"/>
      <c r="R583" s="241"/>
      <c r="S583" s="241"/>
      <c r="T583" s="241"/>
      <c r="U583" s="241"/>
    </row>
    <row r="584" spans="2:21" ht="21.5" customHeight="1">
      <c r="B584" s="225">
        <f>'임금대장 양식'!B584</f>
        <v>0</v>
      </c>
      <c r="C584" s="225" cm="1">
        <f t="array" ref="C584:C585">'임금대장 양식'!C584:C585</f>
        <v>0</v>
      </c>
      <c r="D584" s="225">
        <f>'임금대장 양식'!D584</f>
        <v>0</v>
      </c>
      <c r="E584" s="226">
        <f>'임금대장 양식'!E584</f>
        <v>0</v>
      </c>
      <c r="F584" s="227">
        <f>'임금대장 양식'!F584</f>
        <v>0</v>
      </c>
      <c r="G584" s="228">
        <f t="shared" ref="G584" si="3157">IFERROR((F584)/M584,0)</f>
        <v>0</v>
      </c>
      <c r="H584" s="229">
        <f t="shared" ref="H584:H647" si="3158">IF(F584=0,0,ROUND((8*5)*(365/12/7),0))</f>
        <v>0</v>
      </c>
      <c r="I584" s="229">
        <f t="shared" ref="I584:I647" si="3159">IF(F584=0,0,ROUND(8*365/12/7,0))</f>
        <v>0</v>
      </c>
      <c r="J584" s="230">
        <f>'임금대장 양식'!J584</f>
        <v>0</v>
      </c>
      <c r="K584" s="231">
        <f>'임금대장 양식'!K584</f>
        <v>0</v>
      </c>
      <c r="L584" s="231">
        <f>'임금대장 양식'!L584</f>
        <v>0</v>
      </c>
      <c r="M584" s="232">
        <f t="shared" ref="M584:M647" si="3160">H584+I584+J585+K585+L585</f>
        <v>0</v>
      </c>
      <c r="N584" s="227">
        <f t="shared" ref="N584:N647" si="3161">IF(G584=0,0,G584*(H584+I584)-(R584+S584+T584+U584))</f>
        <v>0</v>
      </c>
      <c r="O584" s="233">
        <f t="shared" ref="O584:O647" si="3162">G584*J585</f>
        <v>0</v>
      </c>
      <c r="P584" s="233">
        <f t="shared" ref="P584:P647" si="3163">G584*K585</f>
        <v>0</v>
      </c>
      <c r="Q584" s="233">
        <f t="shared" ref="Q584:Q647" si="3164">G584*L585</f>
        <v>0</v>
      </c>
      <c r="R584" s="233">
        <f>'임금대장 양식'!R584</f>
        <v>0</v>
      </c>
      <c r="S584" s="233">
        <f>'임금대장 양식'!S584</f>
        <v>0</v>
      </c>
      <c r="T584" s="233">
        <f>'임금대장 양식'!T584</f>
        <v>0</v>
      </c>
      <c r="U584" s="233">
        <f>'임금대장 양식'!U584</f>
        <v>0</v>
      </c>
    </row>
    <row r="585" spans="2:21" ht="21.5" customHeight="1">
      <c r="B585" s="234"/>
      <c r="C585" s="234">
        <v>0</v>
      </c>
      <c r="D585" s="210">
        <f>'임금대장 양식'!D585</f>
        <v>0</v>
      </c>
      <c r="E585" s="235"/>
      <c r="F585" s="236"/>
      <c r="G585" s="237"/>
      <c r="H585" s="238"/>
      <c r="I585" s="238"/>
      <c r="J585" s="239">
        <f t="shared" ref="J585:J648" si="3165">ROUND(J584*(365/12/7)*IF($S$4="5인 이상",1.5,1),0)</f>
        <v>0</v>
      </c>
      <c r="K585" s="239">
        <f t="shared" ref="K585:K648" si="3166">ROUND(K584*IF($S$4="5인 이상",1.5,1),0)</f>
        <v>0</v>
      </c>
      <c r="L585" s="239">
        <f t="shared" ref="L585:L648" si="3167">ROUND(L584*IF($S$4="5인 이상",1.5,1)+L584*IF($S$4="5인 이상",0.5,1),0)</f>
        <v>0</v>
      </c>
      <c r="M585" s="240"/>
      <c r="N585" s="236"/>
      <c r="O585" s="241"/>
      <c r="P585" s="241"/>
      <c r="Q585" s="241"/>
      <c r="R585" s="241"/>
      <c r="S585" s="241"/>
      <c r="T585" s="241"/>
      <c r="U585" s="241"/>
    </row>
    <row r="586" spans="2:21" ht="21.5" customHeight="1">
      <c r="B586" s="225">
        <f>'임금대장 양식'!B586</f>
        <v>0</v>
      </c>
      <c r="C586" s="225" cm="1">
        <f t="array" ref="C586:C587">'임금대장 양식'!C586:C587</f>
        <v>0</v>
      </c>
      <c r="D586" s="225">
        <f>'임금대장 양식'!D586</f>
        <v>0</v>
      </c>
      <c r="E586" s="226">
        <f>'임금대장 양식'!E586</f>
        <v>0</v>
      </c>
      <c r="F586" s="227">
        <f>'임금대장 양식'!F586</f>
        <v>0</v>
      </c>
      <c r="G586" s="228">
        <f t="shared" ref="G586" si="3168">IFERROR((F586)/M586,0)</f>
        <v>0</v>
      </c>
      <c r="H586" s="229">
        <f t="shared" ref="H586:H649" si="3169">IF(F586=0,0,ROUND((8*5)*(365/12/7),0))</f>
        <v>0</v>
      </c>
      <c r="I586" s="229">
        <f t="shared" ref="I586:I649" si="3170">IF(F586=0,0,ROUND(8*365/12/7,0))</f>
        <v>0</v>
      </c>
      <c r="J586" s="230">
        <f>'임금대장 양식'!J586</f>
        <v>0</v>
      </c>
      <c r="K586" s="231">
        <f>'임금대장 양식'!K586</f>
        <v>0</v>
      </c>
      <c r="L586" s="231">
        <f>'임금대장 양식'!L586</f>
        <v>0</v>
      </c>
      <c r="M586" s="232">
        <f t="shared" ref="M586:M649" si="3171">H586+I586+J587+K587+L587</f>
        <v>0</v>
      </c>
      <c r="N586" s="227">
        <f t="shared" ref="N586:N649" si="3172">IF(G586=0,0,G586*(H586+I586)-(R586+S586+T586+U586))</f>
        <v>0</v>
      </c>
      <c r="O586" s="233">
        <f t="shared" ref="O586:O649" si="3173">G586*J587</f>
        <v>0</v>
      </c>
      <c r="P586" s="233">
        <f t="shared" ref="P586:P649" si="3174">G586*K587</f>
        <v>0</v>
      </c>
      <c r="Q586" s="233">
        <f t="shared" ref="Q586:Q649" si="3175">G586*L587</f>
        <v>0</v>
      </c>
      <c r="R586" s="233">
        <f>'임금대장 양식'!R586</f>
        <v>0</v>
      </c>
      <c r="S586" s="233">
        <f>'임금대장 양식'!S586</f>
        <v>0</v>
      </c>
      <c r="T586" s="233">
        <f>'임금대장 양식'!T586</f>
        <v>0</v>
      </c>
      <c r="U586" s="233">
        <f>'임금대장 양식'!U586</f>
        <v>0</v>
      </c>
    </row>
    <row r="587" spans="2:21" ht="21.5" customHeight="1">
      <c r="B587" s="234"/>
      <c r="C587" s="234">
        <v>0</v>
      </c>
      <c r="D587" s="210">
        <f>'임금대장 양식'!D587</f>
        <v>0</v>
      </c>
      <c r="E587" s="235"/>
      <c r="F587" s="236"/>
      <c r="G587" s="237"/>
      <c r="H587" s="238"/>
      <c r="I587" s="238"/>
      <c r="J587" s="239">
        <f t="shared" ref="J587:J650" si="3176">ROUND(J586*(365/12/7)*IF($S$4="5인 이상",1.5,1),0)</f>
        <v>0</v>
      </c>
      <c r="K587" s="239">
        <f t="shared" ref="K587:K650" si="3177">ROUND(K586*IF($S$4="5인 이상",1.5,1),0)</f>
        <v>0</v>
      </c>
      <c r="L587" s="239">
        <f t="shared" ref="L587:L650" si="3178">ROUND(L586*IF($S$4="5인 이상",1.5,1)+L586*IF($S$4="5인 이상",0.5,1),0)</f>
        <v>0</v>
      </c>
      <c r="M587" s="240"/>
      <c r="N587" s="236"/>
      <c r="O587" s="241"/>
      <c r="P587" s="241"/>
      <c r="Q587" s="241"/>
      <c r="R587" s="241"/>
      <c r="S587" s="241"/>
      <c r="T587" s="241"/>
      <c r="U587" s="241"/>
    </row>
    <row r="588" spans="2:21" ht="21.5" customHeight="1">
      <c r="B588" s="225">
        <f>'임금대장 양식'!B588</f>
        <v>0</v>
      </c>
      <c r="C588" s="225" cm="1">
        <f t="array" ref="C588:C589">'임금대장 양식'!C588:C589</f>
        <v>0</v>
      </c>
      <c r="D588" s="225">
        <f>'임금대장 양식'!D588</f>
        <v>0</v>
      </c>
      <c r="E588" s="226">
        <f>'임금대장 양식'!E588</f>
        <v>0</v>
      </c>
      <c r="F588" s="227">
        <f>'임금대장 양식'!F588</f>
        <v>0</v>
      </c>
      <c r="G588" s="228">
        <f t="shared" ref="G588" si="3179">IFERROR((F588)/M588,0)</f>
        <v>0</v>
      </c>
      <c r="H588" s="229">
        <f t="shared" ref="H588:H651" si="3180">IF(F588=0,0,ROUND((8*5)*(365/12/7),0))</f>
        <v>0</v>
      </c>
      <c r="I588" s="229">
        <f t="shared" ref="I588:I651" si="3181">IF(F588=0,0,ROUND(8*365/12/7,0))</f>
        <v>0</v>
      </c>
      <c r="J588" s="230">
        <f>'임금대장 양식'!J588</f>
        <v>0</v>
      </c>
      <c r="K588" s="231">
        <f>'임금대장 양식'!K588</f>
        <v>0</v>
      </c>
      <c r="L588" s="231">
        <f>'임금대장 양식'!L588</f>
        <v>0</v>
      </c>
      <c r="M588" s="232">
        <f t="shared" ref="M588:M651" si="3182">H588+I588+J589+K589+L589</f>
        <v>0</v>
      </c>
      <c r="N588" s="227">
        <f t="shared" ref="N588:N651" si="3183">IF(G588=0,0,G588*(H588+I588)-(R588+S588+T588+U588))</f>
        <v>0</v>
      </c>
      <c r="O588" s="233">
        <f t="shared" ref="O588:O651" si="3184">G588*J589</f>
        <v>0</v>
      </c>
      <c r="P588" s="233">
        <f t="shared" ref="P588:P651" si="3185">G588*K589</f>
        <v>0</v>
      </c>
      <c r="Q588" s="233">
        <f t="shared" ref="Q588:Q651" si="3186">G588*L589</f>
        <v>0</v>
      </c>
      <c r="R588" s="233">
        <f>'임금대장 양식'!R588</f>
        <v>0</v>
      </c>
      <c r="S588" s="233">
        <f>'임금대장 양식'!S588</f>
        <v>0</v>
      </c>
      <c r="T588" s="233">
        <f>'임금대장 양식'!T588</f>
        <v>0</v>
      </c>
      <c r="U588" s="233">
        <f>'임금대장 양식'!U588</f>
        <v>0</v>
      </c>
    </row>
    <row r="589" spans="2:21" ht="21.5" customHeight="1">
      <c r="B589" s="234"/>
      <c r="C589" s="234">
        <v>0</v>
      </c>
      <c r="D589" s="210">
        <f>'임금대장 양식'!D589</f>
        <v>0</v>
      </c>
      <c r="E589" s="235"/>
      <c r="F589" s="236"/>
      <c r="G589" s="237"/>
      <c r="H589" s="238"/>
      <c r="I589" s="238"/>
      <c r="J589" s="239">
        <f t="shared" ref="J589:J652" si="3187">ROUND(J588*(365/12/7)*IF($S$4="5인 이상",1.5,1),0)</f>
        <v>0</v>
      </c>
      <c r="K589" s="239">
        <f t="shared" ref="K589:K652" si="3188">ROUND(K588*IF($S$4="5인 이상",1.5,1),0)</f>
        <v>0</v>
      </c>
      <c r="L589" s="239">
        <f t="shared" ref="L589:L652" si="3189">ROUND(L588*IF($S$4="5인 이상",1.5,1)+L588*IF($S$4="5인 이상",0.5,1),0)</f>
        <v>0</v>
      </c>
      <c r="M589" s="240"/>
      <c r="N589" s="236"/>
      <c r="O589" s="241"/>
      <c r="P589" s="241"/>
      <c r="Q589" s="241"/>
      <c r="R589" s="241"/>
      <c r="S589" s="241"/>
      <c r="T589" s="241"/>
      <c r="U589" s="241"/>
    </row>
    <row r="590" spans="2:21" ht="21.5" customHeight="1">
      <c r="B590" s="225">
        <f>'임금대장 양식'!B590</f>
        <v>0</v>
      </c>
      <c r="C590" s="225" cm="1">
        <f t="array" ref="C590:C591">'임금대장 양식'!C590:C591</f>
        <v>0</v>
      </c>
      <c r="D590" s="225">
        <f>'임금대장 양식'!D590</f>
        <v>0</v>
      </c>
      <c r="E590" s="226">
        <f>'임금대장 양식'!E590</f>
        <v>0</v>
      </c>
      <c r="F590" s="227">
        <f>'임금대장 양식'!F590</f>
        <v>0</v>
      </c>
      <c r="G590" s="228">
        <f t="shared" ref="G590" si="3190">IFERROR((F590)/M590,0)</f>
        <v>0</v>
      </c>
      <c r="H590" s="229">
        <f t="shared" ref="H590:H653" si="3191">IF(F590=0,0,ROUND((8*5)*(365/12/7),0))</f>
        <v>0</v>
      </c>
      <c r="I590" s="229">
        <f t="shared" ref="I590:I653" si="3192">IF(F590=0,0,ROUND(8*365/12/7,0))</f>
        <v>0</v>
      </c>
      <c r="J590" s="230">
        <f>'임금대장 양식'!J590</f>
        <v>0</v>
      </c>
      <c r="K590" s="231">
        <f>'임금대장 양식'!K590</f>
        <v>0</v>
      </c>
      <c r="L590" s="231">
        <f>'임금대장 양식'!L590</f>
        <v>0</v>
      </c>
      <c r="M590" s="232">
        <f t="shared" ref="M590:M653" si="3193">H590+I590+J591+K591+L591</f>
        <v>0</v>
      </c>
      <c r="N590" s="227">
        <f t="shared" ref="N590:N653" si="3194">IF(G590=0,0,G590*(H590+I590)-(R590+S590+T590+U590))</f>
        <v>0</v>
      </c>
      <c r="O590" s="233">
        <f t="shared" ref="O590:O653" si="3195">G590*J591</f>
        <v>0</v>
      </c>
      <c r="P590" s="233">
        <f t="shared" ref="P590:P653" si="3196">G590*K591</f>
        <v>0</v>
      </c>
      <c r="Q590" s="233">
        <f t="shared" ref="Q590:Q653" si="3197">G590*L591</f>
        <v>0</v>
      </c>
      <c r="R590" s="233">
        <f>'임금대장 양식'!R590</f>
        <v>0</v>
      </c>
      <c r="S590" s="233">
        <f>'임금대장 양식'!S590</f>
        <v>0</v>
      </c>
      <c r="T590" s="233">
        <f>'임금대장 양식'!T590</f>
        <v>0</v>
      </c>
      <c r="U590" s="233">
        <f>'임금대장 양식'!U590</f>
        <v>0</v>
      </c>
    </row>
    <row r="591" spans="2:21" ht="21.5" customHeight="1">
      <c r="B591" s="234"/>
      <c r="C591" s="234">
        <v>0</v>
      </c>
      <c r="D591" s="210">
        <f>'임금대장 양식'!D591</f>
        <v>0</v>
      </c>
      <c r="E591" s="235"/>
      <c r="F591" s="236"/>
      <c r="G591" s="237"/>
      <c r="H591" s="238"/>
      <c r="I591" s="238"/>
      <c r="J591" s="239">
        <f t="shared" ref="J591:J654" si="3198">ROUND(J590*(365/12/7)*IF($S$4="5인 이상",1.5,1),0)</f>
        <v>0</v>
      </c>
      <c r="K591" s="239">
        <f t="shared" ref="K591:K654" si="3199">ROUND(K590*IF($S$4="5인 이상",1.5,1),0)</f>
        <v>0</v>
      </c>
      <c r="L591" s="239">
        <f t="shared" ref="L591:L654" si="3200">ROUND(L590*IF($S$4="5인 이상",1.5,1)+L590*IF($S$4="5인 이상",0.5,1),0)</f>
        <v>0</v>
      </c>
      <c r="M591" s="240"/>
      <c r="N591" s="236"/>
      <c r="O591" s="241"/>
      <c r="P591" s="241"/>
      <c r="Q591" s="241"/>
      <c r="R591" s="241"/>
      <c r="S591" s="241"/>
      <c r="T591" s="241"/>
      <c r="U591" s="241"/>
    </row>
    <row r="592" spans="2:21" ht="21.5" customHeight="1">
      <c r="B592" s="225">
        <f>'임금대장 양식'!B592</f>
        <v>0</v>
      </c>
      <c r="C592" s="225" cm="1">
        <f t="array" ref="C592:C593">'임금대장 양식'!C592:C593</f>
        <v>0</v>
      </c>
      <c r="D592" s="225">
        <f>'임금대장 양식'!D592</f>
        <v>0</v>
      </c>
      <c r="E592" s="226">
        <f>'임금대장 양식'!E592</f>
        <v>0</v>
      </c>
      <c r="F592" s="227">
        <f>'임금대장 양식'!F592</f>
        <v>0</v>
      </c>
      <c r="G592" s="228">
        <f t="shared" ref="G592" si="3201">IFERROR((F592)/M592,0)</f>
        <v>0</v>
      </c>
      <c r="H592" s="229">
        <f t="shared" ref="H592:H655" si="3202">IF(F592=0,0,ROUND((8*5)*(365/12/7),0))</f>
        <v>0</v>
      </c>
      <c r="I592" s="229">
        <f t="shared" ref="I592:I655" si="3203">IF(F592=0,0,ROUND(8*365/12/7,0))</f>
        <v>0</v>
      </c>
      <c r="J592" s="230">
        <f>'임금대장 양식'!J592</f>
        <v>0</v>
      </c>
      <c r="K592" s="231">
        <f>'임금대장 양식'!K592</f>
        <v>0</v>
      </c>
      <c r="L592" s="231">
        <f>'임금대장 양식'!L592</f>
        <v>0</v>
      </c>
      <c r="M592" s="232">
        <f t="shared" ref="M592:M655" si="3204">H592+I592+J593+K593+L593</f>
        <v>0</v>
      </c>
      <c r="N592" s="227">
        <f t="shared" ref="N592:N655" si="3205">IF(G592=0,0,G592*(H592+I592)-(R592+S592+T592+U592))</f>
        <v>0</v>
      </c>
      <c r="O592" s="233">
        <f t="shared" ref="O592:O655" si="3206">G592*J593</f>
        <v>0</v>
      </c>
      <c r="P592" s="233">
        <f t="shared" ref="P592:P655" si="3207">G592*K593</f>
        <v>0</v>
      </c>
      <c r="Q592" s="233">
        <f t="shared" ref="Q592:Q655" si="3208">G592*L593</f>
        <v>0</v>
      </c>
      <c r="R592" s="233">
        <f>'임금대장 양식'!R592</f>
        <v>0</v>
      </c>
      <c r="S592" s="233">
        <f>'임금대장 양식'!S592</f>
        <v>0</v>
      </c>
      <c r="T592" s="233">
        <f>'임금대장 양식'!T592</f>
        <v>0</v>
      </c>
      <c r="U592" s="233">
        <f>'임금대장 양식'!U592</f>
        <v>0</v>
      </c>
    </row>
    <row r="593" spans="2:21" ht="21.5" customHeight="1">
      <c r="B593" s="234"/>
      <c r="C593" s="234">
        <v>0</v>
      </c>
      <c r="D593" s="210">
        <f>'임금대장 양식'!D593</f>
        <v>0</v>
      </c>
      <c r="E593" s="235"/>
      <c r="F593" s="236"/>
      <c r="G593" s="237"/>
      <c r="H593" s="238"/>
      <c r="I593" s="238"/>
      <c r="J593" s="239">
        <f t="shared" ref="J593:J656" si="3209">ROUND(J592*(365/12/7)*IF($S$4="5인 이상",1.5,1),0)</f>
        <v>0</v>
      </c>
      <c r="K593" s="239">
        <f t="shared" ref="K593:K656" si="3210">ROUND(K592*IF($S$4="5인 이상",1.5,1),0)</f>
        <v>0</v>
      </c>
      <c r="L593" s="239">
        <f t="shared" ref="L593:L656" si="3211">ROUND(L592*IF($S$4="5인 이상",1.5,1)+L592*IF($S$4="5인 이상",0.5,1),0)</f>
        <v>0</v>
      </c>
      <c r="M593" s="240"/>
      <c r="N593" s="236"/>
      <c r="O593" s="241"/>
      <c r="P593" s="241"/>
      <c r="Q593" s="241"/>
      <c r="R593" s="241"/>
      <c r="S593" s="241"/>
      <c r="T593" s="241"/>
      <c r="U593" s="241"/>
    </row>
    <row r="594" spans="2:21" ht="21.5" customHeight="1">
      <c r="B594" s="225">
        <f>'임금대장 양식'!B594</f>
        <v>0</v>
      </c>
      <c r="C594" s="225" cm="1">
        <f t="array" ref="C594:C595">'임금대장 양식'!C594:C595</f>
        <v>0</v>
      </c>
      <c r="D594" s="225">
        <f>'임금대장 양식'!D594</f>
        <v>0</v>
      </c>
      <c r="E594" s="226">
        <f>'임금대장 양식'!E594</f>
        <v>0</v>
      </c>
      <c r="F594" s="227">
        <f>'임금대장 양식'!F594</f>
        <v>0</v>
      </c>
      <c r="G594" s="228">
        <f t="shared" ref="G594" si="3212">IFERROR((F594)/M594,0)</f>
        <v>0</v>
      </c>
      <c r="H594" s="229">
        <f t="shared" ref="H594:H657" si="3213">IF(F594=0,0,ROUND((8*5)*(365/12/7),0))</f>
        <v>0</v>
      </c>
      <c r="I594" s="229">
        <f t="shared" ref="I594:I657" si="3214">IF(F594=0,0,ROUND(8*365/12/7,0))</f>
        <v>0</v>
      </c>
      <c r="J594" s="230">
        <f>'임금대장 양식'!J594</f>
        <v>0</v>
      </c>
      <c r="K594" s="231">
        <f>'임금대장 양식'!K594</f>
        <v>0</v>
      </c>
      <c r="L594" s="231">
        <f>'임금대장 양식'!L594</f>
        <v>0</v>
      </c>
      <c r="M594" s="232">
        <f t="shared" ref="M594:M657" si="3215">H594+I594+J595+K595+L595</f>
        <v>0</v>
      </c>
      <c r="N594" s="227">
        <f t="shared" ref="N594:N657" si="3216">IF(G594=0,0,G594*(H594+I594)-(R594+S594+T594+U594))</f>
        <v>0</v>
      </c>
      <c r="O594" s="233">
        <f t="shared" ref="O594:O657" si="3217">G594*J595</f>
        <v>0</v>
      </c>
      <c r="P594" s="233">
        <f t="shared" ref="P594:P657" si="3218">G594*K595</f>
        <v>0</v>
      </c>
      <c r="Q594" s="233">
        <f t="shared" ref="Q594:Q657" si="3219">G594*L595</f>
        <v>0</v>
      </c>
      <c r="R594" s="233">
        <f>'임금대장 양식'!R594</f>
        <v>0</v>
      </c>
      <c r="S594" s="233">
        <f>'임금대장 양식'!S594</f>
        <v>0</v>
      </c>
      <c r="T594" s="233">
        <f>'임금대장 양식'!T594</f>
        <v>0</v>
      </c>
      <c r="U594" s="233">
        <f>'임금대장 양식'!U594</f>
        <v>0</v>
      </c>
    </row>
    <row r="595" spans="2:21" ht="21.5" customHeight="1">
      <c r="B595" s="234"/>
      <c r="C595" s="234">
        <v>0</v>
      </c>
      <c r="D595" s="210">
        <f>'임금대장 양식'!D595</f>
        <v>0</v>
      </c>
      <c r="E595" s="235"/>
      <c r="F595" s="236"/>
      <c r="G595" s="237"/>
      <c r="H595" s="238"/>
      <c r="I595" s="238"/>
      <c r="J595" s="239">
        <f t="shared" ref="J595:J658" si="3220">ROUND(J594*(365/12/7)*IF($S$4="5인 이상",1.5,1),0)</f>
        <v>0</v>
      </c>
      <c r="K595" s="239">
        <f t="shared" ref="K595:K658" si="3221">ROUND(K594*IF($S$4="5인 이상",1.5,1),0)</f>
        <v>0</v>
      </c>
      <c r="L595" s="239">
        <f t="shared" ref="L595:L658" si="3222">ROUND(L594*IF($S$4="5인 이상",1.5,1)+L594*IF($S$4="5인 이상",0.5,1),0)</f>
        <v>0</v>
      </c>
      <c r="M595" s="240"/>
      <c r="N595" s="236"/>
      <c r="O595" s="241"/>
      <c r="P595" s="241"/>
      <c r="Q595" s="241"/>
      <c r="R595" s="241"/>
      <c r="S595" s="241"/>
      <c r="T595" s="241"/>
      <c r="U595" s="241"/>
    </row>
    <row r="596" spans="2:21" ht="21.5" customHeight="1">
      <c r="B596" s="225">
        <f>'임금대장 양식'!B596</f>
        <v>0</v>
      </c>
      <c r="C596" s="225" cm="1">
        <f t="array" ref="C596:C597">'임금대장 양식'!C596:C597</f>
        <v>0</v>
      </c>
      <c r="D596" s="225">
        <f>'임금대장 양식'!D596</f>
        <v>0</v>
      </c>
      <c r="E596" s="226">
        <f>'임금대장 양식'!E596</f>
        <v>0</v>
      </c>
      <c r="F596" s="227">
        <f>'임금대장 양식'!F596</f>
        <v>0</v>
      </c>
      <c r="G596" s="228">
        <f t="shared" ref="G596" si="3223">IFERROR((F596)/M596,0)</f>
        <v>0</v>
      </c>
      <c r="H596" s="229">
        <f t="shared" ref="H596:H659" si="3224">IF(F596=0,0,ROUND((8*5)*(365/12/7),0))</f>
        <v>0</v>
      </c>
      <c r="I596" s="229">
        <f t="shared" ref="I596:I659" si="3225">IF(F596=0,0,ROUND(8*365/12/7,0))</f>
        <v>0</v>
      </c>
      <c r="J596" s="230">
        <f>'임금대장 양식'!J596</f>
        <v>0</v>
      </c>
      <c r="K596" s="231">
        <f>'임금대장 양식'!K596</f>
        <v>0</v>
      </c>
      <c r="L596" s="231">
        <f>'임금대장 양식'!L596</f>
        <v>0</v>
      </c>
      <c r="M596" s="232">
        <f t="shared" ref="M596:M659" si="3226">H596+I596+J597+K597+L597</f>
        <v>0</v>
      </c>
      <c r="N596" s="227">
        <f t="shared" ref="N596:N659" si="3227">IF(G596=0,0,G596*(H596+I596)-(R596+S596+T596+U596))</f>
        <v>0</v>
      </c>
      <c r="O596" s="233">
        <f t="shared" ref="O596:O659" si="3228">G596*J597</f>
        <v>0</v>
      </c>
      <c r="P596" s="233">
        <f t="shared" ref="P596:P659" si="3229">G596*K597</f>
        <v>0</v>
      </c>
      <c r="Q596" s="233">
        <f t="shared" ref="Q596:Q659" si="3230">G596*L597</f>
        <v>0</v>
      </c>
      <c r="R596" s="233">
        <f>'임금대장 양식'!R596</f>
        <v>0</v>
      </c>
      <c r="S596" s="233">
        <f>'임금대장 양식'!S596</f>
        <v>0</v>
      </c>
      <c r="T596" s="233">
        <f>'임금대장 양식'!T596</f>
        <v>0</v>
      </c>
      <c r="U596" s="233">
        <f>'임금대장 양식'!U596</f>
        <v>0</v>
      </c>
    </row>
    <row r="597" spans="2:21" ht="21.5" customHeight="1">
      <c r="B597" s="234"/>
      <c r="C597" s="234">
        <v>0</v>
      </c>
      <c r="D597" s="210">
        <f>'임금대장 양식'!D597</f>
        <v>0</v>
      </c>
      <c r="E597" s="235"/>
      <c r="F597" s="236"/>
      <c r="G597" s="237"/>
      <c r="H597" s="238"/>
      <c r="I597" s="238"/>
      <c r="J597" s="239">
        <f t="shared" ref="J597:J660" si="3231">ROUND(J596*(365/12/7)*IF($S$4="5인 이상",1.5,1),0)</f>
        <v>0</v>
      </c>
      <c r="K597" s="239">
        <f t="shared" ref="K597:K660" si="3232">ROUND(K596*IF($S$4="5인 이상",1.5,1),0)</f>
        <v>0</v>
      </c>
      <c r="L597" s="239">
        <f t="shared" ref="L597:L660" si="3233">ROUND(L596*IF($S$4="5인 이상",1.5,1)+L596*IF($S$4="5인 이상",0.5,1),0)</f>
        <v>0</v>
      </c>
      <c r="M597" s="240"/>
      <c r="N597" s="236"/>
      <c r="O597" s="241"/>
      <c r="P597" s="241"/>
      <c r="Q597" s="241"/>
      <c r="R597" s="241"/>
      <c r="S597" s="241"/>
      <c r="T597" s="241"/>
      <c r="U597" s="241"/>
    </row>
    <row r="598" spans="2:21" ht="21.5" customHeight="1">
      <c r="B598" s="225">
        <f>'임금대장 양식'!B598</f>
        <v>0</v>
      </c>
      <c r="C598" s="225" cm="1">
        <f t="array" ref="C598:C599">'임금대장 양식'!C598:C599</f>
        <v>0</v>
      </c>
      <c r="D598" s="225">
        <f>'임금대장 양식'!D598</f>
        <v>0</v>
      </c>
      <c r="E598" s="226">
        <f>'임금대장 양식'!E598</f>
        <v>0</v>
      </c>
      <c r="F598" s="227">
        <f>'임금대장 양식'!F598</f>
        <v>0</v>
      </c>
      <c r="G598" s="228">
        <f t="shared" ref="G598" si="3234">IFERROR((F598)/M598,0)</f>
        <v>0</v>
      </c>
      <c r="H598" s="229">
        <f t="shared" ref="H598:H661" si="3235">IF(F598=0,0,ROUND((8*5)*(365/12/7),0))</f>
        <v>0</v>
      </c>
      <c r="I598" s="229">
        <f t="shared" ref="I598:I661" si="3236">IF(F598=0,0,ROUND(8*365/12/7,0))</f>
        <v>0</v>
      </c>
      <c r="J598" s="230">
        <f>'임금대장 양식'!J598</f>
        <v>0</v>
      </c>
      <c r="K598" s="231">
        <f>'임금대장 양식'!K598</f>
        <v>0</v>
      </c>
      <c r="L598" s="231">
        <f>'임금대장 양식'!L598</f>
        <v>0</v>
      </c>
      <c r="M598" s="232">
        <f t="shared" ref="M598:M661" si="3237">H598+I598+J599+K599+L599</f>
        <v>0</v>
      </c>
      <c r="N598" s="227">
        <f t="shared" ref="N598:N661" si="3238">IF(G598=0,0,G598*(H598+I598)-(R598+S598+T598+U598))</f>
        <v>0</v>
      </c>
      <c r="O598" s="233">
        <f t="shared" ref="O598:O661" si="3239">G598*J599</f>
        <v>0</v>
      </c>
      <c r="P598" s="233">
        <f t="shared" ref="P598:P661" si="3240">G598*K599</f>
        <v>0</v>
      </c>
      <c r="Q598" s="233">
        <f t="shared" ref="Q598:Q661" si="3241">G598*L599</f>
        <v>0</v>
      </c>
      <c r="R598" s="233">
        <f>'임금대장 양식'!R598</f>
        <v>0</v>
      </c>
      <c r="S598" s="233">
        <f>'임금대장 양식'!S598</f>
        <v>0</v>
      </c>
      <c r="T598" s="233">
        <f>'임금대장 양식'!T598</f>
        <v>0</v>
      </c>
      <c r="U598" s="233">
        <f>'임금대장 양식'!U598</f>
        <v>0</v>
      </c>
    </row>
    <row r="599" spans="2:21" ht="21.5" customHeight="1">
      <c r="B599" s="234"/>
      <c r="C599" s="234">
        <v>0</v>
      </c>
      <c r="D599" s="210">
        <f>'임금대장 양식'!D599</f>
        <v>0</v>
      </c>
      <c r="E599" s="235"/>
      <c r="F599" s="236"/>
      <c r="G599" s="237"/>
      <c r="H599" s="238"/>
      <c r="I599" s="238"/>
      <c r="J599" s="239">
        <f t="shared" ref="J599:J662" si="3242">ROUND(J598*(365/12/7)*IF($S$4="5인 이상",1.5,1),0)</f>
        <v>0</v>
      </c>
      <c r="K599" s="239">
        <f t="shared" ref="K599:K662" si="3243">ROUND(K598*IF($S$4="5인 이상",1.5,1),0)</f>
        <v>0</v>
      </c>
      <c r="L599" s="239">
        <f t="shared" ref="L599:L662" si="3244">ROUND(L598*IF($S$4="5인 이상",1.5,1)+L598*IF($S$4="5인 이상",0.5,1),0)</f>
        <v>0</v>
      </c>
      <c r="M599" s="240"/>
      <c r="N599" s="236"/>
      <c r="O599" s="241"/>
      <c r="P599" s="241"/>
      <c r="Q599" s="241"/>
      <c r="R599" s="241"/>
      <c r="S599" s="241"/>
      <c r="T599" s="241"/>
      <c r="U599" s="241"/>
    </row>
    <row r="600" spans="2:21" ht="21.5" customHeight="1">
      <c r="B600" s="225">
        <f>'임금대장 양식'!B600</f>
        <v>0</v>
      </c>
      <c r="C600" s="225" cm="1">
        <f t="array" ref="C600:C601">'임금대장 양식'!C600:C601</f>
        <v>0</v>
      </c>
      <c r="D600" s="225">
        <f>'임금대장 양식'!D600</f>
        <v>0</v>
      </c>
      <c r="E600" s="226">
        <f>'임금대장 양식'!E600</f>
        <v>0</v>
      </c>
      <c r="F600" s="227">
        <f>'임금대장 양식'!F600</f>
        <v>0</v>
      </c>
      <c r="G600" s="228">
        <f t="shared" ref="G600" si="3245">IFERROR((F600)/M600,0)</f>
        <v>0</v>
      </c>
      <c r="H600" s="229">
        <f t="shared" ref="H600:H663" si="3246">IF(F600=0,0,ROUND((8*5)*(365/12/7),0))</f>
        <v>0</v>
      </c>
      <c r="I600" s="229">
        <f t="shared" ref="I600:I663" si="3247">IF(F600=0,0,ROUND(8*365/12/7,0))</f>
        <v>0</v>
      </c>
      <c r="J600" s="230">
        <f>'임금대장 양식'!J600</f>
        <v>0</v>
      </c>
      <c r="K600" s="231">
        <f>'임금대장 양식'!K600</f>
        <v>0</v>
      </c>
      <c r="L600" s="231">
        <f>'임금대장 양식'!L600</f>
        <v>0</v>
      </c>
      <c r="M600" s="232">
        <f t="shared" ref="M600:M663" si="3248">H600+I600+J601+K601+L601</f>
        <v>0</v>
      </c>
      <c r="N600" s="227">
        <f t="shared" ref="N600:N663" si="3249">IF(G600=0,0,G600*(H600+I600)-(R600+S600+T600+U600))</f>
        <v>0</v>
      </c>
      <c r="O600" s="233">
        <f t="shared" ref="O600:O663" si="3250">G600*J601</f>
        <v>0</v>
      </c>
      <c r="P600" s="233">
        <f t="shared" ref="P600:P663" si="3251">G600*K601</f>
        <v>0</v>
      </c>
      <c r="Q600" s="233">
        <f t="shared" ref="Q600:Q663" si="3252">G600*L601</f>
        <v>0</v>
      </c>
      <c r="R600" s="233">
        <f>'임금대장 양식'!R600</f>
        <v>0</v>
      </c>
      <c r="S600" s="233">
        <f>'임금대장 양식'!S600</f>
        <v>0</v>
      </c>
      <c r="T600" s="233">
        <f>'임금대장 양식'!T600</f>
        <v>0</v>
      </c>
      <c r="U600" s="233">
        <f>'임금대장 양식'!U600</f>
        <v>0</v>
      </c>
    </row>
    <row r="601" spans="2:21" ht="21.5" customHeight="1">
      <c r="B601" s="234"/>
      <c r="C601" s="234">
        <v>0</v>
      </c>
      <c r="D601" s="210">
        <f>'임금대장 양식'!D601</f>
        <v>0</v>
      </c>
      <c r="E601" s="235"/>
      <c r="F601" s="236"/>
      <c r="G601" s="237"/>
      <c r="H601" s="238"/>
      <c r="I601" s="238"/>
      <c r="J601" s="239">
        <f t="shared" ref="J601:J664" si="3253">ROUND(J600*(365/12/7)*IF($S$4="5인 이상",1.5,1),0)</f>
        <v>0</v>
      </c>
      <c r="K601" s="239">
        <f t="shared" ref="K601:K664" si="3254">ROUND(K600*IF($S$4="5인 이상",1.5,1),0)</f>
        <v>0</v>
      </c>
      <c r="L601" s="239">
        <f t="shared" ref="L601:L664" si="3255">ROUND(L600*IF($S$4="5인 이상",1.5,1)+L600*IF($S$4="5인 이상",0.5,1),0)</f>
        <v>0</v>
      </c>
      <c r="M601" s="240"/>
      <c r="N601" s="236"/>
      <c r="O601" s="241"/>
      <c r="P601" s="241"/>
      <c r="Q601" s="241"/>
      <c r="R601" s="241"/>
      <c r="S601" s="241"/>
      <c r="T601" s="241"/>
      <c r="U601" s="241"/>
    </row>
    <row r="602" spans="2:21" ht="21.5" customHeight="1">
      <c r="B602" s="225">
        <f>'임금대장 양식'!B602</f>
        <v>0</v>
      </c>
      <c r="C602" s="225" cm="1">
        <f t="array" ref="C602:C603">'임금대장 양식'!C602:C603</f>
        <v>0</v>
      </c>
      <c r="D602" s="225">
        <f>'임금대장 양식'!D602</f>
        <v>0</v>
      </c>
      <c r="E602" s="226">
        <f>'임금대장 양식'!E602</f>
        <v>0</v>
      </c>
      <c r="F602" s="227">
        <f>'임금대장 양식'!F602</f>
        <v>0</v>
      </c>
      <c r="G602" s="228">
        <f t="shared" ref="G602" si="3256">IFERROR((F602)/M602,0)</f>
        <v>0</v>
      </c>
      <c r="H602" s="229">
        <f t="shared" ref="H602:H665" si="3257">IF(F602=0,0,ROUND((8*5)*(365/12/7),0))</f>
        <v>0</v>
      </c>
      <c r="I602" s="229">
        <f t="shared" ref="I602:I665" si="3258">IF(F602=0,0,ROUND(8*365/12/7,0))</f>
        <v>0</v>
      </c>
      <c r="J602" s="230">
        <f>'임금대장 양식'!J602</f>
        <v>0</v>
      </c>
      <c r="K602" s="231">
        <f>'임금대장 양식'!K602</f>
        <v>0</v>
      </c>
      <c r="L602" s="231">
        <f>'임금대장 양식'!L602</f>
        <v>0</v>
      </c>
      <c r="M602" s="232">
        <f t="shared" ref="M602:M665" si="3259">H602+I602+J603+K603+L603</f>
        <v>0</v>
      </c>
      <c r="N602" s="227">
        <f t="shared" ref="N602:N665" si="3260">IF(G602=0,0,G602*(H602+I602)-(R602+S602+T602+U602))</f>
        <v>0</v>
      </c>
      <c r="O602" s="233">
        <f t="shared" ref="O602:O665" si="3261">G602*J603</f>
        <v>0</v>
      </c>
      <c r="P602" s="233">
        <f t="shared" ref="P602:P665" si="3262">G602*K603</f>
        <v>0</v>
      </c>
      <c r="Q602" s="233">
        <f t="shared" ref="Q602:Q665" si="3263">G602*L603</f>
        <v>0</v>
      </c>
      <c r="R602" s="233">
        <f>'임금대장 양식'!R602</f>
        <v>0</v>
      </c>
      <c r="S602" s="233">
        <f>'임금대장 양식'!S602</f>
        <v>0</v>
      </c>
      <c r="T602" s="233">
        <f>'임금대장 양식'!T602</f>
        <v>0</v>
      </c>
      <c r="U602" s="233">
        <f>'임금대장 양식'!U602</f>
        <v>0</v>
      </c>
    </row>
    <row r="603" spans="2:21" ht="21.5" customHeight="1">
      <c r="B603" s="234"/>
      <c r="C603" s="234">
        <v>0</v>
      </c>
      <c r="D603" s="210">
        <f>'임금대장 양식'!D603</f>
        <v>0</v>
      </c>
      <c r="E603" s="235"/>
      <c r="F603" s="236"/>
      <c r="G603" s="237"/>
      <c r="H603" s="238"/>
      <c r="I603" s="238"/>
      <c r="J603" s="239">
        <f t="shared" ref="J603:J666" si="3264">ROUND(J602*(365/12/7)*IF($S$4="5인 이상",1.5,1),0)</f>
        <v>0</v>
      </c>
      <c r="K603" s="239">
        <f t="shared" ref="K603:K666" si="3265">ROUND(K602*IF($S$4="5인 이상",1.5,1),0)</f>
        <v>0</v>
      </c>
      <c r="L603" s="239">
        <f t="shared" ref="L603:L666" si="3266">ROUND(L602*IF($S$4="5인 이상",1.5,1)+L602*IF($S$4="5인 이상",0.5,1),0)</f>
        <v>0</v>
      </c>
      <c r="M603" s="240"/>
      <c r="N603" s="236"/>
      <c r="O603" s="241"/>
      <c r="P603" s="241"/>
      <c r="Q603" s="241"/>
      <c r="R603" s="241"/>
      <c r="S603" s="241"/>
      <c r="T603" s="241"/>
      <c r="U603" s="241"/>
    </row>
    <row r="604" spans="2:21" ht="21.5" customHeight="1">
      <c r="B604" s="225">
        <f>'임금대장 양식'!B604</f>
        <v>0</v>
      </c>
      <c r="C604" s="225" cm="1">
        <f t="array" ref="C604:C605">'임금대장 양식'!C604:C605</f>
        <v>0</v>
      </c>
      <c r="D604" s="225">
        <f>'임금대장 양식'!D604</f>
        <v>0</v>
      </c>
      <c r="E604" s="226">
        <f>'임금대장 양식'!E604</f>
        <v>0</v>
      </c>
      <c r="F604" s="227">
        <f>'임금대장 양식'!F604</f>
        <v>0</v>
      </c>
      <c r="G604" s="228">
        <f t="shared" ref="G604" si="3267">IFERROR((F604)/M604,0)</f>
        <v>0</v>
      </c>
      <c r="H604" s="229">
        <f t="shared" ref="H604:H667" si="3268">IF(F604=0,0,ROUND((8*5)*(365/12/7),0))</f>
        <v>0</v>
      </c>
      <c r="I604" s="229">
        <f t="shared" ref="I604:I667" si="3269">IF(F604=0,0,ROUND(8*365/12/7,0))</f>
        <v>0</v>
      </c>
      <c r="J604" s="230">
        <f>'임금대장 양식'!J604</f>
        <v>0</v>
      </c>
      <c r="K604" s="231">
        <f>'임금대장 양식'!K604</f>
        <v>0</v>
      </c>
      <c r="L604" s="231">
        <f>'임금대장 양식'!L604</f>
        <v>0</v>
      </c>
      <c r="M604" s="232">
        <f t="shared" ref="M604:M667" si="3270">H604+I604+J605+K605+L605</f>
        <v>0</v>
      </c>
      <c r="N604" s="227">
        <f t="shared" ref="N604:N667" si="3271">IF(G604=0,0,G604*(H604+I604)-(R604+S604+T604+U604))</f>
        <v>0</v>
      </c>
      <c r="O604" s="233">
        <f t="shared" ref="O604:O667" si="3272">G604*J605</f>
        <v>0</v>
      </c>
      <c r="P604" s="233">
        <f t="shared" ref="P604:P667" si="3273">G604*K605</f>
        <v>0</v>
      </c>
      <c r="Q604" s="233">
        <f t="shared" ref="Q604:Q667" si="3274">G604*L605</f>
        <v>0</v>
      </c>
      <c r="R604" s="233">
        <f>'임금대장 양식'!R604</f>
        <v>0</v>
      </c>
      <c r="S604" s="233">
        <f>'임금대장 양식'!S604</f>
        <v>0</v>
      </c>
      <c r="T604" s="233">
        <f>'임금대장 양식'!T604</f>
        <v>0</v>
      </c>
      <c r="U604" s="233">
        <f>'임금대장 양식'!U604</f>
        <v>0</v>
      </c>
    </row>
    <row r="605" spans="2:21" ht="21.5" customHeight="1">
      <c r="B605" s="234"/>
      <c r="C605" s="234">
        <v>0</v>
      </c>
      <c r="D605" s="210">
        <f>'임금대장 양식'!D605</f>
        <v>0</v>
      </c>
      <c r="E605" s="235"/>
      <c r="F605" s="236"/>
      <c r="G605" s="237"/>
      <c r="H605" s="238"/>
      <c r="I605" s="238"/>
      <c r="J605" s="239">
        <f t="shared" ref="J605:J668" si="3275">ROUND(J604*(365/12/7)*IF($S$4="5인 이상",1.5,1),0)</f>
        <v>0</v>
      </c>
      <c r="K605" s="239">
        <f t="shared" ref="K605:K668" si="3276">ROUND(K604*IF($S$4="5인 이상",1.5,1),0)</f>
        <v>0</v>
      </c>
      <c r="L605" s="239">
        <f t="shared" ref="L605:L668" si="3277">ROUND(L604*IF($S$4="5인 이상",1.5,1)+L604*IF($S$4="5인 이상",0.5,1),0)</f>
        <v>0</v>
      </c>
      <c r="M605" s="240"/>
      <c r="N605" s="236"/>
      <c r="O605" s="241"/>
      <c r="P605" s="241"/>
      <c r="Q605" s="241"/>
      <c r="R605" s="241"/>
      <c r="S605" s="241"/>
      <c r="T605" s="241"/>
      <c r="U605" s="241"/>
    </row>
    <row r="606" spans="2:21" ht="21.5" customHeight="1">
      <c r="B606" s="225">
        <f>'임금대장 양식'!B606</f>
        <v>0</v>
      </c>
      <c r="C606" s="225" cm="1">
        <f t="array" ref="C606:C607">'임금대장 양식'!C606:C607</f>
        <v>0</v>
      </c>
      <c r="D606" s="225">
        <f>'임금대장 양식'!D606</f>
        <v>0</v>
      </c>
      <c r="E606" s="226">
        <f>'임금대장 양식'!E606</f>
        <v>0</v>
      </c>
      <c r="F606" s="227">
        <f>'임금대장 양식'!F606</f>
        <v>0</v>
      </c>
      <c r="G606" s="228">
        <f t="shared" ref="G606" si="3278">IFERROR((F606)/M606,0)</f>
        <v>0</v>
      </c>
      <c r="H606" s="229">
        <f t="shared" ref="H606:H669" si="3279">IF(F606=0,0,ROUND((8*5)*(365/12/7),0))</f>
        <v>0</v>
      </c>
      <c r="I606" s="229">
        <f t="shared" ref="I606:I669" si="3280">IF(F606=0,0,ROUND(8*365/12/7,0))</f>
        <v>0</v>
      </c>
      <c r="J606" s="230">
        <f>'임금대장 양식'!J606</f>
        <v>0</v>
      </c>
      <c r="K606" s="231">
        <f>'임금대장 양식'!K606</f>
        <v>0</v>
      </c>
      <c r="L606" s="231">
        <f>'임금대장 양식'!L606</f>
        <v>0</v>
      </c>
      <c r="M606" s="232">
        <f t="shared" ref="M606:M669" si="3281">H606+I606+J607+K607+L607</f>
        <v>0</v>
      </c>
      <c r="N606" s="227">
        <f t="shared" ref="N606:N669" si="3282">IF(G606=0,0,G606*(H606+I606)-(R606+S606+T606+U606))</f>
        <v>0</v>
      </c>
      <c r="O606" s="233">
        <f t="shared" ref="O606:O669" si="3283">G606*J607</f>
        <v>0</v>
      </c>
      <c r="P606" s="233">
        <f t="shared" ref="P606:P669" si="3284">G606*K607</f>
        <v>0</v>
      </c>
      <c r="Q606" s="233">
        <f t="shared" ref="Q606:Q669" si="3285">G606*L607</f>
        <v>0</v>
      </c>
      <c r="R606" s="233">
        <f>'임금대장 양식'!R606</f>
        <v>0</v>
      </c>
      <c r="S606" s="233">
        <f>'임금대장 양식'!S606</f>
        <v>0</v>
      </c>
      <c r="T606" s="233">
        <f>'임금대장 양식'!T606</f>
        <v>0</v>
      </c>
      <c r="U606" s="233">
        <f>'임금대장 양식'!U606</f>
        <v>0</v>
      </c>
    </row>
    <row r="607" spans="2:21" ht="21.5" customHeight="1">
      <c r="B607" s="234"/>
      <c r="C607" s="234">
        <v>0</v>
      </c>
      <c r="D607" s="210">
        <f>'임금대장 양식'!D607</f>
        <v>0</v>
      </c>
      <c r="E607" s="235"/>
      <c r="F607" s="236"/>
      <c r="G607" s="237"/>
      <c r="H607" s="238"/>
      <c r="I607" s="238"/>
      <c r="J607" s="239">
        <f t="shared" ref="J607:J670" si="3286">ROUND(J606*(365/12/7)*IF($S$4="5인 이상",1.5,1),0)</f>
        <v>0</v>
      </c>
      <c r="K607" s="239">
        <f t="shared" ref="K607:K670" si="3287">ROUND(K606*IF($S$4="5인 이상",1.5,1),0)</f>
        <v>0</v>
      </c>
      <c r="L607" s="239">
        <f t="shared" ref="L607:L670" si="3288">ROUND(L606*IF($S$4="5인 이상",1.5,1)+L606*IF($S$4="5인 이상",0.5,1),0)</f>
        <v>0</v>
      </c>
      <c r="M607" s="240"/>
      <c r="N607" s="236"/>
      <c r="O607" s="241"/>
      <c r="P607" s="241"/>
      <c r="Q607" s="241"/>
      <c r="R607" s="241"/>
      <c r="S607" s="241"/>
      <c r="T607" s="241"/>
      <c r="U607" s="241"/>
    </row>
    <row r="608" spans="2:21" ht="21.5" customHeight="1">
      <c r="B608" s="225">
        <f>'임금대장 양식'!B608</f>
        <v>0</v>
      </c>
      <c r="C608" s="225" cm="1">
        <f t="array" ref="C608:C609">'임금대장 양식'!C608:C609</f>
        <v>0</v>
      </c>
      <c r="D608" s="225">
        <f>'임금대장 양식'!D608</f>
        <v>0</v>
      </c>
      <c r="E608" s="226">
        <f>'임금대장 양식'!E608</f>
        <v>0</v>
      </c>
      <c r="F608" s="227">
        <f>'임금대장 양식'!F608</f>
        <v>0</v>
      </c>
      <c r="G608" s="228">
        <f t="shared" ref="G608" si="3289">IFERROR((F608)/M608,0)</f>
        <v>0</v>
      </c>
      <c r="H608" s="229">
        <f t="shared" ref="H608:H671" si="3290">IF(F608=0,0,ROUND((8*5)*(365/12/7),0))</f>
        <v>0</v>
      </c>
      <c r="I608" s="229">
        <f t="shared" ref="I608:I671" si="3291">IF(F608=0,0,ROUND(8*365/12/7,0))</f>
        <v>0</v>
      </c>
      <c r="J608" s="230">
        <f>'임금대장 양식'!J608</f>
        <v>0</v>
      </c>
      <c r="K608" s="231">
        <f>'임금대장 양식'!K608</f>
        <v>0</v>
      </c>
      <c r="L608" s="231">
        <f>'임금대장 양식'!L608</f>
        <v>0</v>
      </c>
      <c r="M608" s="232">
        <f t="shared" ref="M608:M671" si="3292">H608+I608+J609+K609+L609</f>
        <v>0</v>
      </c>
      <c r="N608" s="227">
        <f t="shared" ref="N608:N671" si="3293">IF(G608=0,0,G608*(H608+I608)-(R608+S608+T608+U608))</f>
        <v>0</v>
      </c>
      <c r="O608" s="233">
        <f t="shared" ref="O608:O671" si="3294">G608*J609</f>
        <v>0</v>
      </c>
      <c r="P608" s="233">
        <f t="shared" ref="P608:P671" si="3295">G608*K609</f>
        <v>0</v>
      </c>
      <c r="Q608" s="233">
        <f t="shared" ref="Q608:Q671" si="3296">G608*L609</f>
        <v>0</v>
      </c>
      <c r="R608" s="233">
        <f>'임금대장 양식'!R608</f>
        <v>0</v>
      </c>
      <c r="S608" s="233">
        <f>'임금대장 양식'!S608</f>
        <v>0</v>
      </c>
      <c r="T608" s="233">
        <f>'임금대장 양식'!T608</f>
        <v>0</v>
      </c>
      <c r="U608" s="233">
        <f>'임금대장 양식'!U608</f>
        <v>0</v>
      </c>
    </row>
    <row r="609" spans="2:21" ht="21.5" customHeight="1">
      <c r="B609" s="234"/>
      <c r="C609" s="234">
        <v>0</v>
      </c>
      <c r="D609" s="210">
        <f>'임금대장 양식'!D609</f>
        <v>0</v>
      </c>
      <c r="E609" s="235"/>
      <c r="F609" s="236"/>
      <c r="G609" s="237"/>
      <c r="H609" s="238"/>
      <c r="I609" s="238"/>
      <c r="J609" s="239">
        <f t="shared" ref="J609:J672" si="3297">ROUND(J608*(365/12/7)*IF($S$4="5인 이상",1.5,1),0)</f>
        <v>0</v>
      </c>
      <c r="K609" s="239">
        <f t="shared" ref="K609:K672" si="3298">ROUND(K608*IF($S$4="5인 이상",1.5,1),0)</f>
        <v>0</v>
      </c>
      <c r="L609" s="239">
        <f t="shared" ref="L609:L672" si="3299">ROUND(L608*IF($S$4="5인 이상",1.5,1)+L608*IF($S$4="5인 이상",0.5,1),0)</f>
        <v>0</v>
      </c>
      <c r="M609" s="240"/>
      <c r="N609" s="236"/>
      <c r="O609" s="241"/>
      <c r="P609" s="241"/>
      <c r="Q609" s="241"/>
      <c r="R609" s="241"/>
      <c r="S609" s="241"/>
      <c r="T609" s="241"/>
      <c r="U609" s="241"/>
    </row>
    <row r="610" spans="2:21" ht="21.5" customHeight="1">
      <c r="B610" s="225">
        <f>'임금대장 양식'!B610</f>
        <v>0</v>
      </c>
      <c r="C610" s="225" cm="1">
        <f t="array" ref="C610:C611">'임금대장 양식'!C610:C611</f>
        <v>0</v>
      </c>
      <c r="D610" s="225">
        <f>'임금대장 양식'!D610</f>
        <v>0</v>
      </c>
      <c r="E610" s="226">
        <f>'임금대장 양식'!E610</f>
        <v>0</v>
      </c>
      <c r="F610" s="227">
        <f>'임금대장 양식'!F610</f>
        <v>0</v>
      </c>
      <c r="G610" s="228">
        <f t="shared" ref="G610" si="3300">IFERROR((F610)/M610,0)</f>
        <v>0</v>
      </c>
      <c r="H610" s="229">
        <f t="shared" ref="H610:H673" si="3301">IF(F610=0,0,ROUND((8*5)*(365/12/7),0))</f>
        <v>0</v>
      </c>
      <c r="I610" s="229">
        <f t="shared" ref="I610:I673" si="3302">IF(F610=0,0,ROUND(8*365/12/7,0))</f>
        <v>0</v>
      </c>
      <c r="J610" s="230">
        <f>'임금대장 양식'!J610</f>
        <v>0</v>
      </c>
      <c r="K610" s="231">
        <f>'임금대장 양식'!K610</f>
        <v>0</v>
      </c>
      <c r="L610" s="231">
        <f>'임금대장 양식'!L610</f>
        <v>0</v>
      </c>
      <c r="M610" s="232">
        <f t="shared" ref="M610:M673" si="3303">H610+I610+J611+K611+L611</f>
        <v>0</v>
      </c>
      <c r="N610" s="227">
        <f t="shared" ref="N610:N673" si="3304">IF(G610=0,0,G610*(H610+I610)-(R610+S610+T610+U610))</f>
        <v>0</v>
      </c>
      <c r="O610" s="233">
        <f t="shared" ref="O610:O673" si="3305">G610*J611</f>
        <v>0</v>
      </c>
      <c r="P610" s="233">
        <f t="shared" ref="P610:P673" si="3306">G610*K611</f>
        <v>0</v>
      </c>
      <c r="Q610" s="233">
        <f t="shared" ref="Q610:Q673" si="3307">G610*L611</f>
        <v>0</v>
      </c>
      <c r="R610" s="233">
        <f>'임금대장 양식'!R610</f>
        <v>0</v>
      </c>
      <c r="S610" s="233">
        <f>'임금대장 양식'!S610</f>
        <v>0</v>
      </c>
      <c r="T610" s="233">
        <f>'임금대장 양식'!T610</f>
        <v>0</v>
      </c>
      <c r="U610" s="233">
        <f>'임금대장 양식'!U610</f>
        <v>0</v>
      </c>
    </row>
    <row r="611" spans="2:21" ht="21.5" customHeight="1">
      <c r="B611" s="234"/>
      <c r="C611" s="234">
        <v>0</v>
      </c>
      <c r="D611" s="210">
        <f>'임금대장 양식'!D611</f>
        <v>0</v>
      </c>
      <c r="E611" s="235"/>
      <c r="F611" s="236"/>
      <c r="G611" s="237"/>
      <c r="H611" s="238"/>
      <c r="I611" s="238"/>
      <c r="J611" s="239">
        <f t="shared" ref="J611:J674" si="3308">ROUND(J610*(365/12/7)*IF($S$4="5인 이상",1.5,1),0)</f>
        <v>0</v>
      </c>
      <c r="K611" s="239">
        <f t="shared" ref="K611:K674" si="3309">ROUND(K610*IF($S$4="5인 이상",1.5,1),0)</f>
        <v>0</v>
      </c>
      <c r="L611" s="239">
        <f t="shared" ref="L611:L674" si="3310">ROUND(L610*IF($S$4="5인 이상",1.5,1)+L610*IF($S$4="5인 이상",0.5,1),0)</f>
        <v>0</v>
      </c>
      <c r="M611" s="240"/>
      <c r="N611" s="236"/>
      <c r="O611" s="241"/>
      <c r="P611" s="241"/>
      <c r="Q611" s="241"/>
      <c r="R611" s="241"/>
      <c r="S611" s="241"/>
      <c r="T611" s="241"/>
      <c r="U611" s="241"/>
    </row>
    <row r="612" spans="2:21" ht="21.5" customHeight="1">
      <c r="B612" s="225">
        <f>'임금대장 양식'!B612</f>
        <v>0</v>
      </c>
      <c r="C612" s="225" cm="1">
        <f t="array" ref="C612:C613">'임금대장 양식'!C612:C613</f>
        <v>0</v>
      </c>
      <c r="D612" s="225">
        <f>'임금대장 양식'!D612</f>
        <v>0</v>
      </c>
      <c r="E612" s="226">
        <f>'임금대장 양식'!E612</f>
        <v>0</v>
      </c>
      <c r="F612" s="227">
        <f>'임금대장 양식'!F612</f>
        <v>0</v>
      </c>
      <c r="G612" s="228">
        <f t="shared" ref="G612" si="3311">IFERROR((F612)/M612,0)</f>
        <v>0</v>
      </c>
      <c r="H612" s="229">
        <f t="shared" ref="H612:H675" si="3312">IF(F612=0,0,ROUND((8*5)*(365/12/7),0))</f>
        <v>0</v>
      </c>
      <c r="I612" s="229">
        <f t="shared" ref="I612:I675" si="3313">IF(F612=0,0,ROUND(8*365/12/7,0))</f>
        <v>0</v>
      </c>
      <c r="J612" s="230">
        <f>'임금대장 양식'!J612</f>
        <v>0</v>
      </c>
      <c r="K612" s="231">
        <f>'임금대장 양식'!K612</f>
        <v>0</v>
      </c>
      <c r="L612" s="231">
        <f>'임금대장 양식'!L612</f>
        <v>0</v>
      </c>
      <c r="M612" s="232">
        <f t="shared" ref="M612:M675" si="3314">H612+I612+J613+K613+L613</f>
        <v>0</v>
      </c>
      <c r="N612" s="227">
        <f t="shared" ref="N612:N675" si="3315">IF(G612=0,0,G612*(H612+I612)-(R612+S612+T612+U612))</f>
        <v>0</v>
      </c>
      <c r="O612" s="233">
        <f t="shared" ref="O612:O675" si="3316">G612*J613</f>
        <v>0</v>
      </c>
      <c r="P612" s="233">
        <f t="shared" ref="P612:P675" si="3317">G612*K613</f>
        <v>0</v>
      </c>
      <c r="Q612" s="233">
        <f t="shared" ref="Q612:Q675" si="3318">G612*L613</f>
        <v>0</v>
      </c>
      <c r="R612" s="233">
        <f>'임금대장 양식'!R612</f>
        <v>0</v>
      </c>
      <c r="S612" s="233">
        <f>'임금대장 양식'!S612</f>
        <v>0</v>
      </c>
      <c r="T612" s="233">
        <f>'임금대장 양식'!T612</f>
        <v>0</v>
      </c>
      <c r="U612" s="233">
        <f>'임금대장 양식'!U612</f>
        <v>0</v>
      </c>
    </row>
    <row r="613" spans="2:21" ht="21.5" customHeight="1">
      <c r="B613" s="234"/>
      <c r="C613" s="234">
        <v>0</v>
      </c>
      <c r="D613" s="210">
        <f>'임금대장 양식'!D613</f>
        <v>0</v>
      </c>
      <c r="E613" s="235"/>
      <c r="F613" s="236"/>
      <c r="G613" s="237"/>
      <c r="H613" s="238"/>
      <c r="I613" s="238"/>
      <c r="J613" s="239">
        <f t="shared" ref="J613:J676" si="3319">ROUND(J612*(365/12/7)*IF($S$4="5인 이상",1.5,1),0)</f>
        <v>0</v>
      </c>
      <c r="K613" s="239">
        <f t="shared" ref="K613:K676" si="3320">ROUND(K612*IF($S$4="5인 이상",1.5,1),0)</f>
        <v>0</v>
      </c>
      <c r="L613" s="239">
        <f t="shared" ref="L613:L676" si="3321">ROUND(L612*IF($S$4="5인 이상",1.5,1)+L612*IF($S$4="5인 이상",0.5,1),0)</f>
        <v>0</v>
      </c>
      <c r="M613" s="240"/>
      <c r="N613" s="236"/>
      <c r="O613" s="241"/>
      <c r="P613" s="241"/>
      <c r="Q613" s="241"/>
      <c r="R613" s="241"/>
      <c r="S613" s="241"/>
      <c r="T613" s="241"/>
      <c r="U613" s="241"/>
    </row>
    <row r="614" spans="2:21" ht="21.5" customHeight="1">
      <c r="B614" s="225">
        <f>'임금대장 양식'!B614</f>
        <v>0</v>
      </c>
      <c r="C614" s="225" cm="1">
        <f t="array" ref="C614:C615">'임금대장 양식'!C614:C615</f>
        <v>0</v>
      </c>
      <c r="D614" s="225">
        <f>'임금대장 양식'!D614</f>
        <v>0</v>
      </c>
      <c r="E614" s="226">
        <f>'임금대장 양식'!E614</f>
        <v>0</v>
      </c>
      <c r="F614" s="227">
        <f>'임금대장 양식'!F614</f>
        <v>0</v>
      </c>
      <c r="G614" s="228">
        <f t="shared" ref="G614" si="3322">IFERROR((F614)/M614,0)</f>
        <v>0</v>
      </c>
      <c r="H614" s="229">
        <f t="shared" ref="H614:H677" si="3323">IF(F614=0,0,ROUND((8*5)*(365/12/7),0))</f>
        <v>0</v>
      </c>
      <c r="I614" s="229">
        <f t="shared" ref="I614:I677" si="3324">IF(F614=0,0,ROUND(8*365/12/7,0))</f>
        <v>0</v>
      </c>
      <c r="J614" s="230">
        <f>'임금대장 양식'!J614</f>
        <v>0</v>
      </c>
      <c r="K614" s="231">
        <f>'임금대장 양식'!K614</f>
        <v>0</v>
      </c>
      <c r="L614" s="231">
        <f>'임금대장 양식'!L614</f>
        <v>0</v>
      </c>
      <c r="M614" s="232">
        <f t="shared" ref="M614:M677" si="3325">H614+I614+J615+K615+L615</f>
        <v>0</v>
      </c>
      <c r="N614" s="227">
        <f t="shared" ref="N614:N677" si="3326">IF(G614=0,0,G614*(H614+I614)-(R614+S614+T614+U614))</f>
        <v>0</v>
      </c>
      <c r="O614" s="233">
        <f t="shared" ref="O614:O677" si="3327">G614*J615</f>
        <v>0</v>
      </c>
      <c r="P614" s="233">
        <f t="shared" ref="P614:P677" si="3328">G614*K615</f>
        <v>0</v>
      </c>
      <c r="Q614" s="233">
        <f t="shared" ref="Q614:Q677" si="3329">G614*L615</f>
        <v>0</v>
      </c>
      <c r="R614" s="233">
        <f>'임금대장 양식'!R614</f>
        <v>0</v>
      </c>
      <c r="S614" s="233">
        <f>'임금대장 양식'!S614</f>
        <v>0</v>
      </c>
      <c r="T614" s="233">
        <f>'임금대장 양식'!T614</f>
        <v>0</v>
      </c>
      <c r="U614" s="233">
        <f>'임금대장 양식'!U614</f>
        <v>0</v>
      </c>
    </row>
    <row r="615" spans="2:21" ht="21.5" customHeight="1">
      <c r="B615" s="234"/>
      <c r="C615" s="234">
        <v>0</v>
      </c>
      <c r="D615" s="210">
        <f>'임금대장 양식'!D615</f>
        <v>0</v>
      </c>
      <c r="E615" s="235"/>
      <c r="F615" s="236"/>
      <c r="G615" s="237"/>
      <c r="H615" s="238"/>
      <c r="I615" s="238"/>
      <c r="J615" s="239">
        <f t="shared" ref="J615:J678" si="3330">ROUND(J614*(365/12/7)*IF($S$4="5인 이상",1.5,1),0)</f>
        <v>0</v>
      </c>
      <c r="K615" s="239">
        <f t="shared" ref="K615:K678" si="3331">ROUND(K614*IF($S$4="5인 이상",1.5,1),0)</f>
        <v>0</v>
      </c>
      <c r="L615" s="239">
        <f t="shared" ref="L615:L678" si="3332">ROUND(L614*IF($S$4="5인 이상",1.5,1)+L614*IF($S$4="5인 이상",0.5,1),0)</f>
        <v>0</v>
      </c>
      <c r="M615" s="240"/>
      <c r="N615" s="236"/>
      <c r="O615" s="241"/>
      <c r="P615" s="241"/>
      <c r="Q615" s="241"/>
      <c r="R615" s="241"/>
      <c r="S615" s="241"/>
      <c r="T615" s="241"/>
      <c r="U615" s="241"/>
    </row>
    <row r="616" spans="2:21" ht="21.5" customHeight="1">
      <c r="B616" s="225">
        <f>'임금대장 양식'!B616</f>
        <v>0</v>
      </c>
      <c r="C616" s="225" cm="1">
        <f t="array" ref="C616:C617">'임금대장 양식'!C616:C617</f>
        <v>0</v>
      </c>
      <c r="D616" s="225">
        <f>'임금대장 양식'!D616</f>
        <v>0</v>
      </c>
      <c r="E616" s="226">
        <f>'임금대장 양식'!E616</f>
        <v>0</v>
      </c>
      <c r="F616" s="227">
        <f>'임금대장 양식'!F616</f>
        <v>0</v>
      </c>
      <c r="G616" s="228">
        <f t="shared" ref="G616" si="3333">IFERROR((F616)/M616,0)</f>
        <v>0</v>
      </c>
      <c r="H616" s="229">
        <f t="shared" ref="H616:H679" si="3334">IF(F616=0,0,ROUND((8*5)*(365/12/7),0))</f>
        <v>0</v>
      </c>
      <c r="I616" s="229">
        <f t="shared" ref="I616:I679" si="3335">IF(F616=0,0,ROUND(8*365/12/7,0))</f>
        <v>0</v>
      </c>
      <c r="J616" s="230">
        <f>'임금대장 양식'!J616</f>
        <v>0</v>
      </c>
      <c r="K616" s="231">
        <f>'임금대장 양식'!K616</f>
        <v>0</v>
      </c>
      <c r="L616" s="231">
        <f>'임금대장 양식'!L616</f>
        <v>0</v>
      </c>
      <c r="M616" s="232">
        <f t="shared" ref="M616:M679" si="3336">H616+I616+J617+K617+L617</f>
        <v>0</v>
      </c>
      <c r="N616" s="227">
        <f t="shared" ref="N616:N679" si="3337">IF(G616=0,0,G616*(H616+I616)-(R616+S616+T616+U616))</f>
        <v>0</v>
      </c>
      <c r="O616" s="233">
        <f t="shared" ref="O616:O679" si="3338">G616*J617</f>
        <v>0</v>
      </c>
      <c r="P616" s="233">
        <f t="shared" ref="P616:P679" si="3339">G616*K617</f>
        <v>0</v>
      </c>
      <c r="Q616" s="233">
        <f t="shared" ref="Q616:Q679" si="3340">G616*L617</f>
        <v>0</v>
      </c>
      <c r="R616" s="233">
        <f>'임금대장 양식'!R616</f>
        <v>0</v>
      </c>
      <c r="S616" s="233">
        <f>'임금대장 양식'!S616</f>
        <v>0</v>
      </c>
      <c r="T616" s="233">
        <f>'임금대장 양식'!T616</f>
        <v>0</v>
      </c>
      <c r="U616" s="233">
        <f>'임금대장 양식'!U616</f>
        <v>0</v>
      </c>
    </row>
    <row r="617" spans="2:21" ht="21.5" customHeight="1">
      <c r="B617" s="234"/>
      <c r="C617" s="234">
        <v>0</v>
      </c>
      <c r="D617" s="210">
        <f>'임금대장 양식'!D617</f>
        <v>0</v>
      </c>
      <c r="E617" s="235"/>
      <c r="F617" s="236"/>
      <c r="G617" s="237"/>
      <c r="H617" s="238"/>
      <c r="I617" s="238"/>
      <c r="J617" s="239">
        <f t="shared" ref="J617:J680" si="3341">ROUND(J616*(365/12/7)*IF($S$4="5인 이상",1.5,1),0)</f>
        <v>0</v>
      </c>
      <c r="K617" s="239">
        <f t="shared" ref="K617:K680" si="3342">ROUND(K616*IF($S$4="5인 이상",1.5,1),0)</f>
        <v>0</v>
      </c>
      <c r="L617" s="239">
        <f t="shared" ref="L617:L680" si="3343">ROUND(L616*IF($S$4="5인 이상",1.5,1)+L616*IF($S$4="5인 이상",0.5,1),0)</f>
        <v>0</v>
      </c>
      <c r="M617" s="240"/>
      <c r="N617" s="236"/>
      <c r="O617" s="241"/>
      <c r="P617" s="241"/>
      <c r="Q617" s="241"/>
      <c r="R617" s="241"/>
      <c r="S617" s="241"/>
      <c r="T617" s="241"/>
      <c r="U617" s="241"/>
    </row>
    <row r="618" spans="2:21" ht="21.5" customHeight="1">
      <c r="B618" s="225">
        <f>'임금대장 양식'!B618</f>
        <v>0</v>
      </c>
      <c r="C618" s="225" cm="1">
        <f t="array" ref="C618:C619">'임금대장 양식'!C618:C619</f>
        <v>0</v>
      </c>
      <c r="D618" s="225">
        <f>'임금대장 양식'!D618</f>
        <v>0</v>
      </c>
      <c r="E618" s="226">
        <f>'임금대장 양식'!E618</f>
        <v>0</v>
      </c>
      <c r="F618" s="227">
        <f>'임금대장 양식'!F618</f>
        <v>0</v>
      </c>
      <c r="G618" s="228">
        <f t="shared" ref="G618" si="3344">IFERROR((F618)/M618,0)</f>
        <v>0</v>
      </c>
      <c r="H618" s="229">
        <f t="shared" ref="H618:H681" si="3345">IF(F618=0,0,ROUND((8*5)*(365/12/7),0))</f>
        <v>0</v>
      </c>
      <c r="I618" s="229">
        <f t="shared" ref="I618:I681" si="3346">IF(F618=0,0,ROUND(8*365/12/7,0))</f>
        <v>0</v>
      </c>
      <c r="J618" s="230">
        <f>'임금대장 양식'!J618</f>
        <v>0</v>
      </c>
      <c r="K618" s="231">
        <f>'임금대장 양식'!K618</f>
        <v>0</v>
      </c>
      <c r="L618" s="231">
        <f>'임금대장 양식'!L618</f>
        <v>0</v>
      </c>
      <c r="M618" s="232">
        <f t="shared" ref="M618:M681" si="3347">H618+I618+J619+K619+L619</f>
        <v>0</v>
      </c>
      <c r="N618" s="227">
        <f t="shared" ref="N618:N681" si="3348">IF(G618=0,0,G618*(H618+I618)-(R618+S618+T618+U618))</f>
        <v>0</v>
      </c>
      <c r="O618" s="233">
        <f t="shared" ref="O618:O681" si="3349">G618*J619</f>
        <v>0</v>
      </c>
      <c r="P618" s="233">
        <f t="shared" ref="P618:P681" si="3350">G618*K619</f>
        <v>0</v>
      </c>
      <c r="Q618" s="233">
        <f t="shared" ref="Q618:Q681" si="3351">G618*L619</f>
        <v>0</v>
      </c>
      <c r="R618" s="233">
        <f>'임금대장 양식'!R618</f>
        <v>0</v>
      </c>
      <c r="S618" s="233">
        <f>'임금대장 양식'!S618</f>
        <v>0</v>
      </c>
      <c r="T618" s="233">
        <f>'임금대장 양식'!T618</f>
        <v>0</v>
      </c>
      <c r="U618" s="233">
        <f>'임금대장 양식'!U618</f>
        <v>0</v>
      </c>
    </row>
    <row r="619" spans="2:21" ht="21.5" customHeight="1">
      <c r="B619" s="234"/>
      <c r="C619" s="234">
        <v>0</v>
      </c>
      <c r="D619" s="210">
        <f>'임금대장 양식'!D619</f>
        <v>0</v>
      </c>
      <c r="E619" s="235"/>
      <c r="F619" s="236"/>
      <c r="G619" s="237"/>
      <c r="H619" s="238"/>
      <c r="I619" s="238"/>
      <c r="J619" s="239">
        <f t="shared" ref="J619:J682" si="3352">ROUND(J618*(365/12/7)*IF($S$4="5인 이상",1.5,1),0)</f>
        <v>0</v>
      </c>
      <c r="K619" s="239">
        <f t="shared" ref="K619:K682" si="3353">ROUND(K618*IF($S$4="5인 이상",1.5,1),0)</f>
        <v>0</v>
      </c>
      <c r="L619" s="239">
        <f t="shared" ref="L619:L682" si="3354">ROUND(L618*IF($S$4="5인 이상",1.5,1)+L618*IF($S$4="5인 이상",0.5,1),0)</f>
        <v>0</v>
      </c>
      <c r="M619" s="240"/>
      <c r="N619" s="236"/>
      <c r="O619" s="241"/>
      <c r="P619" s="241"/>
      <c r="Q619" s="241"/>
      <c r="R619" s="241"/>
      <c r="S619" s="241"/>
      <c r="T619" s="241"/>
      <c r="U619" s="241"/>
    </row>
    <row r="620" spans="2:21" ht="21.5" customHeight="1">
      <c r="B620" s="225">
        <f>'임금대장 양식'!B620</f>
        <v>0</v>
      </c>
      <c r="C620" s="225" cm="1">
        <f t="array" ref="C620:C621">'임금대장 양식'!C620:C621</f>
        <v>0</v>
      </c>
      <c r="D620" s="225">
        <f>'임금대장 양식'!D620</f>
        <v>0</v>
      </c>
      <c r="E620" s="226">
        <f>'임금대장 양식'!E620</f>
        <v>0</v>
      </c>
      <c r="F620" s="227">
        <f>'임금대장 양식'!F620</f>
        <v>0</v>
      </c>
      <c r="G620" s="228">
        <f t="shared" ref="G620" si="3355">IFERROR((F620)/M620,0)</f>
        <v>0</v>
      </c>
      <c r="H620" s="229">
        <f t="shared" ref="H620:H683" si="3356">IF(F620=0,0,ROUND((8*5)*(365/12/7),0))</f>
        <v>0</v>
      </c>
      <c r="I620" s="229">
        <f t="shared" ref="I620:I683" si="3357">IF(F620=0,0,ROUND(8*365/12/7,0))</f>
        <v>0</v>
      </c>
      <c r="J620" s="230">
        <f>'임금대장 양식'!J620</f>
        <v>0</v>
      </c>
      <c r="K620" s="231">
        <f>'임금대장 양식'!K620</f>
        <v>0</v>
      </c>
      <c r="L620" s="231">
        <f>'임금대장 양식'!L620</f>
        <v>0</v>
      </c>
      <c r="M620" s="232">
        <f t="shared" ref="M620:M683" si="3358">H620+I620+J621+K621+L621</f>
        <v>0</v>
      </c>
      <c r="N620" s="227">
        <f t="shared" ref="N620:N683" si="3359">IF(G620=0,0,G620*(H620+I620)-(R620+S620+T620+U620))</f>
        <v>0</v>
      </c>
      <c r="O620" s="233">
        <f t="shared" ref="O620:O683" si="3360">G620*J621</f>
        <v>0</v>
      </c>
      <c r="P620" s="233">
        <f t="shared" ref="P620:P683" si="3361">G620*K621</f>
        <v>0</v>
      </c>
      <c r="Q620" s="233">
        <f t="shared" ref="Q620:Q683" si="3362">G620*L621</f>
        <v>0</v>
      </c>
      <c r="R620" s="233">
        <f>'임금대장 양식'!R620</f>
        <v>0</v>
      </c>
      <c r="S620" s="233">
        <f>'임금대장 양식'!S620</f>
        <v>0</v>
      </c>
      <c r="T620" s="233">
        <f>'임금대장 양식'!T620</f>
        <v>0</v>
      </c>
      <c r="U620" s="233">
        <f>'임금대장 양식'!U620</f>
        <v>0</v>
      </c>
    </row>
    <row r="621" spans="2:21" ht="21.5" customHeight="1">
      <c r="B621" s="234"/>
      <c r="C621" s="234">
        <v>0</v>
      </c>
      <c r="D621" s="210">
        <f>'임금대장 양식'!D621</f>
        <v>0</v>
      </c>
      <c r="E621" s="235"/>
      <c r="F621" s="236"/>
      <c r="G621" s="237"/>
      <c r="H621" s="238"/>
      <c r="I621" s="238"/>
      <c r="J621" s="239">
        <f t="shared" ref="J621:J684" si="3363">ROUND(J620*(365/12/7)*IF($S$4="5인 이상",1.5,1),0)</f>
        <v>0</v>
      </c>
      <c r="K621" s="239">
        <f t="shared" ref="K621:K684" si="3364">ROUND(K620*IF($S$4="5인 이상",1.5,1),0)</f>
        <v>0</v>
      </c>
      <c r="L621" s="239">
        <f t="shared" ref="L621:L684" si="3365">ROUND(L620*IF($S$4="5인 이상",1.5,1)+L620*IF($S$4="5인 이상",0.5,1),0)</f>
        <v>0</v>
      </c>
      <c r="M621" s="240"/>
      <c r="N621" s="236"/>
      <c r="O621" s="241"/>
      <c r="P621" s="241"/>
      <c r="Q621" s="241"/>
      <c r="R621" s="241"/>
      <c r="S621" s="241"/>
      <c r="T621" s="241"/>
      <c r="U621" s="241"/>
    </row>
    <row r="622" spans="2:21" ht="21.5" customHeight="1">
      <c r="B622" s="225">
        <f>'임금대장 양식'!B622</f>
        <v>0</v>
      </c>
      <c r="C622" s="225" cm="1">
        <f t="array" ref="C622:C623">'임금대장 양식'!C622:C623</f>
        <v>0</v>
      </c>
      <c r="D622" s="225">
        <f>'임금대장 양식'!D622</f>
        <v>0</v>
      </c>
      <c r="E622" s="226">
        <f>'임금대장 양식'!E622</f>
        <v>0</v>
      </c>
      <c r="F622" s="227">
        <f>'임금대장 양식'!F622</f>
        <v>0</v>
      </c>
      <c r="G622" s="228">
        <f t="shared" ref="G622" si="3366">IFERROR((F622)/M622,0)</f>
        <v>0</v>
      </c>
      <c r="H622" s="229">
        <f t="shared" ref="H622:H685" si="3367">IF(F622=0,0,ROUND((8*5)*(365/12/7),0))</f>
        <v>0</v>
      </c>
      <c r="I622" s="229">
        <f t="shared" ref="I622:I685" si="3368">IF(F622=0,0,ROUND(8*365/12/7,0))</f>
        <v>0</v>
      </c>
      <c r="J622" s="230">
        <f>'임금대장 양식'!J622</f>
        <v>0</v>
      </c>
      <c r="K622" s="231">
        <f>'임금대장 양식'!K622</f>
        <v>0</v>
      </c>
      <c r="L622" s="231">
        <f>'임금대장 양식'!L622</f>
        <v>0</v>
      </c>
      <c r="M622" s="232">
        <f t="shared" ref="M622:M685" si="3369">H622+I622+J623+K623+L623</f>
        <v>0</v>
      </c>
      <c r="N622" s="227">
        <f t="shared" ref="N622:N685" si="3370">IF(G622=0,0,G622*(H622+I622)-(R622+S622+T622+U622))</f>
        <v>0</v>
      </c>
      <c r="O622" s="233">
        <f t="shared" ref="O622:O685" si="3371">G622*J623</f>
        <v>0</v>
      </c>
      <c r="P622" s="233">
        <f t="shared" ref="P622:P685" si="3372">G622*K623</f>
        <v>0</v>
      </c>
      <c r="Q622" s="233">
        <f t="shared" ref="Q622:Q685" si="3373">G622*L623</f>
        <v>0</v>
      </c>
      <c r="R622" s="233">
        <f>'임금대장 양식'!R622</f>
        <v>0</v>
      </c>
      <c r="S622" s="233">
        <f>'임금대장 양식'!S622</f>
        <v>0</v>
      </c>
      <c r="T622" s="233">
        <f>'임금대장 양식'!T622</f>
        <v>0</v>
      </c>
      <c r="U622" s="233">
        <f>'임금대장 양식'!U622</f>
        <v>0</v>
      </c>
    </row>
    <row r="623" spans="2:21" ht="21.5" customHeight="1">
      <c r="B623" s="234"/>
      <c r="C623" s="234">
        <v>0</v>
      </c>
      <c r="D623" s="210">
        <f>'임금대장 양식'!D623</f>
        <v>0</v>
      </c>
      <c r="E623" s="235"/>
      <c r="F623" s="236"/>
      <c r="G623" s="237"/>
      <c r="H623" s="238"/>
      <c r="I623" s="238"/>
      <c r="J623" s="239">
        <f t="shared" ref="J623:J686" si="3374">ROUND(J622*(365/12/7)*IF($S$4="5인 이상",1.5,1),0)</f>
        <v>0</v>
      </c>
      <c r="K623" s="239">
        <f t="shared" ref="K623:K686" si="3375">ROUND(K622*IF($S$4="5인 이상",1.5,1),0)</f>
        <v>0</v>
      </c>
      <c r="L623" s="239">
        <f t="shared" ref="L623:L686" si="3376">ROUND(L622*IF($S$4="5인 이상",1.5,1)+L622*IF($S$4="5인 이상",0.5,1),0)</f>
        <v>0</v>
      </c>
      <c r="M623" s="240"/>
      <c r="N623" s="236"/>
      <c r="O623" s="241"/>
      <c r="P623" s="241"/>
      <c r="Q623" s="241"/>
      <c r="R623" s="241"/>
      <c r="S623" s="241"/>
      <c r="T623" s="241"/>
      <c r="U623" s="241"/>
    </row>
    <row r="624" spans="2:21" ht="21.5" customHeight="1">
      <c r="B624" s="225">
        <f>'임금대장 양식'!B624</f>
        <v>0</v>
      </c>
      <c r="C624" s="225" cm="1">
        <f t="array" ref="C624:C625">'임금대장 양식'!C624:C625</f>
        <v>0</v>
      </c>
      <c r="D624" s="225">
        <f>'임금대장 양식'!D624</f>
        <v>0</v>
      </c>
      <c r="E624" s="226">
        <f>'임금대장 양식'!E624</f>
        <v>0</v>
      </c>
      <c r="F624" s="227">
        <f>'임금대장 양식'!F624</f>
        <v>0</v>
      </c>
      <c r="G624" s="228">
        <f t="shared" ref="G624" si="3377">IFERROR((F624)/M624,0)</f>
        <v>0</v>
      </c>
      <c r="H624" s="229">
        <f t="shared" ref="H624:H687" si="3378">IF(F624=0,0,ROUND((8*5)*(365/12/7),0))</f>
        <v>0</v>
      </c>
      <c r="I624" s="229">
        <f t="shared" ref="I624:I687" si="3379">IF(F624=0,0,ROUND(8*365/12/7,0))</f>
        <v>0</v>
      </c>
      <c r="J624" s="230">
        <f>'임금대장 양식'!J624</f>
        <v>0</v>
      </c>
      <c r="K624" s="231">
        <f>'임금대장 양식'!K624</f>
        <v>0</v>
      </c>
      <c r="L624" s="231">
        <f>'임금대장 양식'!L624</f>
        <v>0</v>
      </c>
      <c r="M624" s="232">
        <f t="shared" ref="M624:M687" si="3380">H624+I624+J625+K625+L625</f>
        <v>0</v>
      </c>
      <c r="N624" s="227">
        <f t="shared" ref="N624:N687" si="3381">IF(G624=0,0,G624*(H624+I624)-(R624+S624+T624+U624))</f>
        <v>0</v>
      </c>
      <c r="O624" s="233">
        <f t="shared" ref="O624:O687" si="3382">G624*J625</f>
        <v>0</v>
      </c>
      <c r="P624" s="233">
        <f t="shared" ref="P624:P687" si="3383">G624*K625</f>
        <v>0</v>
      </c>
      <c r="Q624" s="233">
        <f t="shared" ref="Q624:Q687" si="3384">G624*L625</f>
        <v>0</v>
      </c>
      <c r="R624" s="233">
        <f>'임금대장 양식'!R624</f>
        <v>0</v>
      </c>
      <c r="S624" s="233">
        <f>'임금대장 양식'!S624</f>
        <v>0</v>
      </c>
      <c r="T624" s="233">
        <f>'임금대장 양식'!T624</f>
        <v>0</v>
      </c>
      <c r="U624" s="233">
        <f>'임금대장 양식'!U624</f>
        <v>0</v>
      </c>
    </row>
    <row r="625" spans="2:21" ht="21.5" customHeight="1">
      <c r="B625" s="234"/>
      <c r="C625" s="234">
        <v>0</v>
      </c>
      <c r="D625" s="210">
        <f>'임금대장 양식'!D625</f>
        <v>0</v>
      </c>
      <c r="E625" s="235"/>
      <c r="F625" s="236"/>
      <c r="G625" s="237"/>
      <c r="H625" s="238"/>
      <c r="I625" s="238"/>
      <c r="J625" s="239">
        <f t="shared" ref="J625:J688" si="3385">ROUND(J624*(365/12/7)*IF($S$4="5인 이상",1.5,1),0)</f>
        <v>0</v>
      </c>
      <c r="K625" s="239">
        <f t="shared" ref="K625:K688" si="3386">ROUND(K624*IF($S$4="5인 이상",1.5,1),0)</f>
        <v>0</v>
      </c>
      <c r="L625" s="239">
        <f t="shared" ref="L625:L688" si="3387">ROUND(L624*IF($S$4="5인 이상",1.5,1)+L624*IF($S$4="5인 이상",0.5,1),0)</f>
        <v>0</v>
      </c>
      <c r="M625" s="240"/>
      <c r="N625" s="236"/>
      <c r="O625" s="241"/>
      <c r="P625" s="241"/>
      <c r="Q625" s="241"/>
      <c r="R625" s="241"/>
      <c r="S625" s="241"/>
      <c r="T625" s="241"/>
      <c r="U625" s="241"/>
    </row>
    <row r="626" spans="2:21" ht="21.5" customHeight="1">
      <c r="B626" s="225">
        <f>'임금대장 양식'!B626</f>
        <v>0</v>
      </c>
      <c r="C626" s="225" cm="1">
        <f t="array" ref="C626:C627">'임금대장 양식'!C626:C627</f>
        <v>0</v>
      </c>
      <c r="D626" s="225">
        <f>'임금대장 양식'!D626</f>
        <v>0</v>
      </c>
      <c r="E626" s="226">
        <f>'임금대장 양식'!E626</f>
        <v>0</v>
      </c>
      <c r="F626" s="227">
        <f>'임금대장 양식'!F626</f>
        <v>0</v>
      </c>
      <c r="G626" s="228">
        <f t="shared" ref="G626" si="3388">IFERROR((F626)/M626,0)</f>
        <v>0</v>
      </c>
      <c r="H626" s="229">
        <f t="shared" ref="H626:H689" si="3389">IF(F626=0,0,ROUND((8*5)*(365/12/7),0))</f>
        <v>0</v>
      </c>
      <c r="I626" s="229">
        <f t="shared" ref="I626:I689" si="3390">IF(F626=0,0,ROUND(8*365/12/7,0))</f>
        <v>0</v>
      </c>
      <c r="J626" s="230">
        <f>'임금대장 양식'!J626</f>
        <v>0</v>
      </c>
      <c r="K626" s="231">
        <f>'임금대장 양식'!K626</f>
        <v>0</v>
      </c>
      <c r="L626" s="231">
        <f>'임금대장 양식'!L626</f>
        <v>0</v>
      </c>
      <c r="M626" s="232">
        <f t="shared" ref="M626:M689" si="3391">H626+I626+J627+K627+L627</f>
        <v>0</v>
      </c>
      <c r="N626" s="227">
        <f t="shared" ref="N626:N689" si="3392">IF(G626=0,0,G626*(H626+I626)-(R626+S626+T626+U626))</f>
        <v>0</v>
      </c>
      <c r="O626" s="233">
        <f t="shared" ref="O626:O689" si="3393">G626*J627</f>
        <v>0</v>
      </c>
      <c r="P626" s="233">
        <f t="shared" ref="P626:P689" si="3394">G626*K627</f>
        <v>0</v>
      </c>
      <c r="Q626" s="233">
        <f t="shared" ref="Q626:Q689" si="3395">G626*L627</f>
        <v>0</v>
      </c>
      <c r="R626" s="233">
        <f>'임금대장 양식'!R626</f>
        <v>0</v>
      </c>
      <c r="S626" s="233">
        <f>'임금대장 양식'!S626</f>
        <v>0</v>
      </c>
      <c r="T626" s="233">
        <f>'임금대장 양식'!T626</f>
        <v>0</v>
      </c>
      <c r="U626" s="233">
        <f>'임금대장 양식'!U626</f>
        <v>0</v>
      </c>
    </row>
    <row r="627" spans="2:21" ht="21.5" customHeight="1">
      <c r="B627" s="234"/>
      <c r="C627" s="234">
        <v>0</v>
      </c>
      <c r="D627" s="210">
        <f>'임금대장 양식'!D627</f>
        <v>0</v>
      </c>
      <c r="E627" s="235"/>
      <c r="F627" s="236"/>
      <c r="G627" s="237"/>
      <c r="H627" s="238"/>
      <c r="I627" s="238"/>
      <c r="J627" s="239">
        <f t="shared" ref="J627:J690" si="3396">ROUND(J626*(365/12/7)*IF($S$4="5인 이상",1.5,1),0)</f>
        <v>0</v>
      </c>
      <c r="K627" s="239">
        <f t="shared" ref="K627:K690" si="3397">ROUND(K626*IF($S$4="5인 이상",1.5,1),0)</f>
        <v>0</v>
      </c>
      <c r="L627" s="239">
        <f t="shared" ref="L627:L690" si="3398">ROUND(L626*IF($S$4="5인 이상",1.5,1)+L626*IF($S$4="5인 이상",0.5,1),0)</f>
        <v>0</v>
      </c>
      <c r="M627" s="240"/>
      <c r="N627" s="236"/>
      <c r="O627" s="241"/>
      <c r="P627" s="241"/>
      <c r="Q627" s="241"/>
      <c r="R627" s="241"/>
      <c r="S627" s="241"/>
      <c r="T627" s="241"/>
      <c r="U627" s="241"/>
    </row>
    <row r="628" spans="2:21" ht="21.5" customHeight="1">
      <c r="B628" s="225">
        <f>'임금대장 양식'!B628</f>
        <v>0</v>
      </c>
      <c r="C628" s="225" cm="1">
        <f t="array" ref="C628:C629">'임금대장 양식'!C628:C629</f>
        <v>0</v>
      </c>
      <c r="D628" s="225">
        <f>'임금대장 양식'!D628</f>
        <v>0</v>
      </c>
      <c r="E628" s="226">
        <f>'임금대장 양식'!E628</f>
        <v>0</v>
      </c>
      <c r="F628" s="227">
        <f>'임금대장 양식'!F628</f>
        <v>0</v>
      </c>
      <c r="G628" s="228">
        <f t="shared" ref="G628" si="3399">IFERROR((F628)/M628,0)</f>
        <v>0</v>
      </c>
      <c r="H628" s="229">
        <f t="shared" ref="H628:H691" si="3400">IF(F628=0,0,ROUND((8*5)*(365/12/7),0))</f>
        <v>0</v>
      </c>
      <c r="I628" s="229">
        <f t="shared" ref="I628:I691" si="3401">IF(F628=0,0,ROUND(8*365/12/7,0))</f>
        <v>0</v>
      </c>
      <c r="J628" s="230">
        <f>'임금대장 양식'!J628</f>
        <v>0</v>
      </c>
      <c r="K628" s="231">
        <f>'임금대장 양식'!K628</f>
        <v>0</v>
      </c>
      <c r="L628" s="231">
        <f>'임금대장 양식'!L628</f>
        <v>0</v>
      </c>
      <c r="M628" s="232">
        <f t="shared" ref="M628:M691" si="3402">H628+I628+J629+K629+L629</f>
        <v>0</v>
      </c>
      <c r="N628" s="227">
        <f t="shared" ref="N628:N691" si="3403">IF(G628=0,0,G628*(H628+I628)-(R628+S628+T628+U628))</f>
        <v>0</v>
      </c>
      <c r="O628" s="233">
        <f t="shared" ref="O628:O691" si="3404">G628*J629</f>
        <v>0</v>
      </c>
      <c r="P628" s="233">
        <f t="shared" ref="P628:P691" si="3405">G628*K629</f>
        <v>0</v>
      </c>
      <c r="Q628" s="233">
        <f t="shared" ref="Q628:Q691" si="3406">G628*L629</f>
        <v>0</v>
      </c>
      <c r="R628" s="233">
        <f>'임금대장 양식'!R628</f>
        <v>0</v>
      </c>
      <c r="S628" s="233">
        <f>'임금대장 양식'!S628</f>
        <v>0</v>
      </c>
      <c r="T628" s="233">
        <f>'임금대장 양식'!T628</f>
        <v>0</v>
      </c>
      <c r="U628" s="233">
        <f>'임금대장 양식'!U628</f>
        <v>0</v>
      </c>
    </row>
    <row r="629" spans="2:21" ht="21.5" customHeight="1">
      <c r="B629" s="234"/>
      <c r="C629" s="234">
        <v>0</v>
      </c>
      <c r="D629" s="210">
        <f>'임금대장 양식'!D629</f>
        <v>0</v>
      </c>
      <c r="E629" s="235"/>
      <c r="F629" s="236"/>
      <c r="G629" s="237"/>
      <c r="H629" s="238"/>
      <c r="I629" s="238"/>
      <c r="J629" s="239">
        <f t="shared" ref="J629:J691" si="3407">ROUND(J628*(365/12/7)*IF($S$4="5인 이상",1.5,1),0)</f>
        <v>0</v>
      </c>
      <c r="K629" s="239">
        <f t="shared" ref="K629:K691" si="3408">ROUND(K628*IF($S$4="5인 이상",1.5,1),0)</f>
        <v>0</v>
      </c>
      <c r="L629" s="239">
        <f t="shared" ref="L629:L691" si="3409">ROUND(L628*IF($S$4="5인 이상",1.5,1)+L628*IF($S$4="5인 이상",0.5,1),0)</f>
        <v>0</v>
      </c>
      <c r="M629" s="240"/>
      <c r="N629" s="236"/>
      <c r="O629" s="241"/>
      <c r="P629" s="241"/>
      <c r="Q629" s="241"/>
      <c r="R629" s="241"/>
      <c r="S629" s="241"/>
      <c r="T629" s="241"/>
      <c r="U629" s="241"/>
    </row>
    <row r="630" spans="2:21" ht="21.5" customHeight="1">
      <c r="B630" s="225">
        <f>'임금대장 양식'!B630</f>
        <v>0</v>
      </c>
      <c r="C630" s="225" cm="1">
        <f t="array" ref="C630:C631">'임금대장 양식'!C630:C631</f>
        <v>0</v>
      </c>
      <c r="D630" s="225">
        <f>'임금대장 양식'!D630</f>
        <v>0</v>
      </c>
      <c r="E630" s="226">
        <f>'임금대장 양식'!E630</f>
        <v>0</v>
      </c>
      <c r="F630" s="227">
        <f>'임금대장 양식'!F630</f>
        <v>0</v>
      </c>
      <c r="G630" s="228">
        <f t="shared" ref="G630" si="3410">IFERROR((F630)/M630,0)</f>
        <v>0</v>
      </c>
      <c r="H630" s="229">
        <f t="shared" ref="H630:H691" si="3411">IF(F630=0,0,ROUND((8*5)*(365/12/7),0))</f>
        <v>0</v>
      </c>
      <c r="I630" s="229">
        <f t="shared" ref="I630:I691" si="3412">IF(F630=0,0,ROUND(8*365/12/7,0))</f>
        <v>0</v>
      </c>
      <c r="J630" s="230">
        <f>'임금대장 양식'!J630</f>
        <v>0</v>
      </c>
      <c r="K630" s="231">
        <f>'임금대장 양식'!K630</f>
        <v>0</v>
      </c>
      <c r="L630" s="231">
        <f>'임금대장 양식'!L630</f>
        <v>0</v>
      </c>
      <c r="M630" s="232">
        <f t="shared" ref="M630:M691" si="3413">H630+I630+J631+K631+L631</f>
        <v>0</v>
      </c>
      <c r="N630" s="227">
        <f t="shared" ref="N630:N691" si="3414">IF(G630=0,0,G630*(H630+I630)-(R630+S630+T630+U630))</f>
        <v>0</v>
      </c>
      <c r="O630" s="233">
        <f t="shared" ref="O630:O691" si="3415">G630*J631</f>
        <v>0</v>
      </c>
      <c r="P630" s="233">
        <f t="shared" ref="P630:P691" si="3416">G630*K631</f>
        <v>0</v>
      </c>
      <c r="Q630" s="233">
        <f t="shared" ref="Q630:Q691" si="3417">G630*L631</f>
        <v>0</v>
      </c>
      <c r="R630" s="233">
        <f>'임금대장 양식'!R630</f>
        <v>0</v>
      </c>
      <c r="S630" s="233">
        <f>'임금대장 양식'!S630</f>
        <v>0</v>
      </c>
      <c r="T630" s="233">
        <f>'임금대장 양식'!T630</f>
        <v>0</v>
      </c>
      <c r="U630" s="233">
        <f>'임금대장 양식'!U630</f>
        <v>0</v>
      </c>
    </row>
    <row r="631" spans="2:21" ht="21.5" customHeight="1">
      <c r="B631" s="234"/>
      <c r="C631" s="234">
        <v>0</v>
      </c>
      <c r="D631" s="210">
        <f>'임금대장 양식'!D631</f>
        <v>0</v>
      </c>
      <c r="E631" s="235"/>
      <c r="F631" s="236"/>
      <c r="G631" s="237"/>
      <c r="H631" s="238"/>
      <c r="I631" s="238"/>
      <c r="J631" s="239">
        <f t="shared" ref="J631:J691" si="3418">ROUND(J630*(365/12/7)*IF($S$4="5인 이상",1.5,1),0)</f>
        <v>0</v>
      </c>
      <c r="K631" s="239">
        <f t="shared" ref="K631:K691" si="3419">ROUND(K630*IF($S$4="5인 이상",1.5,1),0)</f>
        <v>0</v>
      </c>
      <c r="L631" s="239">
        <f t="shared" ref="L631:L691" si="3420">ROUND(L630*IF($S$4="5인 이상",1.5,1)+L630*IF($S$4="5인 이상",0.5,1),0)</f>
        <v>0</v>
      </c>
      <c r="M631" s="240"/>
      <c r="N631" s="236"/>
      <c r="O631" s="241"/>
      <c r="P631" s="241"/>
      <c r="Q631" s="241"/>
      <c r="R631" s="241"/>
      <c r="S631" s="241"/>
      <c r="T631" s="241"/>
      <c r="U631" s="241"/>
    </row>
    <row r="632" spans="2:21" ht="21.5" customHeight="1">
      <c r="B632" s="225">
        <f>'임금대장 양식'!B632</f>
        <v>0</v>
      </c>
      <c r="C632" s="225" cm="1">
        <f t="array" ref="C632:C633">'임금대장 양식'!C632:C633</f>
        <v>0</v>
      </c>
      <c r="D632" s="225">
        <f>'임금대장 양식'!D632</f>
        <v>0</v>
      </c>
      <c r="E632" s="226">
        <f>'임금대장 양식'!E632</f>
        <v>0</v>
      </c>
      <c r="F632" s="227">
        <f>'임금대장 양식'!F632</f>
        <v>0</v>
      </c>
      <c r="G632" s="228">
        <f t="shared" ref="G632" si="3421">IFERROR((F632)/M632,0)</f>
        <v>0</v>
      </c>
      <c r="H632" s="229">
        <f t="shared" ref="H632:H691" si="3422">IF(F632=0,0,ROUND((8*5)*(365/12/7),0))</f>
        <v>0</v>
      </c>
      <c r="I632" s="229">
        <f t="shared" ref="I632:I691" si="3423">IF(F632=0,0,ROUND(8*365/12/7,0))</f>
        <v>0</v>
      </c>
      <c r="J632" s="230">
        <f>'임금대장 양식'!J632</f>
        <v>0</v>
      </c>
      <c r="K632" s="231">
        <f>'임금대장 양식'!K632</f>
        <v>0</v>
      </c>
      <c r="L632" s="231">
        <f>'임금대장 양식'!L632</f>
        <v>0</v>
      </c>
      <c r="M632" s="232">
        <f t="shared" ref="M632:M691" si="3424">H632+I632+J633+K633+L633</f>
        <v>0</v>
      </c>
      <c r="N632" s="227">
        <f t="shared" ref="N632:N691" si="3425">IF(G632=0,0,G632*(H632+I632)-(R632+S632+T632+U632))</f>
        <v>0</v>
      </c>
      <c r="O632" s="233">
        <f t="shared" ref="O632:O691" si="3426">G632*J633</f>
        <v>0</v>
      </c>
      <c r="P632" s="233">
        <f t="shared" ref="P632:P691" si="3427">G632*K633</f>
        <v>0</v>
      </c>
      <c r="Q632" s="233">
        <f t="shared" ref="Q632:Q691" si="3428">G632*L633</f>
        <v>0</v>
      </c>
      <c r="R632" s="233">
        <f>'임금대장 양식'!R632</f>
        <v>0</v>
      </c>
      <c r="S632" s="233">
        <f>'임금대장 양식'!S632</f>
        <v>0</v>
      </c>
      <c r="T632" s="233">
        <f>'임금대장 양식'!T632</f>
        <v>0</v>
      </c>
      <c r="U632" s="233">
        <f>'임금대장 양식'!U632</f>
        <v>0</v>
      </c>
    </row>
    <row r="633" spans="2:21" ht="21.5" customHeight="1">
      <c r="B633" s="234"/>
      <c r="C633" s="234">
        <v>0</v>
      </c>
      <c r="D633" s="210">
        <f>'임금대장 양식'!D633</f>
        <v>0</v>
      </c>
      <c r="E633" s="235"/>
      <c r="F633" s="236"/>
      <c r="G633" s="237"/>
      <c r="H633" s="238"/>
      <c r="I633" s="238"/>
      <c r="J633" s="239">
        <f t="shared" ref="J633:J691" si="3429">ROUND(J632*(365/12/7)*IF($S$4="5인 이상",1.5,1),0)</f>
        <v>0</v>
      </c>
      <c r="K633" s="239">
        <f t="shared" ref="K633:K691" si="3430">ROUND(K632*IF($S$4="5인 이상",1.5,1),0)</f>
        <v>0</v>
      </c>
      <c r="L633" s="239">
        <f t="shared" ref="L633:L691" si="3431">ROUND(L632*IF($S$4="5인 이상",1.5,1)+L632*IF($S$4="5인 이상",0.5,1),0)</f>
        <v>0</v>
      </c>
      <c r="M633" s="240"/>
      <c r="N633" s="236"/>
      <c r="O633" s="241"/>
      <c r="P633" s="241"/>
      <c r="Q633" s="241"/>
      <c r="R633" s="241"/>
      <c r="S633" s="241"/>
      <c r="T633" s="241"/>
      <c r="U633" s="241"/>
    </row>
    <row r="634" spans="2:21" ht="21.5" customHeight="1">
      <c r="B634" s="225">
        <f>'임금대장 양식'!B634</f>
        <v>0</v>
      </c>
      <c r="C634" s="225" cm="1">
        <f t="array" ref="C634:C635">'임금대장 양식'!C634:C635</f>
        <v>0</v>
      </c>
      <c r="D634" s="225">
        <f>'임금대장 양식'!D634</f>
        <v>0</v>
      </c>
      <c r="E634" s="226">
        <f>'임금대장 양식'!E634</f>
        <v>0</v>
      </c>
      <c r="F634" s="227">
        <f>'임금대장 양식'!F634</f>
        <v>0</v>
      </c>
      <c r="G634" s="228">
        <f t="shared" ref="G634" si="3432">IFERROR((F634)/M634,0)</f>
        <v>0</v>
      </c>
      <c r="H634" s="229">
        <f t="shared" ref="H634:H691" si="3433">IF(F634=0,0,ROUND((8*5)*(365/12/7),0))</f>
        <v>0</v>
      </c>
      <c r="I634" s="229">
        <f t="shared" ref="I634:I691" si="3434">IF(F634=0,0,ROUND(8*365/12/7,0))</f>
        <v>0</v>
      </c>
      <c r="J634" s="230">
        <f>'임금대장 양식'!J634</f>
        <v>0</v>
      </c>
      <c r="K634" s="231">
        <f>'임금대장 양식'!K634</f>
        <v>0</v>
      </c>
      <c r="L634" s="231">
        <f>'임금대장 양식'!L634</f>
        <v>0</v>
      </c>
      <c r="M634" s="232">
        <f t="shared" ref="M634:M691" si="3435">H634+I634+J635+K635+L635</f>
        <v>0</v>
      </c>
      <c r="N634" s="227">
        <f t="shared" ref="N634:N691" si="3436">IF(G634=0,0,G634*(H634+I634)-(R634+S634+T634+U634))</f>
        <v>0</v>
      </c>
      <c r="O634" s="233">
        <f t="shared" ref="O634:O691" si="3437">G634*J635</f>
        <v>0</v>
      </c>
      <c r="P634" s="233">
        <f t="shared" ref="P634:P691" si="3438">G634*K635</f>
        <v>0</v>
      </c>
      <c r="Q634" s="233">
        <f t="shared" ref="Q634:Q691" si="3439">G634*L635</f>
        <v>0</v>
      </c>
      <c r="R634" s="233">
        <f>'임금대장 양식'!R634</f>
        <v>0</v>
      </c>
      <c r="S634" s="233">
        <f>'임금대장 양식'!S634</f>
        <v>0</v>
      </c>
      <c r="T634" s="233">
        <f>'임금대장 양식'!T634</f>
        <v>0</v>
      </c>
      <c r="U634" s="233">
        <f>'임금대장 양식'!U634</f>
        <v>0</v>
      </c>
    </row>
    <row r="635" spans="2:21" ht="21.5" customHeight="1">
      <c r="B635" s="234"/>
      <c r="C635" s="234">
        <v>0</v>
      </c>
      <c r="D635" s="210">
        <f>'임금대장 양식'!D635</f>
        <v>0</v>
      </c>
      <c r="E635" s="235"/>
      <c r="F635" s="236"/>
      <c r="G635" s="237"/>
      <c r="H635" s="238"/>
      <c r="I635" s="238"/>
      <c r="J635" s="239">
        <f t="shared" ref="J635:J691" si="3440">ROUND(J634*(365/12/7)*IF($S$4="5인 이상",1.5,1),0)</f>
        <v>0</v>
      </c>
      <c r="K635" s="239">
        <f t="shared" ref="K635:K691" si="3441">ROUND(K634*IF($S$4="5인 이상",1.5,1),0)</f>
        <v>0</v>
      </c>
      <c r="L635" s="239">
        <f t="shared" ref="L635:L691" si="3442">ROUND(L634*IF($S$4="5인 이상",1.5,1)+L634*IF($S$4="5인 이상",0.5,1),0)</f>
        <v>0</v>
      </c>
      <c r="M635" s="240"/>
      <c r="N635" s="236"/>
      <c r="O635" s="241"/>
      <c r="P635" s="241"/>
      <c r="Q635" s="241"/>
      <c r="R635" s="241"/>
      <c r="S635" s="241"/>
      <c r="T635" s="241"/>
      <c r="U635" s="241"/>
    </row>
    <row r="636" spans="2:21" ht="21.5" customHeight="1">
      <c r="B636" s="225">
        <f>'임금대장 양식'!B636</f>
        <v>0</v>
      </c>
      <c r="C636" s="225" cm="1">
        <f t="array" ref="C636:C637">'임금대장 양식'!C636:C637</f>
        <v>0</v>
      </c>
      <c r="D636" s="225">
        <f>'임금대장 양식'!D636</f>
        <v>0</v>
      </c>
      <c r="E636" s="226">
        <f>'임금대장 양식'!E636</f>
        <v>0</v>
      </c>
      <c r="F636" s="227">
        <f>'임금대장 양식'!F636</f>
        <v>0</v>
      </c>
      <c r="G636" s="228">
        <f t="shared" ref="G636" si="3443">IFERROR((F636)/M636,0)</f>
        <v>0</v>
      </c>
      <c r="H636" s="229">
        <f t="shared" ref="H636:H691" si="3444">IF(F636=0,0,ROUND((8*5)*(365/12/7),0))</f>
        <v>0</v>
      </c>
      <c r="I636" s="229">
        <f t="shared" ref="I636:I691" si="3445">IF(F636=0,0,ROUND(8*365/12/7,0))</f>
        <v>0</v>
      </c>
      <c r="J636" s="230">
        <f>'임금대장 양식'!J636</f>
        <v>0</v>
      </c>
      <c r="K636" s="231">
        <f>'임금대장 양식'!K636</f>
        <v>0</v>
      </c>
      <c r="L636" s="231">
        <f>'임금대장 양식'!L636</f>
        <v>0</v>
      </c>
      <c r="M636" s="232">
        <f t="shared" ref="M636:M691" si="3446">H636+I636+J637+K637+L637</f>
        <v>0</v>
      </c>
      <c r="N636" s="227">
        <f t="shared" ref="N636:N691" si="3447">IF(G636=0,0,G636*(H636+I636)-(R636+S636+T636+U636))</f>
        <v>0</v>
      </c>
      <c r="O636" s="233">
        <f t="shared" ref="O636:O691" si="3448">G636*J637</f>
        <v>0</v>
      </c>
      <c r="P636" s="233">
        <f t="shared" ref="P636:P691" si="3449">G636*K637</f>
        <v>0</v>
      </c>
      <c r="Q636" s="233">
        <f t="shared" ref="Q636:Q691" si="3450">G636*L637</f>
        <v>0</v>
      </c>
      <c r="R636" s="233">
        <f>'임금대장 양식'!R636</f>
        <v>0</v>
      </c>
      <c r="S636" s="233">
        <f>'임금대장 양식'!S636</f>
        <v>0</v>
      </c>
      <c r="T636" s="233">
        <f>'임금대장 양식'!T636</f>
        <v>0</v>
      </c>
      <c r="U636" s="233">
        <f>'임금대장 양식'!U636</f>
        <v>0</v>
      </c>
    </row>
    <row r="637" spans="2:21" ht="21.5" customHeight="1">
      <c r="B637" s="234"/>
      <c r="C637" s="234">
        <v>0</v>
      </c>
      <c r="D637" s="210">
        <f>'임금대장 양식'!D637</f>
        <v>0</v>
      </c>
      <c r="E637" s="235"/>
      <c r="F637" s="236"/>
      <c r="G637" s="237"/>
      <c r="H637" s="238"/>
      <c r="I637" s="238"/>
      <c r="J637" s="239">
        <f t="shared" ref="J637:J691" si="3451">ROUND(J636*(365/12/7)*IF($S$4="5인 이상",1.5,1),0)</f>
        <v>0</v>
      </c>
      <c r="K637" s="239">
        <f t="shared" ref="K637:K691" si="3452">ROUND(K636*IF($S$4="5인 이상",1.5,1),0)</f>
        <v>0</v>
      </c>
      <c r="L637" s="239">
        <f t="shared" ref="L637:L691" si="3453">ROUND(L636*IF($S$4="5인 이상",1.5,1)+L636*IF($S$4="5인 이상",0.5,1),0)</f>
        <v>0</v>
      </c>
      <c r="M637" s="240"/>
      <c r="N637" s="236"/>
      <c r="O637" s="241"/>
      <c r="P637" s="241"/>
      <c r="Q637" s="241"/>
      <c r="R637" s="241"/>
      <c r="S637" s="241"/>
      <c r="T637" s="241"/>
      <c r="U637" s="241"/>
    </row>
    <row r="638" spans="2:21" ht="21.5" customHeight="1">
      <c r="B638" s="225">
        <f>'임금대장 양식'!B638</f>
        <v>0</v>
      </c>
      <c r="C638" s="225" cm="1">
        <f t="array" ref="C638:C639">'임금대장 양식'!C638:C639</f>
        <v>0</v>
      </c>
      <c r="D638" s="225">
        <f>'임금대장 양식'!D638</f>
        <v>0</v>
      </c>
      <c r="E638" s="226">
        <f>'임금대장 양식'!E638</f>
        <v>0</v>
      </c>
      <c r="F638" s="227">
        <f>'임금대장 양식'!F638</f>
        <v>0</v>
      </c>
      <c r="G638" s="228">
        <f t="shared" ref="G638" si="3454">IFERROR((F638)/M638,0)</f>
        <v>0</v>
      </c>
      <c r="H638" s="229">
        <f t="shared" ref="H638:H691" si="3455">IF(F638=0,0,ROUND((8*5)*(365/12/7),0))</f>
        <v>0</v>
      </c>
      <c r="I638" s="229">
        <f t="shared" ref="I638:I691" si="3456">IF(F638=0,0,ROUND(8*365/12/7,0))</f>
        <v>0</v>
      </c>
      <c r="J638" s="230">
        <f>'임금대장 양식'!J638</f>
        <v>0</v>
      </c>
      <c r="K638" s="231">
        <f>'임금대장 양식'!K638</f>
        <v>0</v>
      </c>
      <c r="L638" s="231">
        <f>'임금대장 양식'!L638</f>
        <v>0</v>
      </c>
      <c r="M638" s="232">
        <f t="shared" ref="M638:M691" si="3457">H638+I638+J639+K639+L639</f>
        <v>0</v>
      </c>
      <c r="N638" s="227">
        <f t="shared" ref="N638:N691" si="3458">IF(G638=0,0,G638*(H638+I638)-(R638+S638+T638+U638))</f>
        <v>0</v>
      </c>
      <c r="O638" s="233">
        <f t="shared" ref="O638:O691" si="3459">G638*J639</f>
        <v>0</v>
      </c>
      <c r="P638" s="233">
        <f t="shared" ref="P638:P691" si="3460">G638*K639</f>
        <v>0</v>
      </c>
      <c r="Q638" s="233">
        <f t="shared" ref="Q638:Q691" si="3461">G638*L639</f>
        <v>0</v>
      </c>
      <c r="R638" s="233">
        <f>'임금대장 양식'!R638</f>
        <v>0</v>
      </c>
      <c r="S638" s="233">
        <f>'임금대장 양식'!S638</f>
        <v>0</v>
      </c>
      <c r="T638" s="233">
        <f>'임금대장 양식'!T638</f>
        <v>0</v>
      </c>
      <c r="U638" s="233">
        <f>'임금대장 양식'!U638</f>
        <v>0</v>
      </c>
    </row>
    <row r="639" spans="2:21" ht="21.5" customHeight="1">
      <c r="B639" s="234"/>
      <c r="C639" s="234">
        <v>0</v>
      </c>
      <c r="D639" s="210">
        <f>'임금대장 양식'!D639</f>
        <v>0</v>
      </c>
      <c r="E639" s="235"/>
      <c r="F639" s="236"/>
      <c r="G639" s="237"/>
      <c r="H639" s="238"/>
      <c r="I639" s="238"/>
      <c r="J639" s="239">
        <f t="shared" ref="J639:J691" si="3462">ROUND(J638*(365/12/7)*IF($S$4="5인 이상",1.5,1),0)</f>
        <v>0</v>
      </c>
      <c r="K639" s="239">
        <f t="shared" ref="K639:K691" si="3463">ROUND(K638*IF($S$4="5인 이상",1.5,1),0)</f>
        <v>0</v>
      </c>
      <c r="L639" s="239">
        <f t="shared" ref="L639:L691" si="3464">ROUND(L638*IF($S$4="5인 이상",1.5,1)+L638*IF($S$4="5인 이상",0.5,1),0)</f>
        <v>0</v>
      </c>
      <c r="M639" s="240"/>
      <c r="N639" s="236"/>
      <c r="O639" s="241"/>
      <c r="P639" s="241"/>
      <c r="Q639" s="241"/>
      <c r="R639" s="241"/>
      <c r="S639" s="241"/>
      <c r="T639" s="241"/>
      <c r="U639" s="241"/>
    </row>
    <row r="640" spans="2:21" ht="21.5" customHeight="1">
      <c r="B640" s="225">
        <f>'임금대장 양식'!B640</f>
        <v>0</v>
      </c>
      <c r="C640" s="225" cm="1">
        <f t="array" ref="C640:C641">'임금대장 양식'!C640:C641</f>
        <v>0</v>
      </c>
      <c r="D640" s="225">
        <f>'임금대장 양식'!D640</f>
        <v>0</v>
      </c>
      <c r="E640" s="226">
        <f>'임금대장 양식'!E640</f>
        <v>0</v>
      </c>
      <c r="F640" s="227">
        <f>'임금대장 양식'!F640</f>
        <v>0</v>
      </c>
      <c r="G640" s="228">
        <f t="shared" ref="G640" si="3465">IFERROR((F640)/M640,0)</f>
        <v>0</v>
      </c>
      <c r="H640" s="229">
        <f t="shared" ref="H640:H691" si="3466">IF(F640=0,0,ROUND((8*5)*(365/12/7),0))</f>
        <v>0</v>
      </c>
      <c r="I640" s="229">
        <f t="shared" ref="I640:I691" si="3467">IF(F640=0,0,ROUND(8*365/12/7,0))</f>
        <v>0</v>
      </c>
      <c r="J640" s="230">
        <f>'임금대장 양식'!J640</f>
        <v>0</v>
      </c>
      <c r="K640" s="231">
        <f>'임금대장 양식'!K640</f>
        <v>0</v>
      </c>
      <c r="L640" s="231">
        <f>'임금대장 양식'!L640</f>
        <v>0</v>
      </c>
      <c r="M640" s="232">
        <f t="shared" ref="M640:M691" si="3468">H640+I640+J641+K641+L641</f>
        <v>0</v>
      </c>
      <c r="N640" s="227">
        <f t="shared" ref="N640:N691" si="3469">IF(G640=0,0,G640*(H640+I640)-(R640+S640+T640+U640))</f>
        <v>0</v>
      </c>
      <c r="O640" s="233">
        <f t="shared" ref="O640:O691" si="3470">G640*J641</f>
        <v>0</v>
      </c>
      <c r="P640" s="233">
        <f t="shared" ref="P640:P691" si="3471">G640*K641</f>
        <v>0</v>
      </c>
      <c r="Q640" s="233">
        <f t="shared" ref="Q640:Q691" si="3472">G640*L641</f>
        <v>0</v>
      </c>
      <c r="R640" s="233">
        <f>'임금대장 양식'!R640</f>
        <v>0</v>
      </c>
      <c r="S640" s="233">
        <f>'임금대장 양식'!S640</f>
        <v>0</v>
      </c>
      <c r="T640" s="233">
        <f>'임금대장 양식'!T640</f>
        <v>0</v>
      </c>
      <c r="U640" s="233">
        <f>'임금대장 양식'!U640</f>
        <v>0</v>
      </c>
    </row>
    <row r="641" spans="2:21" ht="21.5" customHeight="1">
      <c r="B641" s="234"/>
      <c r="C641" s="234">
        <v>0</v>
      </c>
      <c r="D641" s="210">
        <f>'임금대장 양식'!D641</f>
        <v>0</v>
      </c>
      <c r="E641" s="235"/>
      <c r="F641" s="236"/>
      <c r="G641" s="237"/>
      <c r="H641" s="238"/>
      <c r="I641" s="238"/>
      <c r="J641" s="239">
        <f t="shared" ref="J641:J691" si="3473">ROUND(J640*(365/12/7)*IF($S$4="5인 이상",1.5,1),0)</f>
        <v>0</v>
      </c>
      <c r="K641" s="239">
        <f t="shared" ref="K641:K691" si="3474">ROUND(K640*IF($S$4="5인 이상",1.5,1),0)</f>
        <v>0</v>
      </c>
      <c r="L641" s="239">
        <f t="shared" ref="L641:L691" si="3475">ROUND(L640*IF($S$4="5인 이상",1.5,1)+L640*IF($S$4="5인 이상",0.5,1),0)</f>
        <v>0</v>
      </c>
      <c r="M641" s="240"/>
      <c r="N641" s="236"/>
      <c r="O641" s="241"/>
      <c r="P641" s="241"/>
      <c r="Q641" s="241"/>
      <c r="R641" s="241"/>
      <c r="S641" s="241"/>
      <c r="T641" s="241"/>
      <c r="U641" s="241"/>
    </row>
    <row r="642" spans="2:21" ht="21.5" customHeight="1">
      <c r="B642" s="225">
        <f>'임금대장 양식'!B642</f>
        <v>0</v>
      </c>
      <c r="C642" s="225" cm="1">
        <f t="array" ref="C642:C643">'임금대장 양식'!C642:C643</f>
        <v>0</v>
      </c>
      <c r="D642" s="225">
        <f>'임금대장 양식'!D642</f>
        <v>0</v>
      </c>
      <c r="E642" s="226">
        <f>'임금대장 양식'!E642</f>
        <v>0</v>
      </c>
      <c r="F642" s="227">
        <f>'임금대장 양식'!F642</f>
        <v>0</v>
      </c>
      <c r="G642" s="228">
        <f t="shared" ref="G642" si="3476">IFERROR((F642)/M642,0)</f>
        <v>0</v>
      </c>
      <c r="H642" s="229">
        <f t="shared" ref="H642:H691" si="3477">IF(F642=0,0,ROUND((8*5)*(365/12/7),0))</f>
        <v>0</v>
      </c>
      <c r="I642" s="229">
        <f t="shared" ref="I642:I691" si="3478">IF(F642=0,0,ROUND(8*365/12/7,0))</f>
        <v>0</v>
      </c>
      <c r="J642" s="230">
        <f>'임금대장 양식'!J642</f>
        <v>0</v>
      </c>
      <c r="K642" s="231">
        <f>'임금대장 양식'!K642</f>
        <v>0</v>
      </c>
      <c r="L642" s="231">
        <f>'임금대장 양식'!L642</f>
        <v>0</v>
      </c>
      <c r="M642" s="232">
        <f t="shared" ref="M642:M691" si="3479">H642+I642+J643+K643+L643</f>
        <v>0</v>
      </c>
      <c r="N642" s="227">
        <f t="shared" ref="N642:N691" si="3480">IF(G642=0,0,G642*(H642+I642)-(R642+S642+T642+U642))</f>
        <v>0</v>
      </c>
      <c r="O642" s="233">
        <f t="shared" ref="O642:O691" si="3481">G642*J643</f>
        <v>0</v>
      </c>
      <c r="P642" s="233">
        <f t="shared" ref="P642:P691" si="3482">G642*K643</f>
        <v>0</v>
      </c>
      <c r="Q642" s="233">
        <f t="shared" ref="Q642:Q691" si="3483">G642*L643</f>
        <v>0</v>
      </c>
      <c r="R642" s="233">
        <f>'임금대장 양식'!R642</f>
        <v>0</v>
      </c>
      <c r="S642" s="233">
        <f>'임금대장 양식'!S642</f>
        <v>0</v>
      </c>
      <c r="T642" s="233">
        <f>'임금대장 양식'!T642</f>
        <v>0</v>
      </c>
      <c r="U642" s="233">
        <f>'임금대장 양식'!U642</f>
        <v>0</v>
      </c>
    </row>
    <row r="643" spans="2:21" ht="21.5" customHeight="1">
      <c r="B643" s="234"/>
      <c r="C643" s="234">
        <v>0</v>
      </c>
      <c r="D643" s="210">
        <f>'임금대장 양식'!D643</f>
        <v>0</v>
      </c>
      <c r="E643" s="235"/>
      <c r="F643" s="236"/>
      <c r="G643" s="237"/>
      <c r="H643" s="238"/>
      <c r="I643" s="238"/>
      <c r="J643" s="239">
        <f t="shared" ref="J643:J691" si="3484">ROUND(J642*(365/12/7)*IF($S$4="5인 이상",1.5,1),0)</f>
        <v>0</v>
      </c>
      <c r="K643" s="239">
        <f t="shared" ref="K643:K691" si="3485">ROUND(K642*IF($S$4="5인 이상",1.5,1),0)</f>
        <v>0</v>
      </c>
      <c r="L643" s="239">
        <f t="shared" ref="L643:L691" si="3486">ROUND(L642*IF($S$4="5인 이상",1.5,1)+L642*IF($S$4="5인 이상",0.5,1),0)</f>
        <v>0</v>
      </c>
      <c r="M643" s="240"/>
      <c r="N643" s="236"/>
      <c r="O643" s="241"/>
      <c r="P643" s="241"/>
      <c r="Q643" s="241"/>
      <c r="R643" s="241"/>
      <c r="S643" s="241"/>
      <c r="T643" s="241"/>
      <c r="U643" s="241"/>
    </row>
    <row r="644" spans="2:21" ht="21.5" customHeight="1">
      <c r="B644" s="225">
        <f>'임금대장 양식'!B644</f>
        <v>0</v>
      </c>
      <c r="C644" s="225" cm="1">
        <f t="array" ref="C644:C645">'임금대장 양식'!C644:C645</f>
        <v>0</v>
      </c>
      <c r="D644" s="225">
        <f>'임금대장 양식'!D644</f>
        <v>0</v>
      </c>
      <c r="E644" s="226">
        <f>'임금대장 양식'!E644</f>
        <v>0</v>
      </c>
      <c r="F644" s="227">
        <f>'임금대장 양식'!F644</f>
        <v>0</v>
      </c>
      <c r="G644" s="228">
        <f t="shared" ref="G644" si="3487">IFERROR((F644)/M644,0)</f>
        <v>0</v>
      </c>
      <c r="H644" s="229">
        <f t="shared" ref="H644:H691" si="3488">IF(F644=0,0,ROUND((8*5)*(365/12/7),0))</f>
        <v>0</v>
      </c>
      <c r="I644" s="229">
        <f t="shared" ref="I644:I691" si="3489">IF(F644=0,0,ROUND(8*365/12/7,0))</f>
        <v>0</v>
      </c>
      <c r="J644" s="230">
        <f>'임금대장 양식'!J644</f>
        <v>0</v>
      </c>
      <c r="K644" s="231">
        <f>'임금대장 양식'!K644</f>
        <v>0</v>
      </c>
      <c r="L644" s="231">
        <f>'임금대장 양식'!L644</f>
        <v>0</v>
      </c>
      <c r="M644" s="232">
        <f t="shared" ref="M644:M691" si="3490">H644+I644+J645+K645+L645</f>
        <v>0</v>
      </c>
      <c r="N644" s="227">
        <f t="shared" ref="N644:N691" si="3491">IF(G644=0,0,G644*(H644+I644)-(R644+S644+T644+U644))</f>
        <v>0</v>
      </c>
      <c r="O644" s="233">
        <f t="shared" ref="O644:O691" si="3492">G644*J645</f>
        <v>0</v>
      </c>
      <c r="P644" s="233">
        <f t="shared" ref="P644:P691" si="3493">G644*K645</f>
        <v>0</v>
      </c>
      <c r="Q644" s="233">
        <f t="shared" ref="Q644:Q691" si="3494">G644*L645</f>
        <v>0</v>
      </c>
      <c r="R644" s="233">
        <f>'임금대장 양식'!R644</f>
        <v>0</v>
      </c>
      <c r="S644" s="233">
        <f>'임금대장 양식'!S644</f>
        <v>0</v>
      </c>
      <c r="T644" s="233">
        <f>'임금대장 양식'!T644</f>
        <v>0</v>
      </c>
      <c r="U644" s="233">
        <f>'임금대장 양식'!U644</f>
        <v>0</v>
      </c>
    </row>
    <row r="645" spans="2:21" ht="21.5" customHeight="1">
      <c r="B645" s="234"/>
      <c r="C645" s="234">
        <v>0</v>
      </c>
      <c r="D645" s="210">
        <f>'임금대장 양식'!D645</f>
        <v>0</v>
      </c>
      <c r="E645" s="235"/>
      <c r="F645" s="236"/>
      <c r="G645" s="237"/>
      <c r="H645" s="238"/>
      <c r="I645" s="238"/>
      <c r="J645" s="239">
        <f t="shared" ref="J645:J691" si="3495">ROUND(J644*(365/12/7)*IF($S$4="5인 이상",1.5,1),0)</f>
        <v>0</v>
      </c>
      <c r="K645" s="239">
        <f t="shared" ref="K645:K691" si="3496">ROUND(K644*IF($S$4="5인 이상",1.5,1),0)</f>
        <v>0</v>
      </c>
      <c r="L645" s="239">
        <f t="shared" ref="L645:L691" si="3497">ROUND(L644*IF($S$4="5인 이상",1.5,1)+L644*IF($S$4="5인 이상",0.5,1),0)</f>
        <v>0</v>
      </c>
      <c r="M645" s="240"/>
      <c r="N645" s="236"/>
      <c r="O645" s="241"/>
      <c r="P645" s="241"/>
      <c r="Q645" s="241"/>
      <c r="R645" s="241"/>
      <c r="S645" s="241"/>
      <c r="T645" s="241"/>
      <c r="U645" s="241"/>
    </row>
    <row r="646" spans="2:21" ht="21.5" customHeight="1">
      <c r="B646" s="225">
        <f>'임금대장 양식'!B646</f>
        <v>0</v>
      </c>
      <c r="C646" s="225" cm="1">
        <f t="array" ref="C646:C647">'임금대장 양식'!C646:C647</f>
        <v>0</v>
      </c>
      <c r="D646" s="225">
        <f>'임금대장 양식'!D646</f>
        <v>0</v>
      </c>
      <c r="E646" s="226">
        <f>'임금대장 양식'!E646</f>
        <v>0</v>
      </c>
      <c r="F646" s="227">
        <f>'임금대장 양식'!F646</f>
        <v>0</v>
      </c>
      <c r="G646" s="228">
        <f t="shared" ref="G646" si="3498">IFERROR((F646)/M646,0)</f>
        <v>0</v>
      </c>
      <c r="H646" s="229">
        <f t="shared" ref="H646:H691" si="3499">IF(F646=0,0,ROUND((8*5)*(365/12/7),0))</f>
        <v>0</v>
      </c>
      <c r="I646" s="229">
        <f t="shared" ref="I646:I691" si="3500">IF(F646=0,0,ROUND(8*365/12/7,0))</f>
        <v>0</v>
      </c>
      <c r="J646" s="230">
        <f>'임금대장 양식'!J646</f>
        <v>0</v>
      </c>
      <c r="K646" s="231">
        <f>'임금대장 양식'!K646</f>
        <v>0</v>
      </c>
      <c r="L646" s="231">
        <f>'임금대장 양식'!L646</f>
        <v>0</v>
      </c>
      <c r="M646" s="232">
        <f t="shared" ref="M646:M691" si="3501">H646+I646+J647+K647+L647</f>
        <v>0</v>
      </c>
      <c r="N646" s="227">
        <f t="shared" ref="N646:N691" si="3502">IF(G646=0,0,G646*(H646+I646)-(R646+S646+T646+U646))</f>
        <v>0</v>
      </c>
      <c r="O646" s="233">
        <f t="shared" ref="O646:O691" si="3503">G646*J647</f>
        <v>0</v>
      </c>
      <c r="P646" s="233">
        <f t="shared" ref="P646:P691" si="3504">G646*K647</f>
        <v>0</v>
      </c>
      <c r="Q646" s="233">
        <f t="shared" ref="Q646:Q691" si="3505">G646*L647</f>
        <v>0</v>
      </c>
      <c r="R646" s="233">
        <f>'임금대장 양식'!R646</f>
        <v>0</v>
      </c>
      <c r="S646" s="233">
        <f>'임금대장 양식'!S646</f>
        <v>0</v>
      </c>
      <c r="T646" s="233">
        <f>'임금대장 양식'!T646</f>
        <v>0</v>
      </c>
      <c r="U646" s="233">
        <f>'임금대장 양식'!U646</f>
        <v>0</v>
      </c>
    </row>
    <row r="647" spans="2:21" ht="21.5" customHeight="1">
      <c r="B647" s="234"/>
      <c r="C647" s="234">
        <v>0</v>
      </c>
      <c r="D647" s="210">
        <f>'임금대장 양식'!D647</f>
        <v>0</v>
      </c>
      <c r="E647" s="235"/>
      <c r="F647" s="236"/>
      <c r="G647" s="237"/>
      <c r="H647" s="238"/>
      <c r="I647" s="238"/>
      <c r="J647" s="239">
        <f t="shared" ref="J647:J691" si="3506">ROUND(J646*(365/12/7)*IF($S$4="5인 이상",1.5,1),0)</f>
        <v>0</v>
      </c>
      <c r="K647" s="239">
        <f t="shared" ref="K647:K691" si="3507">ROUND(K646*IF($S$4="5인 이상",1.5,1),0)</f>
        <v>0</v>
      </c>
      <c r="L647" s="239">
        <f t="shared" ref="L647:L691" si="3508">ROUND(L646*IF($S$4="5인 이상",1.5,1)+L646*IF($S$4="5인 이상",0.5,1),0)</f>
        <v>0</v>
      </c>
      <c r="M647" s="240"/>
      <c r="N647" s="236"/>
      <c r="O647" s="241"/>
      <c r="P647" s="241"/>
      <c r="Q647" s="241"/>
      <c r="R647" s="241"/>
      <c r="S647" s="241"/>
      <c r="T647" s="241"/>
      <c r="U647" s="241"/>
    </row>
    <row r="648" spans="2:21" ht="21.5" customHeight="1">
      <c r="B648" s="225">
        <f>'임금대장 양식'!B648</f>
        <v>0</v>
      </c>
      <c r="C648" s="225" cm="1">
        <f t="array" ref="C648:C649">'임금대장 양식'!C648:C649</f>
        <v>0</v>
      </c>
      <c r="D648" s="225">
        <f>'임금대장 양식'!D648</f>
        <v>0</v>
      </c>
      <c r="E648" s="226">
        <f>'임금대장 양식'!E648</f>
        <v>0</v>
      </c>
      <c r="F648" s="227">
        <f>'임금대장 양식'!F648</f>
        <v>0</v>
      </c>
      <c r="G648" s="228">
        <f t="shared" ref="G648" si="3509">IFERROR((F648)/M648,0)</f>
        <v>0</v>
      </c>
      <c r="H648" s="229">
        <f t="shared" ref="H648:H691" si="3510">IF(F648=0,0,ROUND((8*5)*(365/12/7),0))</f>
        <v>0</v>
      </c>
      <c r="I648" s="229">
        <f t="shared" ref="I648:I691" si="3511">IF(F648=0,0,ROUND(8*365/12/7,0))</f>
        <v>0</v>
      </c>
      <c r="J648" s="230">
        <f>'임금대장 양식'!J648</f>
        <v>0</v>
      </c>
      <c r="K648" s="231">
        <f>'임금대장 양식'!K648</f>
        <v>0</v>
      </c>
      <c r="L648" s="231">
        <f>'임금대장 양식'!L648</f>
        <v>0</v>
      </c>
      <c r="M648" s="232">
        <f t="shared" ref="M648:M691" si="3512">H648+I648+J649+K649+L649</f>
        <v>0</v>
      </c>
      <c r="N648" s="227">
        <f t="shared" ref="N648:N691" si="3513">IF(G648=0,0,G648*(H648+I648)-(R648+S648+T648+U648))</f>
        <v>0</v>
      </c>
      <c r="O648" s="233">
        <f t="shared" ref="O648:O691" si="3514">G648*J649</f>
        <v>0</v>
      </c>
      <c r="P648" s="233">
        <f t="shared" ref="P648:P691" si="3515">G648*K649</f>
        <v>0</v>
      </c>
      <c r="Q648" s="233">
        <f t="shared" ref="Q648:Q691" si="3516">G648*L649</f>
        <v>0</v>
      </c>
      <c r="R648" s="233">
        <f>'임금대장 양식'!R648</f>
        <v>0</v>
      </c>
      <c r="S648" s="233">
        <f>'임금대장 양식'!S648</f>
        <v>0</v>
      </c>
      <c r="T648" s="233">
        <f>'임금대장 양식'!T648</f>
        <v>0</v>
      </c>
      <c r="U648" s="233">
        <f>'임금대장 양식'!U648</f>
        <v>0</v>
      </c>
    </row>
    <row r="649" spans="2:21" ht="21.5" customHeight="1">
      <c r="B649" s="234"/>
      <c r="C649" s="234">
        <v>0</v>
      </c>
      <c r="D649" s="210">
        <f>'임금대장 양식'!D649</f>
        <v>0</v>
      </c>
      <c r="E649" s="235"/>
      <c r="F649" s="236"/>
      <c r="G649" s="237"/>
      <c r="H649" s="238"/>
      <c r="I649" s="238"/>
      <c r="J649" s="239">
        <f t="shared" ref="J649:J691" si="3517">ROUND(J648*(365/12/7)*IF($S$4="5인 이상",1.5,1),0)</f>
        <v>0</v>
      </c>
      <c r="K649" s="239">
        <f t="shared" ref="K649:K691" si="3518">ROUND(K648*IF($S$4="5인 이상",1.5,1),0)</f>
        <v>0</v>
      </c>
      <c r="L649" s="239">
        <f t="shared" ref="L649:L691" si="3519">ROUND(L648*IF($S$4="5인 이상",1.5,1)+L648*IF($S$4="5인 이상",0.5,1),0)</f>
        <v>0</v>
      </c>
      <c r="M649" s="240"/>
      <c r="N649" s="236"/>
      <c r="O649" s="241"/>
      <c r="P649" s="241"/>
      <c r="Q649" s="241"/>
      <c r="R649" s="241"/>
      <c r="S649" s="241"/>
      <c r="T649" s="241"/>
      <c r="U649" s="241"/>
    </row>
    <row r="650" spans="2:21" ht="21.5" customHeight="1">
      <c r="B650" s="225">
        <f>'임금대장 양식'!B650</f>
        <v>0</v>
      </c>
      <c r="C650" s="225" cm="1">
        <f t="array" ref="C650:C651">'임금대장 양식'!C650:C651</f>
        <v>0</v>
      </c>
      <c r="D650" s="225">
        <f>'임금대장 양식'!D650</f>
        <v>0</v>
      </c>
      <c r="E650" s="226">
        <f>'임금대장 양식'!E650</f>
        <v>0</v>
      </c>
      <c r="F650" s="227">
        <f>'임금대장 양식'!F650</f>
        <v>0</v>
      </c>
      <c r="G650" s="228">
        <f t="shared" ref="G650" si="3520">IFERROR((F650)/M650,0)</f>
        <v>0</v>
      </c>
      <c r="H650" s="229">
        <f t="shared" ref="H650:H691" si="3521">IF(F650=0,0,ROUND((8*5)*(365/12/7),0))</f>
        <v>0</v>
      </c>
      <c r="I650" s="229">
        <f t="shared" ref="I650:I691" si="3522">IF(F650=0,0,ROUND(8*365/12/7,0))</f>
        <v>0</v>
      </c>
      <c r="J650" s="230">
        <f>'임금대장 양식'!J650</f>
        <v>0</v>
      </c>
      <c r="K650" s="231">
        <f>'임금대장 양식'!K650</f>
        <v>0</v>
      </c>
      <c r="L650" s="231">
        <f>'임금대장 양식'!L650</f>
        <v>0</v>
      </c>
      <c r="M650" s="232">
        <f t="shared" ref="M650:M691" si="3523">H650+I650+J651+K651+L651</f>
        <v>0</v>
      </c>
      <c r="N650" s="227">
        <f t="shared" ref="N650:N691" si="3524">IF(G650=0,0,G650*(H650+I650)-(R650+S650+T650+U650))</f>
        <v>0</v>
      </c>
      <c r="O650" s="233">
        <f t="shared" ref="O650:O691" si="3525">G650*J651</f>
        <v>0</v>
      </c>
      <c r="P650" s="233">
        <f t="shared" ref="P650:P691" si="3526">G650*K651</f>
        <v>0</v>
      </c>
      <c r="Q650" s="233">
        <f t="shared" ref="Q650:Q691" si="3527">G650*L651</f>
        <v>0</v>
      </c>
      <c r="R650" s="233">
        <f>'임금대장 양식'!R650</f>
        <v>0</v>
      </c>
      <c r="S650" s="233">
        <f>'임금대장 양식'!S650</f>
        <v>0</v>
      </c>
      <c r="T650" s="233">
        <f>'임금대장 양식'!T650</f>
        <v>0</v>
      </c>
      <c r="U650" s="233">
        <f>'임금대장 양식'!U650</f>
        <v>0</v>
      </c>
    </row>
    <row r="651" spans="2:21" ht="21.5" customHeight="1">
      <c r="B651" s="234"/>
      <c r="C651" s="234">
        <v>0</v>
      </c>
      <c r="D651" s="210">
        <f>'임금대장 양식'!D651</f>
        <v>0</v>
      </c>
      <c r="E651" s="235"/>
      <c r="F651" s="236"/>
      <c r="G651" s="237"/>
      <c r="H651" s="238"/>
      <c r="I651" s="238"/>
      <c r="J651" s="239">
        <f t="shared" ref="J651:J691" si="3528">ROUND(J650*(365/12/7)*IF($S$4="5인 이상",1.5,1),0)</f>
        <v>0</v>
      </c>
      <c r="K651" s="239">
        <f t="shared" ref="K651:K691" si="3529">ROUND(K650*IF($S$4="5인 이상",1.5,1),0)</f>
        <v>0</v>
      </c>
      <c r="L651" s="239">
        <f t="shared" ref="L651:L691" si="3530">ROUND(L650*IF($S$4="5인 이상",1.5,1)+L650*IF($S$4="5인 이상",0.5,1),0)</f>
        <v>0</v>
      </c>
      <c r="M651" s="240"/>
      <c r="N651" s="236"/>
      <c r="O651" s="241"/>
      <c r="P651" s="241"/>
      <c r="Q651" s="241"/>
      <c r="R651" s="241"/>
      <c r="S651" s="241"/>
      <c r="T651" s="241"/>
      <c r="U651" s="241"/>
    </row>
    <row r="652" spans="2:21" ht="21.5" customHeight="1">
      <c r="B652" s="225">
        <f>'임금대장 양식'!B652</f>
        <v>0</v>
      </c>
      <c r="C652" s="225" cm="1">
        <f t="array" ref="C652:C653">'임금대장 양식'!C652:C653</f>
        <v>0</v>
      </c>
      <c r="D652" s="225">
        <f>'임금대장 양식'!D652</f>
        <v>0</v>
      </c>
      <c r="E652" s="226">
        <f>'임금대장 양식'!E652</f>
        <v>0</v>
      </c>
      <c r="F652" s="227">
        <f>'임금대장 양식'!F652</f>
        <v>0</v>
      </c>
      <c r="G652" s="228">
        <f t="shared" ref="G652" si="3531">IFERROR((F652)/M652,0)</f>
        <v>0</v>
      </c>
      <c r="H652" s="229">
        <f t="shared" ref="H652:H691" si="3532">IF(F652=0,0,ROUND((8*5)*(365/12/7),0))</f>
        <v>0</v>
      </c>
      <c r="I652" s="229">
        <f t="shared" ref="I652:I691" si="3533">IF(F652=0,0,ROUND(8*365/12/7,0))</f>
        <v>0</v>
      </c>
      <c r="J652" s="230">
        <f>'임금대장 양식'!J652</f>
        <v>0</v>
      </c>
      <c r="K652" s="231">
        <f>'임금대장 양식'!K652</f>
        <v>0</v>
      </c>
      <c r="L652" s="231">
        <f>'임금대장 양식'!L652</f>
        <v>0</v>
      </c>
      <c r="M652" s="232">
        <f t="shared" ref="M652:M691" si="3534">H652+I652+J653+K653+L653</f>
        <v>0</v>
      </c>
      <c r="N652" s="227">
        <f t="shared" ref="N652:N691" si="3535">IF(G652=0,0,G652*(H652+I652)-(R652+S652+T652+U652))</f>
        <v>0</v>
      </c>
      <c r="O652" s="233">
        <f t="shared" ref="O652:O691" si="3536">G652*J653</f>
        <v>0</v>
      </c>
      <c r="P652" s="233">
        <f t="shared" ref="P652:P691" si="3537">G652*K653</f>
        <v>0</v>
      </c>
      <c r="Q652" s="233">
        <f t="shared" ref="Q652:Q691" si="3538">G652*L653</f>
        <v>0</v>
      </c>
      <c r="R652" s="233">
        <f>'임금대장 양식'!R652</f>
        <v>0</v>
      </c>
      <c r="S652" s="233">
        <f>'임금대장 양식'!S652</f>
        <v>0</v>
      </c>
      <c r="T652" s="233">
        <f>'임금대장 양식'!T652</f>
        <v>0</v>
      </c>
      <c r="U652" s="233">
        <f>'임금대장 양식'!U652</f>
        <v>0</v>
      </c>
    </row>
    <row r="653" spans="2:21" ht="21.5" customHeight="1">
      <c r="B653" s="234"/>
      <c r="C653" s="234">
        <v>0</v>
      </c>
      <c r="D653" s="210">
        <f>'임금대장 양식'!D653</f>
        <v>0</v>
      </c>
      <c r="E653" s="235"/>
      <c r="F653" s="236"/>
      <c r="G653" s="237"/>
      <c r="H653" s="238"/>
      <c r="I653" s="238"/>
      <c r="J653" s="239">
        <f t="shared" ref="J653:J691" si="3539">ROUND(J652*(365/12/7)*IF($S$4="5인 이상",1.5,1),0)</f>
        <v>0</v>
      </c>
      <c r="K653" s="239">
        <f t="shared" ref="K653:K691" si="3540">ROUND(K652*IF($S$4="5인 이상",1.5,1),0)</f>
        <v>0</v>
      </c>
      <c r="L653" s="239">
        <f t="shared" ref="L653:L691" si="3541">ROUND(L652*IF($S$4="5인 이상",1.5,1)+L652*IF($S$4="5인 이상",0.5,1),0)</f>
        <v>0</v>
      </c>
      <c r="M653" s="240"/>
      <c r="N653" s="236"/>
      <c r="O653" s="241"/>
      <c r="P653" s="241"/>
      <c r="Q653" s="241"/>
      <c r="R653" s="241"/>
      <c r="S653" s="241"/>
      <c r="T653" s="241"/>
      <c r="U653" s="241"/>
    </row>
    <row r="654" spans="2:21" ht="21.5" customHeight="1">
      <c r="B654" s="225">
        <f>'임금대장 양식'!B654</f>
        <v>0</v>
      </c>
      <c r="C654" s="225" cm="1">
        <f t="array" ref="C654:C655">'임금대장 양식'!C654:C655</f>
        <v>0</v>
      </c>
      <c r="D654" s="225">
        <f>'임금대장 양식'!D654</f>
        <v>0</v>
      </c>
      <c r="E654" s="226">
        <f>'임금대장 양식'!E654</f>
        <v>0</v>
      </c>
      <c r="F654" s="227">
        <f>'임금대장 양식'!F654</f>
        <v>0</v>
      </c>
      <c r="G654" s="228">
        <f t="shared" ref="G654" si="3542">IFERROR((F654)/M654,0)</f>
        <v>0</v>
      </c>
      <c r="H654" s="229">
        <f t="shared" ref="H654:H691" si="3543">IF(F654=0,0,ROUND((8*5)*(365/12/7),0))</f>
        <v>0</v>
      </c>
      <c r="I654" s="229">
        <f t="shared" ref="I654:I691" si="3544">IF(F654=0,0,ROUND(8*365/12/7,0))</f>
        <v>0</v>
      </c>
      <c r="J654" s="230">
        <f>'임금대장 양식'!J654</f>
        <v>0</v>
      </c>
      <c r="K654" s="231">
        <f>'임금대장 양식'!K654</f>
        <v>0</v>
      </c>
      <c r="L654" s="231">
        <f>'임금대장 양식'!L654</f>
        <v>0</v>
      </c>
      <c r="M654" s="232">
        <f t="shared" ref="M654:M691" si="3545">H654+I654+J655+K655+L655</f>
        <v>0</v>
      </c>
      <c r="N654" s="227">
        <f t="shared" ref="N654:N691" si="3546">IF(G654=0,0,G654*(H654+I654)-(R654+S654+T654+U654))</f>
        <v>0</v>
      </c>
      <c r="O654" s="233">
        <f t="shared" ref="O654:O691" si="3547">G654*J655</f>
        <v>0</v>
      </c>
      <c r="P654" s="233">
        <f t="shared" ref="P654:P691" si="3548">G654*K655</f>
        <v>0</v>
      </c>
      <c r="Q654" s="233">
        <f t="shared" ref="Q654:Q691" si="3549">G654*L655</f>
        <v>0</v>
      </c>
      <c r="R654" s="233">
        <f>'임금대장 양식'!R654</f>
        <v>0</v>
      </c>
      <c r="S654" s="233">
        <f>'임금대장 양식'!S654</f>
        <v>0</v>
      </c>
      <c r="T654" s="233">
        <f>'임금대장 양식'!T654</f>
        <v>0</v>
      </c>
      <c r="U654" s="233">
        <f>'임금대장 양식'!U654</f>
        <v>0</v>
      </c>
    </row>
    <row r="655" spans="2:21" ht="21.5" customHeight="1">
      <c r="B655" s="234"/>
      <c r="C655" s="234">
        <v>0</v>
      </c>
      <c r="D655" s="210">
        <f>'임금대장 양식'!D655</f>
        <v>0</v>
      </c>
      <c r="E655" s="235"/>
      <c r="F655" s="236"/>
      <c r="G655" s="237"/>
      <c r="H655" s="238"/>
      <c r="I655" s="238"/>
      <c r="J655" s="239">
        <f t="shared" ref="J655:J691" si="3550">ROUND(J654*(365/12/7)*IF($S$4="5인 이상",1.5,1),0)</f>
        <v>0</v>
      </c>
      <c r="K655" s="239">
        <f t="shared" ref="K655:K691" si="3551">ROUND(K654*IF($S$4="5인 이상",1.5,1),0)</f>
        <v>0</v>
      </c>
      <c r="L655" s="239">
        <f t="shared" ref="L655:L691" si="3552">ROUND(L654*IF($S$4="5인 이상",1.5,1)+L654*IF($S$4="5인 이상",0.5,1),0)</f>
        <v>0</v>
      </c>
      <c r="M655" s="240"/>
      <c r="N655" s="236"/>
      <c r="O655" s="241"/>
      <c r="P655" s="241"/>
      <c r="Q655" s="241"/>
      <c r="R655" s="241"/>
      <c r="S655" s="241"/>
      <c r="T655" s="241"/>
      <c r="U655" s="241"/>
    </row>
    <row r="656" spans="2:21" ht="21.5" customHeight="1">
      <c r="B656" s="225">
        <f>'임금대장 양식'!B656</f>
        <v>0</v>
      </c>
      <c r="C656" s="225" cm="1">
        <f t="array" ref="C656:C657">'임금대장 양식'!C656:C657</f>
        <v>0</v>
      </c>
      <c r="D656" s="225">
        <f>'임금대장 양식'!D656</f>
        <v>0</v>
      </c>
      <c r="E656" s="226">
        <f>'임금대장 양식'!E656</f>
        <v>0</v>
      </c>
      <c r="F656" s="227">
        <f>'임금대장 양식'!F656</f>
        <v>0</v>
      </c>
      <c r="G656" s="228">
        <f t="shared" ref="G656" si="3553">IFERROR((F656)/M656,0)</f>
        <v>0</v>
      </c>
      <c r="H656" s="229">
        <f t="shared" ref="H656:H691" si="3554">IF(F656=0,0,ROUND((8*5)*(365/12/7),0))</f>
        <v>0</v>
      </c>
      <c r="I656" s="229">
        <f t="shared" ref="I656:I691" si="3555">IF(F656=0,0,ROUND(8*365/12/7,0))</f>
        <v>0</v>
      </c>
      <c r="J656" s="230">
        <f>'임금대장 양식'!J656</f>
        <v>0</v>
      </c>
      <c r="K656" s="231">
        <f>'임금대장 양식'!K656</f>
        <v>0</v>
      </c>
      <c r="L656" s="231">
        <f>'임금대장 양식'!L656</f>
        <v>0</v>
      </c>
      <c r="M656" s="232">
        <f t="shared" ref="M656:M691" si="3556">H656+I656+J657+K657+L657</f>
        <v>0</v>
      </c>
      <c r="N656" s="227">
        <f t="shared" ref="N656:N691" si="3557">IF(G656=0,0,G656*(H656+I656)-(R656+S656+T656+U656))</f>
        <v>0</v>
      </c>
      <c r="O656" s="233">
        <f t="shared" ref="O656:O691" si="3558">G656*J657</f>
        <v>0</v>
      </c>
      <c r="P656" s="233">
        <f t="shared" ref="P656:P691" si="3559">G656*K657</f>
        <v>0</v>
      </c>
      <c r="Q656" s="233">
        <f t="shared" ref="Q656:Q691" si="3560">G656*L657</f>
        <v>0</v>
      </c>
      <c r="R656" s="233">
        <f>'임금대장 양식'!R656</f>
        <v>0</v>
      </c>
      <c r="S656" s="233">
        <f>'임금대장 양식'!S656</f>
        <v>0</v>
      </c>
      <c r="T656" s="233">
        <f>'임금대장 양식'!T656</f>
        <v>0</v>
      </c>
      <c r="U656" s="233">
        <f>'임금대장 양식'!U656</f>
        <v>0</v>
      </c>
    </row>
    <row r="657" spans="2:21" ht="21.5" customHeight="1">
      <c r="B657" s="234"/>
      <c r="C657" s="234">
        <v>0</v>
      </c>
      <c r="D657" s="210">
        <f>'임금대장 양식'!D657</f>
        <v>0</v>
      </c>
      <c r="E657" s="235"/>
      <c r="F657" s="236"/>
      <c r="G657" s="237"/>
      <c r="H657" s="238"/>
      <c r="I657" s="238"/>
      <c r="J657" s="239">
        <f t="shared" ref="J657:J691" si="3561">ROUND(J656*(365/12/7)*IF($S$4="5인 이상",1.5,1),0)</f>
        <v>0</v>
      </c>
      <c r="K657" s="239">
        <f t="shared" ref="K657:K691" si="3562">ROUND(K656*IF($S$4="5인 이상",1.5,1),0)</f>
        <v>0</v>
      </c>
      <c r="L657" s="239">
        <f t="shared" ref="L657:L691" si="3563">ROUND(L656*IF($S$4="5인 이상",1.5,1)+L656*IF($S$4="5인 이상",0.5,1),0)</f>
        <v>0</v>
      </c>
      <c r="M657" s="240"/>
      <c r="N657" s="236"/>
      <c r="O657" s="241"/>
      <c r="P657" s="241"/>
      <c r="Q657" s="241"/>
      <c r="R657" s="241"/>
      <c r="S657" s="241"/>
      <c r="T657" s="241"/>
      <c r="U657" s="241"/>
    </row>
    <row r="658" spans="2:21" ht="21.5" customHeight="1">
      <c r="B658" s="225">
        <f>'임금대장 양식'!B658</f>
        <v>0</v>
      </c>
      <c r="C658" s="225" cm="1">
        <f t="array" ref="C658:C659">'임금대장 양식'!C658:C659</f>
        <v>0</v>
      </c>
      <c r="D658" s="225">
        <f>'임금대장 양식'!D658</f>
        <v>0</v>
      </c>
      <c r="E658" s="226">
        <f>'임금대장 양식'!E658</f>
        <v>0</v>
      </c>
      <c r="F658" s="227">
        <f>'임금대장 양식'!F658</f>
        <v>0</v>
      </c>
      <c r="G658" s="228">
        <f t="shared" ref="G658" si="3564">IFERROR((F658)/M658,0)</f>
        <v>0</v>
      </c>
      <c r="H658" s="229">
        <f t="shared" ref="H658:H691" si="3565">IF(F658=0,0,ROUND((8*5)*(365/12/7),0))</f>
        <v>0</v>
      </c>
      <c r="I658" s="229">
        <f t="shared" ref="I658:I691" si="3566">IF(F658=0,0,ROUND(8*365/12/7,0))</f>
        <v>0</v>
      </c>
      <c r="J658" s="230">
        <f>'임금대장 양식'!J658</f>
        <v>0</v>
      </c>
      <c r="K658" s="231">
        <f>'임금대장 양식'!K658</f>
        <v>0</v>
      </c>
      <c r="L658" s="231">
        <f>'임금대장 양식'!L658</f>
        <v>0</v>
      </c>
      <c r="M658" s="232">
        <f t="shared" ref="M658:M691" si="3567">H658+I658+J659+K659+L659</f>
        <v>0</v>
      </c>
      <c r="N658" s="227">
        <f t="shared" ref="N658:N691" si="3568">IF(G658=0,0,G658*(H658+I658)-(R658+S658+T658+U658))</f>
        <v>0</v>
      </c>
      <c r="O658" s="233">
        <f t="shared" ref="O658:O691" si="3569">G658*J659</f>
        <v>0</v>
      </c>
      <c r="P658" s="233">
        <f t="shared" ref="P658:P691" si="3570">G658*K659</f>
        <v>0</v>
      </c>
      <c r="Q658" s="233">
        <f t="shared" ref="Q658:Q691" si="3571">G658*L659</f>
        <v>0</v>
      </c>
      <c r="R658" s="233">
        <f>'임금대장 양식'!R658</f>
        <v>0</v>
      </c>
      <c r="S658" s="233">
        <f>'임금대장 양식'!S658</f>
        <v>0</v>
      </c>
      <c r="T658" s="233">
        <f>'임금대장 양식'!T658</f>
        <v>0</v>
      </c>
      <c r="U658" s="233">
        <f>'임금대장 양식'!U658</f>
        <v>0</v>
      </c>
    </row>
    <row r="659" spans="2:21" ht="21.5" customHeight="1">
      <c r="B659" s="234"/>
      <c r="C659" s="234">
        <v>0</v>
      </c>
      <c r="D659" s="210">
        <f>'임금대장 양식'!D659</f>
        <v>0</v>
      </c>
      <c r="E659" s="235"/>
      <c r="F659" s="236"/>
      <c r="G659" s="237"/>
      <c r="H659" s="238"/>
      <c r="I659" s="238"/>
      <c r="J659" s="239">
        <f t="shared" ref="J659:J691" si="3572">ROUND(J658*(365/12/7)*IF($S$4="5인 이상",1.5,1),0)</f>
        <v>0</v>
      </c>
      <c r="K659" s="239">
        <f t="shared" ref="K659:K691" si="3573">ROUND(K658*IF($S$4="5인 이상",1.5,1),0)</f>
        <v>0</v>
      </c>
      <c r="L659" s="239">
        <f t="shared" ref="L659:L691" si="3574">ROUND(L658*IF($S$4="5인 이상",1.5,1)+L658*IF($S$4="5인 이상",0.5,1),0)</f>
        <v>0</v>
      </c>
      <c r="M659" s="240"/>
      <c r="N659" s="236"/>
      <c r="O659" s="241"/>
      <c r="P659" s="241"/>
      <c r="Q659" s="241"/>
      <c r="R659" s="241"/>
      <c r="S659" s="241"/>
      <c r="T659" s="241"/>
      <c r="U659" s="241"/>
    </row>
    <row r="660" spans="2:21" ht="21.5" customHeight="1">
      <c r="B660" s="225">
        <f>'임금대장 양식'!B660</f>
        <v>0</v>
      </c>
      <c r="C660" s="225" cm="1">
        <f t="array" ref="C660:C661">'임금대장 양식'!C660:C661</f>
        <v>0</v>
      </c>
      <c r="D660" s="225">
        <f>'임금대장 양식'!D660</f>
        <v>0</v>
      </c>
      <c r="E660" s="226">
        <f>'임금대장 양식'!E660</f>
        <v>0</v>
      </c>
      <c r="F660" s="227">
        <f>'임금대장 양식'!F660</f>
        <v>0</v>
      </c>
      <c r="G660" s="228">
        <f t="shared" ref="G660" si="3575">IFERROR((F660)/M660,0)</f>
        <v>0</v>
      </c>
      <c r="H660" s="229">
        <f t="shared" ref="H660:H691" si="3576">IF(F660=0,0,ROUND((8*5)*(365/12/7),0))</f>
        <v>0</v>
      </c>
      <c r="I660" s="229">
        <f t="shared" ref="I660:I691" si="3577">IF(F660=0,0,ROUND(8*365/12/7,0))</f>
        <v>0</v>
      </c>
      <c r="J660" s="230">
        <f>'임금대장 양식'!J660</f>
        <v>0</v>
      </c>
      <c r="K660" s="231">
        <f>'임금대장 양식'!K660</f>
        <v>0</v>
      </c>
      <c r="L660" s="231">
        <f>'임금대장 양식'!L660</f>
        <v>0</v>
      </c>
      <c r="M660" s="232">
        <f t="shared" ref="M660:M691" si="3578">H660+I660+J661+K661+L661</f>
        <v>0</v>
      </c>
      <c r="N660" s="227">
        <f t="shared" ref="N660:N691" si="3579">IF(G660=0,0,G660*(H660+I660)-(R660+S660+T660+U660))</f>
        <v>0</v>
      </c>
      <c r="O660" s="233">
        <f t="shared" ref="O660:O691" si="3580">G660*J661</f>
        <v>0</v>
      </c>
      <c r="P660" s="233">
        <f t="shared" ref="P660:P691" si="3581">G660*K661</f>
        <v>0</v>
      </c>
      <c r="Q660" s="233">
        <f t="shared" ref="Q660:Q691" si="3582">G660*L661</f>
        <v>0</v>
      </c>
      <c r="R660" s="233">
        <f>'임금대장 양식'!R660</f>
        <v>0</v>
      </c>
      <c r="S660" s="233">
        <f>'임금대장 양식'!S660</f>
        <v>0</v>
      </c>
      <c r="T660" s="233">
        <f>'임금대장 양식'!T660</f>
        <v>0</v>
      </c>
      <c r="U660" s="233">
        <f>'임금대장 양식'!U660</f>
        <v>0</v>
      </c>
    </row>
    <row r="661" spans="2:21" ht="21.5" customHeight="1">
      <c r="B661" s="234"/>
      <c r="C661" s="234">
        <v>0</v>
      </c>
      <c r="D661" s="210">
        <f>'임금대장 양식'!D661</f>
        <v>0</v>
      </c>
      <c r="E661" s="235"/>
      <c r="F661" s="236"/>
      <c r="G661" s="237"/>
      <c r="H661" s="238"/>
      <c r="I661" s="238"/>
      <c r="J661" s="239">
        <f t="shared" ref="J661:J691" si="3583">ROUND(J660*(365/12/7)*IF($S$4="5인 이상",1.5,1),0)</f>
        <v>0</v>
      </c>
      <c r="K661" s="239">
        <f t="shared" ref="K661:K691" si="3584">ROUND(K660*IF($S$4="5인 이상",1.5,1),0)</f>
        <v>0</v>
      </c>
      <c r="L661" s="239">
        <f t="shared" ref="L661:L691" si="3585">ROUND(L660*IF($S$4="5인 이상",1.5,1)+L660*IF($S$4="5인 이상",0.5,1),0)</f>
        <v>0</v>
      </c>
      <c r="M661" s="240"/>
      <c r="N661" s="236"/>
      <c r="O661" s="241"/>
      <c r="P661" s="241"/>
      <c r="Q661" s="241"/>
      <c r="R661" s="241"/>
      <c r="S661" s="241"/>
      <c r="T661" s="241"/>
      <c r="U661" s="241"/>
    </row>
    <row r="662" spans="2:21" ht="21.5" customHeight="1">
      <c r="B662" s="225">
        <f>'임금대장 양식'!B662</f>
        <v>0</v>
      </c>
      <c r="C662" s="225" cm="1">
        <f t="array" ref="C662:C663">'임금대장 양식'!C662:C663</f>
        <v>0</v>
      </c>
      <c r="D662" s="225">
        <f>'임금대장 양식'!D662</f>
        <v>0</v>
      </c>
      <c r="E662" s="226">
        <f>'임금대장 양식'!E662</f>
        <v>0</v>
      </c>
      <c r="F662" s="227">
        <f>'임금대장 양식'!F662</f>
        <v>0</v>
      </c>
      <c r="G662" s="228">
        <f t="shared" ref="G662" si="3586">IFERROR((F662)/M662,0)</f>
        <v>0</v>
      </c>
      <c r="H662" s="229">
        <f t="shared" ref="H662:H691" si="3587">IF(F662=0,0,ROUND((8*5)*(365/12/7),0))</f>
        <v>0</v>
      </c>
      <c r="I662" s="229">
        <f t="shared" ref="I662:I691" si="3588">IF(F662=0,0,ROUND(8*365/12/7,0))</f>
        <v>0</v>
      </c>
      <c r="J662" s="230">
        <f>'임금대장 양식'!J662</f>
        <v>0</v>
      </c>
      <c r="K662" s="231">
        <f>'임금대장 양식'!K662</f>
        <v>0</v>
      </c>
      <c r="L662" s="231">
        <f>'임금대장 양식'!L662</f>
        <v>0</v>
      </c>
      <c r="M662" s="232">
        <f t="shared" ref="M662:M691" si="3589">H662+I662+J663+K663+L663</f>
        <v>0</v>
      </c>
      <c r="N662" s="227">
        <f t="shared" ref="N662:N691" si="3590">IF(G662=0,0,G662*(H662+I662)-(R662+S662+T662+U662))</f>
        <v>0</v>
      </c>
      <c r="O662" s="233">
        <f t="shared" ref="O662:O691" si="3591">G662*J663</f>
        <v>0</v>
      </c>
      <c r="P662" s="233">
        <f t="shared" ref="P662:P691" si="3592">G662*K663</f>
        <v>0</v>
      </c>
      <c r="Q662" s="233">
        <f t="shared" ref="Q662:Q691" si="3593">G662*L663</f>
        <v>0</v>
      </c>
      <c r="R662" s="233">
        <f>'임금대장 양식'!R662</f>
        <v>0</v>
      </c>
      <c r="S662" s="233">
        <f>'임금대장 양식'!S662</f>
        <v>0</v>
      </c>
      <c r="T662" s="233">
        <f>'임금대장 양식'!T662</f>
        <v>0</v>
      </c>
      <c r="U662" s="233">
        <f>'임금대장 양식'!U662</f>
        <v>0</v>
      </c>
    </row>
    <row r="663" spans="2:21" ht="21.5" customHeight="1">
      <c r="B663" s="234"/>
      <c r="C663" s="234">
        <v>0</v>
      </c>
      <c r="D663" s="210">
        <f>'임금대장 양식'!D663</f>
        <v>0</v>
      </c>
      <c r="E663" s="235"/>
      <c r="F663" s="236"/>
      <c r="G663" s="237"/>
      <c r="H663" s="238"/>
      <c r="I663" s="238"/>
      <c r="J663" s="239">
        <f t="shared" ref="J663:J691" si="3594">ROUND(J662*(365/12/7)*IF($S$4="5인 이상",1.5,1),0)</f>
        <v>0</v>
      </c>
      <c r="K663" s="239">
        <f t="shared" ref="K663:K691" si="3595">ROUND(K662*IF($S$4="5인 이상",1.5,1),0)</f>
        <v>0</v>
      </c>
      <c r="L663" s="239">
        <f t="shared" ref="L663:L691" si="3596">ROUND(L662*IF($S$4="5인 이상",1.5,1)+L662*IF($S$4="5인 이상",0.5,1),0)</f>
        <v>0</v>
      </c>
      <c r="M663" s="240"/>
      <c r="N663" s="236"/>
      <c r="O663" s="241"/>
      <c r="P663" s="241"/>
      <c r="Q663" s="241"/>
      <c r="R663" s="241"/>
      <c r="S663" s="241"/>
      <c r="T663" s="241"/>
      <c r="U663" s="241"/>
    </row>
    <row r="664" spans="2:21" ht="21.5" customHeight="1">
      <c r="B664" s="225">
        <f>'임금대장 양식'!B664</f>
        <v>0</v>
      </c>
      <c r="C664" s="225" cm="1">
        <f t="array" ref="C664:C665">'임금대장 양식'!C664:C665</f>
        <v>0</v>
      </c>
      <c r="D664" s="225">
        <f>'임금대장 양식'!D664</f>
        <v>0</v>
      </c>
      <c r="E664" s="226">
        <f>'임금대장 양식'!E664</f>
        <v>0</v>
      </c>
      <c r="F664" s="227">
        <f>'임금대장 양식'!F664</f>
        <v>0</v>
      </c>
      <c r="G664" s="228">
        <f t="shared" ref="G664" si="3597">IFERROR((F664)/M664,0)</f>
        <v>0</v>
      </c>
      <c r="H664" s="229">
        <f t="shared" ref="H664:H691" si="3598">IF(F664=0,0,ROUND((8*5)*(365/12/7),0))</f>
        <v>0</v>
      </c>
      <c r="I664" s="229">
        <f t="shared" ref="I664:I691" si="3599">IF(F664=0,0,ROUND(8*365/12/7,0))</f>
        <v>0</v>
      </c>
      <c r="J664" s="230">
        <f>'임금대장 양식'!J664</f>
        <v>0</v>
      </c>
      <c r="K664" s="231">
        <f>'임금대장 양식'!K664</f>
        <v>0</v>
      </c>
      <c r="L664" s="231">
        <f>'임금대장 양식'!L664</f>
        <v>0</v>
      </c>
      <c r="M664" s="232">
        <f t="shared" ref="M664:M691" si="3600">H664+I664+J665+K665+L665</f>
        <v>0</v>
      </c>
      <c r="N664" s="227">
        <f t="shared" ref="N664:N691" si="3601">IF(G664=0,0,G664*(H664+I664)-(R664+S664+T664+U664))</f>
        <v>0</v>
      </c>
      <c r="O664" s="233">
        <f t="shared" ref="O664:O691" si="3602">G664*J665</f>
        <v>0</v>
      </c>
      <c r="P664" s="233">
        <f t="shared" ref="P664:P691" si="3603">G664*K665</f>
        <v>0</v>
      </c>
      <c r="Q664" s="233">
        <f t="shared" ref="Q664:Q691" si="3604">G664*L665</f>
        <v>0</v>
      </c>
      <c r="R664" s="233">
        <f>'임금대장 양식'!R664</f>
        <v>0</v>
      </c>
      <c r="S664" s="233">
        <f>'임금대장 양식'!S664</f>
        <v>0</v>
      </c>
      <c r="T664" s="233">
        <f>'임금대장 양식'!T664</f>
        <v>0</v>
      </c>
      <c r="U664" s="233">
        <f>'임금대장 양식'!U664</f>
        <v>0</v>
      </c>
    </row>
    <row r="665" spans="2:21" ht="21.5" customHeight="1">
      <c r="B665" s="234"/>
      <c r="C665" s="234">
        <v>0</v>
      </c>
      <c r="D665" s="210">
        <f>'임금대장 양식'!D665</f>
        <v>0</v>
      </c>
      <c r="E665" s="235"/>
      <c r="F665" s="236"/>
      <c r="G665" s="237"/>
      <c r="H665" s="238"/>
      <c r="I665" s="238"/>
      <c r="J665" s="239">
        <f t="shared" ref="J665:J691" si="3605">ROUND(J664*(365/12/7)*IF($S$4="5인 이상",1.5,1),0)</f>
        <v>0</v>
      </c>
      <c r="K665" s="239">
        <f t="shared" ref="K665:K691" si="3606">ROUND(K664*IF($S$4="5인 이상",1.5,1),0)</f>
        <v>0</v>
      </c>
      <c r="L665" s="239">
        <f t="shared" ref="L665:L691" si="3607">ROUND(L664*IF($S$4="5인 이상",1.5,1)+L664*IF($S$4="5인 이상",0.5,1),0)</f>
        <v>0</v>
      </c>
      <c r="M665" s="240"/>
      <c r="N665" s="236"/>
      <c r="O665" s="241"/>
      <c r="P665" s="241"/>
      <c r="Q665" s="241"/>
      <c r="R665" s="241"/>
      <c r="S665" s="241"/>
      <c r="T665" s="241"/>
      <c r="U665" s="241"/>
    </row>
    <row r="666" spans="2:21" ht="21.5" customHeight="1">
      <c r="B666" s="225">
        <f>'임금대장 양식'!B666</f>
        <v>0</v>
      </c>
      <c r="C666" s="225" cm="1">
        <f t="array" ref="C666:C667">'임금대장 양식'!C666:C667</f>
        <v>0</v>
      </c>
      <c r="D666" s="225">
        <f>'임금대장 양식'!D666</f>
        <v>0</v>
      </c>
      <c r="E666" s="226">
        <f>'임금대장 양식'!E666</f>
        <v>0</v>
      </c>
      <c r="F666" s="227">
        <f>'임금대장 양식'!F666</f>
        <v>0</v>
      </c>
      <c r="G666" s="228">
        <f t="shared" ref="G666" si="3608">IFERROR((F666)/M666,0)</f>
        <v>0</v>
      </c>
      <c r="H666" s="229">
        <f t="shared" ref="H666:H691" si="3609">IF(F666=0,0,ROUND((8*5)*(365/12/7),0))</f>
        <v>0</v>
      </c>
      <c r="I666" s="229">
        <f t="shared" ref="I666:I691" si="3610">IF(F666=0,0,ROUND(8*365/12/7,0))</f>
        <v>0</v>
      </c>
      <c r="J666" s="230">
        <f>'임금대장 양식'!J666</f>
        <v>0</v>
      </c>
      <c r="K666" s="231">
        <f>'임금대장 양식'!K666</f>
        <v>0</v>
      </c>
      <c r="L666" s="231">
        <f>'임금대장 양식'!L666</f>
        <v>0</v>
      </c>
      <c r="M666" s="232">
        <f t="shared" ref="M666:M691" si="3611">H666+I666+J667+K667+L667</f>
        <v>0</v>
      </c>
      <c r="N666" s="227">
        <f t="shared" ref="N666:N691" si="3612">IF(G666=0,0,G666*(H666+I666)-(R666+S666+T666+U666))</f>
        <v>0</v>
      </c>
      <c r="O666" s="233">
        <f t="shared" ref="O666:O691" si="3613">G666*J667</f>
        <v>0</v>
      </c>
      <c r="P666" s="233">
        <f t="shared" ref="P666:P691" si="3614">G666*K667</f>
        <v>0</v>
      </c>
      <c r="Q666" s="233">
        <f t="shared" ref="Q666:Q691" si="3615">G666*L667</f>
        <v>0</v>
      </c>
      <c r="R666" s="233">
        <f>'임금대장 양식'!R666</f>
        <v>0</v>
      </c>
      <c r="S666" s="233">
        <f>'임금대장 양식'!S666</f>
        <v>0</v>
      </c>
      <c r="T666" s="233">
        <f>'임금대장 양식'!T666</f>
        <v>0</v>
      </c>
      <c r="U666" s="233">
        <f>'임금대장 양식'!U666</f>
        <v>0</v>
      </c>
    </row>
    <row r="667" spans="2:21" ht="21.5" customHeight="1">
      <c r="B667" s="234"/>
      <c r="C667" s="234">
        <v>0</v>
      </c>
      <c r="D667" s="210">
        <f>'임금대장 양식'!D667</f>
        <v>0</v>
      </c>
      <c r="E667" s="235"/>
      <c r="F667" s="236"/>
      <c r="G667" s="237"/>
      <c r="H667" s="238"/>
      <c r="I667" s="238"/>
      <c r="J667" s="239">
        <f t="shared" ref="J667:J691" si="3616">ROUND(J666*(365/12/7)*IF($S$4="5인 이상",1.5,1),0)</f>
        <v>0</v>
      </c>
      <c r="K667" s="239">
        <f t="shared" ref="K667:K691" si="3617">ROUND(K666*IF($S$4="5인 이상",1.5,1),0)</f>
        <v>0</v>
      </c>
      <c r="L667" s="239">
        <f t="shared" ref="L667:L691" si="3618">ROUND(L666*IF($S$4="5인 이상",1.5,1)+L666*IF($S$4="5인 이상",0.5,1),0)</f>
        <v>0</v>
      </c>
      <c r="M667" s="240"/>
      <c r="N667" s="236"/>
      <c r="O667" s="241"/>
      <c r="P667" s="241"/>
      <c r="Q667" s="241"/>
      <c r="R667" s="241"/>
      <c r="S667" s="241"/>
      <c r="T667" s="241"/>
      <c r="U667" s="241"/>
    </row>
    <row r="668" spans="2:21" ht="21.5" customHeight="1">
      <c r="B668" s="225">
        <f>'임금대장 양식'!B668</f>
        <v>0</v>
      </c>
      <c r="C668" s="225" cm="1">
        <f t="array" ref="C668:C669">'임금대장 양식'!C668:C669</f>
        <v>0</v>
      </c>
      <c r="D668" s="225">
        <f>'임금대장 양식'!D668</f>
        <v>0</v>
      </c>
      <c r="E668" s="226">
        <f>'임금대장 양식'!E668</f>
        <v>0</v>
      </c>
      <c r="F668" s="227">
        <f>'임금대장 양식'!F668</f>
        <v>0</v>
      </c>
      <c r="G668" s="228">
        <f t="shared" ref="G668" si="3619">IFERROR((F668)/M668,0)</f>
        <v>0</v>
      </c>
      <c r="H668" s="229">
        <f t="shared" ref="H668:H691" si="3620">IF(F668=0,0,ROUND((8*5)*(365/12/7),0))</f>
        <v>0</v>
      </c>
      <c r="I668" s="229">
        <f t="shared" ref="I668:I691" si="3621">IF(F668=0,0,ROUND(8*365/12/7,0))</f>
        <v>0</v>
      </c>
      <c r="J668" s="230">
        <f>'임금대장 양식'!J668</f>
        <v>0</v>
      </c>
      <c r="K668" s="231">
        <f>'임금대장 양식'!K668</f>
        <v>0</v>
      </c>
      <c r="L668" s="231">
        <f>'임금대장 양식'!L668</f>
        <v>0</v>
      </c>
      <c r="M668" s="232">
        <f t="shared" ref="M668:M691" si="3622">H668+I668+J669+K669+L669</f>
        <v>0</v>
      </c>
      <c r="N668" s="227">
        <f t="shared" ref="N668:N691" si="3623">IF(G668=0,0,G668*(H668+I668)-(R668+S668+T668+U668))</f>
        <v>0</v>
      </c>
      <c r="O668" s="233">
        <f t="shared" ref="O668:O691" si="3624">G668*J669</f>
        <v>0</v>
      </c>
      <c r="P668" s="233">
        <f t="shared" ref="P668:P691" si="3625">G668*K669</f>
        <v>0</v>
      </c>
      <c r="Q668" s="233">
        <f t="shared" ref="Q668:Q691" si="3626">G668*L669</f>
        <v>0</v>
      </c>
      <c r="R668" s="233">
        <f>'임금대장 양식'!R668</f>
        <v>0</v>
      </c>
      <c r="S668" s="233">
        <f>'임금대장 양식'!S668</f>
        <v>0</v>
      </c>
      <c r="T668" s="233">
        <f>'임금대장 양식'!T668</f>
        <v>0</v>
      </c>
      <c r="U668" s="233">
        <f>'임금대장 양식'!U668</f>
        <v>0</v>
      </c>
    </row>
    <row r="669" spans="2:21" ht="21.5" customHeight="1">
      <c r="B669" s="234"/>
      <c r="C669" s="234">
        <v>0</v>
      </c>
      <c r="D669" s="210">
        <f>'임금대장 양식'!D669</f>
        <v>0</v>
      </c>
      <c r="E669" s="235"/>
      <c r="F669" s="236"/>
      <c r="G669" s="237"/>
      <c r="H669" s="238"/>
      <c r="I669" s="238"/>
      <c r="J669" s="239">
        <f t="shared" ref="J669:J691" si="3627">ROUND(J668*(365/12/7)*IF($S$4="5인 이상",1.5,1),0)</f>
        <v>0</v>
      </c>
      <c r="K669" s="239">
        <f t="shared" ref="K669:K691" si="3628">ROUND(K668*IF($S$4="5인 이상",1.5,1),0)</f>
        <v>0</v>
      </c>
      <c r="L669" s="239">
        <f t="shared" ref="L669:L691" si="3629">ROUND(L668*IF($S$4="5인 이상",1.5,1)+L668*IF($S$4="5인 이상",0.5,1),0)</f>
        <v>0</v>
      </c>
      <c r="M669" s="240"/>
      <c r="N669" s="236"/>
      <c r="O669" s="241"/>
      <c r="P669" s="241"/>
      <c r="Q669" s="241"/>
      <c r="R669" s="241"/>
      <c r="S669" s="241"/>
      <c r="T669" s="241"/>
      <c r="U669" s="241"/>
    </row>
    <row r="670" spans="2:21" ht="21.5" customHeight="1">
      <c r="B670" s="225">
        <f>'임금대장 양식'!B670</f>
        <v>0</v>
      </c>
      <c r="C670" s="225" cm="1">
        <f t="array" ref="C670:C671">'임금대장 양식'!C670:C671</f>
        <v>0</v>
      </c>
      <c r="D670" s="225">
        <f>'임금대장 양식'!D670</f>
        <v>0</v>
      </c>
      <c r="E670" s="226">
        <f>'임금대장 양식'!E670</f>
        <v>0</v>
      </c>
      <c r="F670" s="227">
        <f>'임금대장 양식'!F670</f>
        <v>0</v>
      </c>
      <c r="G670" s="228">
        <f t="shared" ref="G670" si="3630">IFERROR((F670)/M670,0)</f>
        <v>0</v>
      </c>
      <c r="H670" s="229">
        <f t="shared" ref="H670:H691" si="3631">IF(F670=0,0,ROUND((8*5)*(365/12/7),0))</f>
        <v>0</v>
      </c>
      <c r="I670" s="229">
        <f t="shared" ref="I670:I691" si="3632">IF(F670=0,0,ROUND(8*365/12/7,0))</f>
        <v>0</v>
      </c>
      <c r="J670" s="230">
        <f>'임금대장 양식'!J670</f>
        <v>0</v>
      </c>
      <c r="K670" s="231">
        <f>'임금대장 양식'!K670</f>
        <v>0</v>
      </c>
      <c r="L670" s="231">
        <f>'임금대장 양식'!L670</f>
        <v>0</v>
      </c>
      <c r="M670" s="232">
        <f t="shared" ref="M670:M691" si="3633">H670+I670+J671+K671+L671</f>
        <v>0</v>
      </c>
      <c r="N670" s="227">
        <f t="shared" ref="N670:N691" si="3634">IF(G670=0,0,G670*(H670+I670)-(R670+S670+T670+U670))</f>
        <v>0</v>
      </c>
      <c r="O670" s="233">
        <f t="shared" ref="O670:O691" si="3635">G670*J671</f>
        <v>0</v>
      </c>
      <c r="P670" s="233">
        <f t="shared" ref="P670:P691" si="3636">G670*K671</f>
        <v>0</v>
      </c>
      <c r="Q670" s="233">
        <f t="shared" ref="Q670:Q691" si="3637">G670*L671</f>
        <v>0</v>
      </c>
      <c r="R670" s="233">
        <f>'임금대장 양식'!R670</f>
        <v>0</v>
      </c>
      <c r="S670" s="233">
        <f>'임금대장 양식'!S670</f>
        <v>0</v>
      </c>
      <c r="T670" s="233">
        <f>'임금대장 양식'!T670</f>
        <v>0</v>
      </c>
      <c r="U670" s="233">
        <f>'임금대장 양식'!U670</f>
        <v>0</v>
      </c>
    </row>
    <row r="671" spans="2:21" ht="21.5" customHeight="1">
      <c r="B671" s="234"/>
      <c r="C671" s="234">
        <v>0</v>
      </c>
      <c r="D671" s="210">
        <f>'임금대장 양식'!D671</f>
        <v>0</v>
      </c>
      <c r="E671" s="235"/>
      <c r="F671" s="236"/>
      <c r="G671" s="237"/>
      <c r="H671" s="238"/>
      <c r="I671" s="238"/>
      <c r="J671" s="239">
        <f t="shared" ref="J671:J691" si="3638">ROUND(J670*(365/12/7)*IF($S$4="5인 이상",1.5,1),0)</f>
        <v>0</v>
      </c>
      <c r="K671" s="239">
        <f t="shared" ref="K671:K691" si="3639">ROUND(K670*IF($S$4="5인 이상",1.5,1),0)</f>
        <v>0</v>
      </c>
      <c r="L671" s="239">
        <f t="shared" ref="L671:L691" si="3640">ROUND(L670*IF($S$4="5인 이상",1.5,1)+L670*IF($S$4="5인 이상",0.5,1),0)</f>
        <v>0</v>
      </c>
      <c r="M671" s="240"/>
      <c r="N671" s="236"/>
      <c r="O671" s="241"/>
      <c r="P671" s="241"/>
      <c r="Q671" s="241"/>
      <c r="R671" s="241"/>
      <c r="S671" s="241"/>
      <c r="T671" s="241"/>
      <c r="U671" s="241"/>
    </row>
    <row r="672" spans="2:21" ht="21.5" customHeight="1">
      <c r="B672" s="225">
        <f>'임금대장 양식'!B672</f>
        <v>0</v>
      </c>
      <c r="C672" s="225" cm="1">
        <f t="array" ref="C672:C673">'임금대장 양식'!C672:C673</f>
        <v>0</v>
      </c>
      <c r="D672" s="225">
        <f>'임금대장 양식'!D672</f>
        <v>0</v>
      </c>
      <c r="E672" s="226">
        <f>'임금대장 양식'!E672</f>
        <v>0</v>
      </c>
      <c r="F672" s="227">
        <f>'임금대장 양식'!F672</f>
        <v>0</v>
      </c>
      <c r="G672" s="228">
        <f t="shared" ref="G672" si="3641">IFERROR((F672)/M672,0)</f>
        <v>0</v>
      </c>
      <c r="H672" s="229">
        <f t="shared" ref="H672:H691" si="3642">IF(F672=0,0,ROUND((8*5)*(365/12/7),0))</f>
        <v>0</v>
      </c>
      <c r="I672" s="229">
        <f t="shared" ref="I672:I691" si="3643">IF(F672=0,0,ROUND(8*365/12/7,0))</f>
        <v>0</v>
      </c>
      <c r="J672" s="230">
        <f>'임금대장 양식'!J672</f>
        <v>0</v>
      </c>
      <c r="K672" s="231">
        <f>'임금대장 양식'!K672</f>
        <v>0</v>
      </c>
      <c r="L672" s="231">
        <f>'임금대장 양식'!L672</f>
        <v>0</v>
      </c>
      <c r="M672" s="232">
        <f t="shared" ref="M672:M691" si="3644">H672+I672+J673+K673+L673</f>
        <v>0</v>
      </c>
      <c r="N672" s="227">
        <f t="shared" ref="N672:N691" si="3645">IF(G672=0,0,G672*(H672+I672)-(R672+S672+T672+U672))</f>
        <v>0</v>
      </c>
      <c r="O672" s="233">
        <f t="shared" ref="O672:O691" si="3646">G672*J673</f>
        <v>0</v>
      </c>
      <c r="P672" s="233">
        <f t="shared" ref="P672:P691" si="3647">G672*K673</f>
        <v>0</v>
      </c>
      <c r="Q672" s="233">
        <f t="shared" ref="Q672:Q691" si="3648">G672*L673</f>
        <v>0</v>
      </c>
      <c r="R672" s="233">
        <f>'임금대장 양식'!R672</f>
        <v>0</v>
      </c>
      <c r="S672" s="233">
        <f>'임금대장 양식'!S672</f>
        <v>0</v>
      </c>
      <c r="T672" s="233">
        <f>'임금대장 양식'!T672</f>
        <v>0</v>
      </c>
      <c r="U672" s="233">
        <f>'임금대장 양식'!U672</f>
        <v>0</v>
      </c>
    </row>
    <row r="673" spans="2:21" ht="21.5" customHeight="1">
      <c r="B673" s="234"/>
      <c r="C673" s="234">
        <v>0</v>
      </c>
      <c r="D673" s="210">
        <f>'임금대장 양식'!D673</f>
        <v>0</v>
      </c>
      <c r="E673" s="235"/>
      <c r="F673" s="236"/>
      <c r="G673" s="237"/>
      <c r="H673" s="238"/>
      <c r="I673" s="238"/>
      <c r="J673" s="239">
        <f t="shared" ref="J673:J691" si="3649">ROUND(J672*(365/12/7)*IF($S$4="5인 이상",1.5,1),0)</f>
        <v>0</v>
      </c>
      <c r="K673" s="239">
        <f t="shared" ref="K673:K691" si="3650">ROUND(K672*IF($S$4="5인 이상",1.5,1),0)</f>
        <v>0</v>
      </c>
      <c r="L673" s="239">
        <f t="shared" ref="L673:L691" si="3651">ROUND(L672*IF($S$4="5인 이상",1.5,1)+L672*IF($S$4="5인 이상",0.5,1),0)</f>
        <v>0</v>
      </c>
      <c r="M673" s="240"/>
      <c r="N673" s="236"/>
      <c r="O673" s="241"/>
      <c r="P673" s="241"/>
      <c r="Q673" s="241"/>
      <c r="R673" s="241"/>
      <c r="S673" s="241"/>
      <c r="T673" s="241"/>
      <c r="U673" s="241"/>
    </row>
    <row r="674" spans="2:21" ht="21.5" customHeight="1">
      <c r="B674" s="225">
        <f>'임금대장 양식'!B674</f>
        <v>0</v>
      </c>
      <c r="C674" s="225" cm="1">
        <f t="array" ref="C674:C675">'임금대장 양식'!C674:C675</f>
        <v>0</v>
      </c>
      <c r="D674" s="225">
        <f>'임금대장 양식'!D674</f>
        <v>0</v>
      </c>
      <c r="E674" s="226">
        <f>'임금대장 양식'!E674</f>
        <v>0</v>
      </c>
      <c r="F674" s="227">
        <f>'임금대장 양식'!F674</f>
        <v>0</v>
      </c>
      <c r="G674" s="228">
        <f t="shared" ref="G674" si="3652">IFERROR((F674)/M674,0)</f>
        <v>0</v>
      </c>
      <c r="H674" s="229">
        <f t="shared" ref="H674:H691" si="3653">IF(F674=0,0,ROUND((8*5)*(365/12/7),0))</f>
        <v>0</v>
      </c>
      <c r="I674" s="229">
        <f t="shared" ref="I674:I691" si="3654">IF(F674=0,0,ROUND(8*365/12/7,0))</f>
        <v>0</v>
      </c>
      <c r="J674" s="230">
        <f>'임금대장 양식'!J674</f>
        <v>0</v>
      </c>
      <c r="K674" s="231">
        <f>'임금대장 양식'!K674</f>
        <v>0</v>
      </c>
      <c r="L674" s="231">
        <f>'임금대장 양식'!L674</f>
        <v>0</v>
      </c>
      <c r="M674" s="232">
        <f t="shared" ref="M674:M691" si="3655">H674+I674+J675+K675+L675</f>
        <v>0</v>
      </c>
      <c r="N674" s="227">
        <f t="shared" ref="N674:N691" si="3656">IF(G674=0,0,G674*(H674+I674)-(R674+S674+T674+U674))</f>
        <v>0</v>
      </c>
      <c r="O674" s="233">
        <f t="shared" ref="O674:O691" si="3657">G674*J675</f>
        <v>0</v>
      </c>
      <c r="P674" s="233">
        <f t="shared" ref="P674:P691" si="3658">G674*K675</f>
        <v>0</v>
      </c>
      <c r="Q674" s="233">
        <f t="shared" ref="Q674:Q691" si="3659">G674*L675</f>
        <v>0</v>
      </c>
      <c r="R674" s="233">
        <f>'임금대장 양식'!R674</f>
        <v>0</v>
      </c>
      <c r="S674" s="233">
        <f>'임금대장 양식'!S674</f>
        <v>0</v>
      </c>
      <c r="T674" s="233">
        <f>'임금대장 양식'!T674</f>
        <v>0</v>
      </c>
      <c r="U674" s="233">
        <f>'임금대장 양식'!U674</f>
        <v>0</v>
      </c>
    </row>
    <row r="675" spans="2:21" ht="21.5" customHeight="1">
      <c r="B675" s="234"/>
      <c r="C675" s="234">
        <v>0</v>
      </c>
      <c r="D675" s="210">
        <f>'임금대장 양식'!D675</f>
        <v>0</v>
      </c>
      <c r="E675" s="235"/>
      <c r="F675" s="236"/>
      <c r="G675" s="237"/>
      <c r="H675" s="238"/>
      <c r="I675" s="238"/>
      <c r="J675" s="239">
        <f t="shared" ref="J675:J691" si="3660">ROUND(J674*(365/12/7)*IF($S$4="5인 이상",1.5,1),0)</f>
        <v>0</v>
      </c>
      <c r="K675" s="239">
        <f t="shared" ref="K675:K691" si="3661">ROUND(K674*IF($S$4="5인 이상",1.5,1),0)</f>
        <v>0</v>
      </c>
      <c r="L675" s="239">
        <f t="shared" ref="L675:L691" si="3662">ROUND(L674*IF($S$4="5인 이상",1.5,1)+L674*IF($S$4="5인 이상",0.5,1),0)</f>
        <v>0</v>
      </c>
      <c r="M675" s="240"/>
      <c r="N675" s="236"/>
      <c r="O675" s="241"/>
      <c r="P675" s="241"/>
      <c r="Q675" s="241"/>
      <c r="R675" s="241"/>
      <c r="S675" s="241"/>
      <c r="T675" s="241"/>
      <c r="U675" s="241"/>
    </row>
    <row r="676" spans="2:21" ht="21.5" customHeight="1">
      <c r="B676" s="225">
        <f>'임금대장 양식'!B676</f>
        <v>0</v>
      </c>
      <c r="C676" s="225" cm="1">
        <f t="array" ref="C676:C677">'임금대장 양식'!C676:C677</f>
        <v>0</v>
      </c>
      <c r="D676" s="225">
        <f>'임금대장 양식'!D676</f>
        <v>0</v>
      </c>
      <c r="E676" s="226">
        <f>'임금대장 양식'!E676</f>
        <v>0</v>
      </c>
      <c r="F676" s="227">
        <f>'임금대장 양식'!F676</f>
        <v>0</v>
      </c>
      <c r="G676" s="228">
        <f t="shared" ref="G676" si="3663">IFERROR((F676)/M676,0)</f>
        <v>0</v>
      </c>
      <c r="H676" s="229">
        <f t="shared" ref="H676:H691" si="3664">IF(F676=0,0,ROUND((8*5)*(365/12/7),0))</f>
        <v>0</v>
      </c>
      <c r="I676" s="229">
        <f t="shared" ref="I676:I691" si="3665">IF(F676=0,0,ROUND(8*365/12/7,0))</f>
        <v>0</v>
      </c>
      <c r="J676" s="230">
        <f>'임금대장 양식'!J676</f>
        <v>0</v>
      </c>
      <c r="K676" s="231">
        <f>'임금대장 양식'!K676</f>
        <v>0</v>
      </c>
      <c r="L676" s="231">
        <f>'임금대장 양식'!L676</f>
        <v>0</v>
      </c>
      <c r="M676" s="232">
        <f t="shared" ref="M676:M691" si="3666">H676+I676+J677+K677+L677</f>
        <v>0</v>
      </c>
      <c r="N676" s="227">
        <f t="shared" ref="N676:N691" si="3667">IF(G676=0,0,G676*(H676+I676)-(R676+S676+T676+U676))</f>
        <v>0</v>
      </c>
      <c r="O676" s="233">
        <f t="shared" ref="O676:O691" si="3668">G676*J677</f>
        <v>0</v>
      </c>
      <c r="P676" s="233">
        <f t="shared" ref="P676:P691" si="3669">G676*K677</f>
        <v>0</v>
      </c>
      <c r="Q676" s="233">
        <f t="shared" ref="Q676:Q691" si="3670">G676*L677</f>
        <v>0</v>
      </c>
      <c r="R676" s="233">
        <f>'임금대장 양식'!R676</f>
        <v>0</v>
      </c>
      <c r="S676" s="233">
        <f>'임금대장 양식'!S676</f>
        <v>0</v>
      </c>
      <c r="T676" s="233">
        <f>'임금대장 양식'!T676</f>
        <v>0</v>
      </c>
      <c r="U676" s="233">
        <f>'임금대장 양식'!U676</f>
        <v>0</v>
      </c>
    </row>
    <row r="677" spans="2:21" ht="21.5" customHeight="1">
      <c r="B677" s="234"/>
      <c r="C677" s="234">
        <v>0</v>
      </c>
      <c r="D677" s="210">
        <f>'임금대장 양식'!D677</f>
        <v>0</v>
      </c>
      <c r="E677" s="235"/>
      <c r="F677" s="236"/>
      <c r="G677" s="237"/>
      <c r="H677" s="238"/>
      <c r="I677" s="238"/>
      <c r="J677" s="239">
        <f t="shared" ref="J677:J691" si="3671">ROUND(J676*(365/12/7)*IF($S$4="5인 이상",1.5,1),0)</f>
        <v>0</v>
      </c>
      <c r="K677" s="239">
        <f t="shared" ref="K677:K691" si="3672">ROUND(K676*IF($S$4="5인 이상",1.5,1),0)</f>
        <v>0</v>
      </c>
      <c r="L677" s="239">
        <f t="shared" ref="L677:L691" si="3673">ROUND(L676*IF($S$4="5인 이상",1.5,1)+L676*IF($S$4="5인 이상",0.5,1),0)</f>
        <v>0</v>
      </c>
      <c r="M677" s="240"/>
      <c r="N677" s="236"/>
      <c r="O677" s="241"/>
      <c r="P677" s="241"/>
      <c r="Q677" s="241"/>
      <c r="R677" s="241"/>
      <c r="S677" s="241"/>
      <c r="T677" s="241"/>
      <c r="U677" s="241"/>
    </row>
    <row r="678" spans="2:21" ht="21.5" customHeight="1">
      <c r="B678" s="225">
        <f>'임금대장 양식'!B678</f>
        <v>0</v>
      </c>
      <c r="C678" s="225" cm="1">
        <f t="array" ref="C678:C679">'임금대장 양식'!C678:C679</f>
        <v>0</v>
      </c>
      <c r="D678" s="225">
        <f>'임금대장 양식'!D678</f>
        <v>0</v>
      </c>
      <c r="E678" s="226">
        <f>'임금대장 양식'!E678</f>
        <v>0</v>
      </c>
      <c r="F678" s="227">
        <f>'임금대장 양식'!F678</f>
        <v>0</v>
      </c>
      <c r="G678" s="228">
        <f t="shared" ref="G678" si="3674">IFERROR((F678)/M678,0)</f>
        <v>0</v>
      </c>
      <c r="H678" s="229">
        <f t="shared" ref="H678:H691" si="3675">IF(F678=0,0,ROUND((8*5)*(365/12/7),0))</f>
        <v>0</v>
      </c>
      <c r="I678" s="229">
        <f t="shared" ref="I678:I691" si="3676">IF(F678=0,0,ROUND(8*365/12/7,0))</f>
        <v>0</v>
      </c>
      <c r="J678" s="230">
        <f>'임금대장 양식'!J678</f>
        <v>0</v>
      </c>
      <c r="K678" s="231">
        <f>'임금대장 양식'!K678</f>
        <v>0</v>
      </c>
      <c r="L678" s="231">
        <f>'임금대장 양식'!L678</f>
        <v>0</v>
      </c>
      <c r="M678" s="232">
        <f t="shared" ref="M678:M691" si="3677">H678+I678+J679+K679+L679</f>
        <v>0</v>
      </c>
      <c r="N678" s="227">
        <f t="shared" ref="N678:N691" si="3678">IF(G678=0,0,G678*(H678+I678)-(R678+S678+T678+U678))</f>
        <v>0</v>
      </c>
      <c r="O678" s="233">
        <f t="shared" ref="O678:O691" si="3679">G678*J679</f>
        <v>0</v>
      </c>
      <c r="P678" s="233">
        <f t="shared" ref="P678:P691" si="3680">G678*K679</f>
        <v>0</v>
      </c>
      <c r="Q678" s="233">
        <f t="shared" ref="Q678:Q691" si="3681">G678*L679</f>
        <v>0</v>
      </c>
      <c r="R678" s="233">
        <f>'임금대장 양식'!R678</f>
        <v>0</v>
      </c>
      <c r="S678" s="233">
        <f>'임금대장 양식'!S678</f>
        <v>0</v>
      </c>
      <c r="T678" s="233">
        <f>'임금대장 양식'!T678</f>
        <v>0</v>
      </c>
      <c r="U678" s="233">
        <f>'임금대장 양식'!U678</f>
        <v>0</v>
      </c>
    </row>
    <row r="679" spans="2:21" ht="21.5" customHeight="1">
      <c r="B679" s="234"/>
      <c r="C679" s="234">
        <v>0</v>
      </c>
      <c r="D679" s="210">
        <f>'임금대장 양식'!D679</f>
        <v>0</v>
      </c>
      <c r="E679" s="235"/>
      <c r="F679" s="236"/>
      <c r="G679" s="237"/>
      <c r="H679" s="238"/>
      <c r="I679" s="238"/>
      <c r="J679" s="239">
        <f t="shared" ref="J679:J691" si="3682">ROUND(J678*(365/12/7)*IF($S$4="5인 이상",1.5,1),0)</f>
        <v>0</v>
      </c>
      <c r="K679" s="239">
        <f t="shared" ref="K679:K691" si="3683">ROUND(K678*IF($S$4="5인 이상",1.5,1),0)</f>
        <v>0</v>
      </c>
      <c r="L679" s="239">
        <f t="shared" ref="L679:L691" si="3684">ROUND(L678*IF($S$4="5인 이상",1.5,1)+L678*IF($S$4="5인 이상",0.5,1),0)</f>
        <v>0</v>
      </c>
      <c r="M679" s="240"/>
      <c r="N679" s="236"/>
      <c r="O679" s="241"/>
      <c r="P679" s="241"/>
      <c r="Q679" s="241"/>
      <c r="R679" s="241"/>
      <c r="S679" s="241"/>
      <c r="T679" s="241"/>
      <c r="U679" s="241"/>
    </row>
    <row r="680" spans="2:21" ht="21.5" customHeight="1">
      <c r="B680" s="225">
        <f>'임금대장 양식'!B680</f>
        <v>0</v>
      </c>
      <c r="C680" s="225" cm="1">
        <f t="array" ref="C680:C681">'임금대장 양식'!C680:C681</f>
        <v>0</v>
      </c>
      <c r="D680" s="225">
        <f>'임금대장 양식'!D680</f>
        <v>0</v>
      </c>
      <c r="E680" s="226">
        <f>'임금대장 양식'!E680</f>
        <v>0</v>
      </c>
      <c r="F680" s="227">
        <f>'임금대장 양식'!F680</f>
        <v>0</v>
      </c>
      <c r="G680" s="228">
        <f t="shared" ref="G680" si="3685">IFERROR((F680)/M680,0)</f>
        <v>0</v>
      </c>
      <c r="H680" s="229">
        <f t="shared" ref="H680:H691" si="3686">IF(F680=0,0,ROUND((8*5)*(365/12/7),0))</f>
        <v>0</v>
      </c>
      <c r="I680" s="229">
        <f t="shared" ref="I680:I691" si="3687">IF(F680=0,0,ROUND(8*365/12/7,0))</f>
        <v>0</v>
      </c>
      <c r="J680" s="230">
        <f>'임금대장 양식'!J680</f>
        <v>0</v>
      </c>
      <c r="K680" s="231">
        <f>'임금대장 양식'!K680</f>
        <v>0</v>
      </c>
      <c r="L680" s="231">
        <f>'임금대장 양식'!L680</f>
        <v>0</v>
      </c>
      <c r="M680" s="232">
        <f t="shared" ref="M680:M691" si="3688">H680+I680+J681+K681+L681</f>
        <v>0</v>
      </c>
      <c r="N680" s="227">
        <f t="shared" ref="N680:N691" si="3689">IF(G680=0,0,G680*(H680+I680)-(R680+S680+T680+U680))</f>
        <v>0</v>
      </c>
      <c r="O680" s="233">
        <f t="shared" ref="O680:O691" si="3690">G680*J681</f>
        <v>0</v>
      </c>
      <c r="P680" s="233">
        <f t="shared" ref="P680:P691" si="3691">G680*K681</f>
        <v>0</v>
      </c>
      <c r="Q680" s="233">
        <f t="shared" ref="Q680:Q691" si="3692">G680*L681</f>
        <v>0</v>
      </c>
      <c r="R680" s="233">
        <f>'임금대장 양식'!R680</f>
        <v>0</v>
      </c>
      <c r="S680" s="233">
        <f>'임금대장 양식'!S680</f>
        <v>0</v>
      </c>
      <c r="T680" s="233">
        <f>'임금대장 양식'!T680</f>
        <v>0</v>
      </c>
      <c r="U680" s="233">
        <f>'임금대장 양식'!U680</f>
        <v>0</v>
      </c>
    </row>
    <row r="681" spans="2:21" ht="21.5" customHeight="1">
      <c r="B681" s="234"/>
      <c r="C681" s="234">
        <v>0</v>
      </c>
      <c r="D681" s="210">
        <f>'임금대장 양식'!D681</f>
        <v>0</v>
      </c>
      <c r="E681" s="235"/>
      <c r="F681" s="236"/>
      <c r="G681" s="237"/>
      <c r="H681" s="238"/>
      <c r="I681" s="238"/>
      <c r="J681" s="239">
        <f t="shared" ref="J681:J691" si="3693">ROUND(J680*(365/12/7)*IF($S$4="5인 이상",1.5,1),0)</f>
        <v>0</v>
      </c>
      <c r="K681" s="239">
        <f t="shared" ref="K681:K691" si="3694">ROUND(K680*IF($S$4="5인 이상",1.5,1),0)</f>
        <v>0</v>
      </c>
      <c r="L681" s="239">
        <f t="shared" ref="L681:L691" si="3695">ROUND(L680*IF($S$4="5인 이상",1.5,1)+L680*IF($S$4="5인 이상",0.5,1),0)</f>
        <v>0</v>
      </c>
      <c r="M681" s="240"/>
      <c r="N681" s="236"/>
      <c r="O681" s="241"/>
      <c r="P681" s="241"/>
      <c r="Q681" s="241"/>
      <c r="R681" s="241"/>
      <c r="S681" s="241"/>
      <c r="T681" s="241"/>
      <c r="U681" s="241"/>
    </row>
    <row r="682" spans="2:21" ht="21.5" customHeight="1">
      <c r="B682" s="225">
        <f>'임금대장 양식'!B682</f>
        <v>0</v>
      </c>
      <c r="C682" s="225" cm="1">
        <f t="array" ref="C682:C683">'임금대장 양식'!C682:C683</f>
        <v>0</v>
      </c>
      <c r="D682" s="225">
        <f>'임금대장 양식'!D682</f>
        <v>0</v>
      </c>
      <c r="E682" s="226">
        <f>'임금대장 양식'!E682</f>
        <v>0</v>
      </c>
      <c r="F682" s="227">
        <f>'임금대장 양식'!F682</f>
        <v>0</v>
      </c>
      <c r="G682" s="228">
        <f t="shared" ref="G682" si="3696">IFERROR((F682)/M682,0)</f>
        <v>0</v>
      </c>
      <c r="H682" s="229">
        <f t="shared" ref="H682:H691" si="3697">IF(F682=0,0,ROUND((8*5)*(365/12/7),0))</f>
        <v>0</v>
      </c>
      <c r="I682" s="229">
        <f t="shared" ref="I682:I691" si="3698">IF(F682=0,0,ROUND(8*365/12/7,0))</f>
        <v>0</v>
      </c>
      <c r="J682" s="230">
        <f>'임금대장 양식'!J682</f>
        <v>0</v>
      </c>
      <c r="K682" s="231">
        <f>'임금대장 양식'!K682</f>
        <v>0</v>
      </c>
      <c r="L682" s="231">
        <f>'임금대장 양식'!L682</f>
        <v>0</v>
      </c>
      <c r="M682" s="232">
        <f t="shared" ref="M682:M691" si="3699">H682+I682+J683+K683+L683</f>
        <v>0</v>
      </c>
      <c r="N682" s="227">
        <f t="shared" ref="N682:N691" si="3700">IF(G682=0,0,G682*(H682+I682)-(R682+S682+T682+U682))</f>
        <v>0</v>
      </c>
      <c r="O682" s="233">
        <f t="shared" ref="O682:O691" si="3701">G682*J683</f>
        <v>0</v>
      </c>
      <c r="P682" s="233">
        <f t="shared" ref="P682:P691" si="3702">G682*K683</f>
        <v>0</v>
      </c>
      <c r="Q682" s="233">
        <f t="shared" ref="Q682:Q691" si="3703">G682*L683</f>
        <v>0</v>
      </c>
      <c r="R682" s="233">
        <f>'임금대장 양식'!R682</f>
        <v>0</v>
      </c>
      <c r="S682" s="233">
        <f>'임금대장 양식'!S682</f>
        <v>0</v>
      </c>
      <c r="T682" s="233">
        <f>'임금대장 양식'!T682</f>
        <v>0</v>
      </c>
      <c r="U682" s="233">
        <f>'임금대장 양식'!U682</f>
        <v>0</v>
      </c>
    </row>
    <row r="683" spans="2:21" ht="21.5" customHeight="1">
      <c r="B683" s="234"/>
      <c r="C683" s="234">
        <v>0</v>
      </c>
      <c r="D683" s="210">
        <f>'임금대장 양식'!D683</f>
        <v>0</v>
      </c>
      <c r="E683" s="235"/>
      <c r="F683" s="236"/>
      <c r="G683" s="237"/>
      <c r="H683" s="238"/>
      <c r="I683" s="238"/>
      <c r="J683" s="239">
        <f t="shared" ref="J683:J691" si="3704">ROUND(J682*(365/12/7)*IF($S$4="5인 이상",1.5,1),0)</f>
        <v>0</v>
      </c>
      <c r="K683" s="239">
        <f t="shared" ref="K683:K691" si="3705">ROUND(K682*IF($S$4="5인 이상",1.5,1),0)</f>
        <v>0</v>
      </c>
      <c r="L683" s="239">
        <f t="shared" ref="L683:L691" si="3706">ROUND(L682*IF($S$4="5인 이상",1.5,1)+L682*IF($S$4="5인 이상",0.5,1),0)</f>
        <v>0</v>
      </c>
      <c r="M683" s="240"/>
      <c r="N683" s="236"/>
      <c r="O683" s="241"/>
      <c r="P683" s="241"/>
      <c r="Q683" s="241"/>
      <c r="R683" s="241"/>
      <c r="S683" s="241"/>
      <c r="T683" s="241"/>
      <c r="U683" s="241"/>
    </row>
    <row r="684" spans="2:21" ht="21.5" customHeight="1">
      <c r="B684" s="225">
        <f>'임금대장 양식'!B684</f>
        <v>0</v>
      </c>
      <c r="C684" s="225" cm="1">
        <f t="array" ref="C684:C685">'임금대장 양식'!C684:C685</f>
        <v>0</v>
      </c>
      <c r="D684" s="225">
        <f>'임금대장 양식'!D684</f>
        <v>0</v>
      </c>
      <c r="E684" s="226">
        <f>'임금대장 양식'!E684</f>
        <v>0</v>
      </c>
      <c r="F684" s="227">
        <f>'임금대장 양식'!F684</f>
        <v>0</v>
      </c>
      <c r="G684" s="228">
        <f t="shared" ref="G684" si="3707">IFERROR((F684)/M684,0)</f>
        <v>0</v>
      </c>
      <c r="H684" s="229">
        <f t="shared" ref="H684:H691" si="3708">IF(F684=0,0,ROUND((8*5)*(365/12/7),0))</f>
        <v>0</v>
      </c>
      <c r="I684" s="229">
        <f t="shared" ref="I684:I691" si="3709">IF(F684=0,0,ROUND(8*365/12/7,0))</f>
        <v>0</v>
      </c>
      <c r="J684" s="230">
        <f>'임금대장 양식'!J684</f>
        <v>0</v>
      </c>
      <c r="K684" s="231">
        <f>'임금대장 양식'!K684</f>
        <v>0</v>
      </c>
      <c r="L684" s="231">
        <f>'임금대장 양식'!L684</f>
        <v>0</v>
      </c>
      <c r="M684" s="232">
        <f t="shared" ref="M684:M691" si="3710">H684+I684+J685+K685+L685</f>
        <v>0</v>
      </c>
      <c r="N684" s="227">
        <f t="shared" ref="N684:N691" si="3711">IF(G684=0,0,G684*(H684+I684)-(R684+S684+T684+U684))</f>
        <v>0</v>
      </c>
      <c r="O684" s="233">
        <f t="shared" ref="O684:O691" si="3712">G684*J685</f>
        <v>0</v>
      </c>
      <c r="P684" s="233">
        <f t="shared" ref="P684:P691" si="3713">G684*K685</f>
        <v>0</v>
      </c>
      <c r="Q684" s="233">
        <f t="shared" ref="Q684:Q691" si="3714">G684*L685</f>
        <v>0</v>
      </c>
      <c r="R684" s="233">
        <f>'임금대장 양식'!R684</f>
        <v>0</v>
      </c>
      <c r="S684" s="233">
        <f>'임금대장 양식'!S684</f>
        <v>0</v>
      </c>
      <c r="T684" s="233">
        <f>'임금대장 양식'!T684</f>
        <v>0</v>
      </c>
      <c r="U684" s="233">
        <f>'임금대장 양식'!U684</f>
        <v>0</v>
      </c>
    </row>
    <row r="685" spans="2:21" ht="21.5" customHeight="1">
      <c r="B685" s="234"/>
      <c r="C685" s="234">
        <v>0</v>
      </c>
      <c r="D685" s="210">
        <f>'임금대장 양식'!D685</f>
        <v>0</v>
      </c>
      <c r="E685" s="235"/>
      <c r="F685" s="236"/>
      <c r="G685" s="237"/>
      <c r="H685" s="238"/>
      <c r="I685" s="238"/>
      <c r="J685" s="239">
        <f t="shared" ref="J685:J691" si="3715">ROUND(J684*(365/12/7)*IF($S$4="5인 이상",1.5,1),0)</f>
        <v>0</v>
      </c>
      <c r="K685" s="239">
        <f t="shared" ref="K685:K691" si="3716">ROUND(K684*IF($S$4="5인 이상",1.5,1),0)</f>
        <v>0</v>
      </c>
      <c r="L685" s="239">
        <f t="shared" ref="L685:L691" si="3717">ROUND(L684*IF($S$4="5인 이상",1.5,1)+L684*IF($S$4="5인 이상",0.5,1),0)</f>
        <v>0</v>
      </c>
      <c r="M685" s="240"/>
      <c r="N685" s="236"/>
      <c r="O685" s="241"/>
      <c r="P685" s="241"/>
      <c r="Q685" s="241"/>
      <c r="R685" s="241"/>
      <c r="S685" s="241"/>
      <c r="T685" s="241"/>
      <c r="U685" s="241"/>
    </row>
    <row r="686" spans="2:21" ht="21.5" customHeight="1">
      <c r="B686" s="225">
        <f>'임금대장 양식'!B686</f>
        <v>0</v>
      </c>
      <c r="C686" s="225" cm="1">
        <f t="array" ref="C686:C687">'임금대장 양식'!C686:C687</f>
        <v>0</v>
      </c>
      <c r="D686" s="225">
        <f>'임금대장 양식'!D686</f>
        <v>0</v>
      </c>
      <c r="E686" s="226">
        <f>'임금대장 양식'!E686</f>
        <v>0</v>
      </c>
      <c r="F686" s="227">
        <f>'임금대장 양식'!F686</f>
        <v>0</v>
      </c>
      <c r="G686" s="228">
        <f t="shared" ref="G686" si="3718">IFERROR((F686)/M686,0)</f>
        <v>0</v>
      </c>
      <c r="H686" s="229">
        <f t="shared" ref="H686:H691" si="3719">IF(F686=0,0,ROUND((8*5)*(365/12/7),0))</f>
        <v>0</v>
      </c>
      <c r="I686" s="229">
        <f t="shared" ref="I686:I691" si="3720">IF(F686=0,0,ROUND(8*365/12/7,0))</f>
        <v>0</v>
      </c>
      <c r="J686" s="230">
        <f>'임금대장 양식'!J686</f>
        <v>0</v>
      </c>
      <c r="K686" s="231">
        <f>'임금대장 양식'!K686</f>
        <v>0</v>
      </c>
      <c r="L686" s="231">
        <f>'임금대장 양식'!L686</f>
        <v>0</v>
      </c>
      <c r="M686" s="232">
        <f t="shared" ref="M686:M691" si="3721">H686+I686+J687+K687+L687</f>
        <v>0</v>
      </c>
      <c r="N686" s="227">
        <f t="shared" ref="N686:N691" si="3722">IF(G686=0,0,G686*(H686+I686)-(R686+S686+T686+U686))</f>
        <v>0</v>
      </c>
      <c r="O686" s="233">
        <f t="shared" ref="O686:O691" si="3723">G686*J687</f>
        <v>0</v>
      </c>
      <c r="P686" s="233">
        <f t="shared" ref="P686:P691" si="3724">G686*K687</f>
        <v>0</v>
      </c>
      <c r="Q686" s="233">
        <f t="shared" ref="Q686:Q691" si="3725">G686*L687</f>
        <v>0</v>
      </c>
      <c r="R686" s="233">
        <f>'임금대장 양식'!R686</f>
        <v>0</v>
      </c>
      <c r="S686" s="233">
        <f>'임금대장 양식'!S686</f>
        <v>0</v>
      </c>
      <c r="T686" s="233">
        <f>'임금대장 양식'!T686</f>
        <v>0</v>
      </c>
      <c r="U686" s="233">
        <f>'임금대장 양식'!U686</f>
        <v>0</v>
      </c>
    </row>
    <row r="687" spans="2:21" ht="21.5" customHeight="1">
      <c r="B687" s="234"/>
      <c r="C687" s="234">
        <v>0</v>
      </c>
      <c r="D687" s="210">
        <f>'임금대장 양식'!D687</f>
        <v>0</v>
      </c>
      <c r="E687" s="235"/>
      <c r="F687" s="236"/>
      <c r="G687" s="237"/>
      <c r="H687" s="238"/>
      <c r="I687" s="238"/>
      <c r="J687" s="239">
        <f t="shared" ref="J687:J691" si="3726">ROUND(J686*(365/12/7)*IF($S$4="5인 이상",1.5,1),0)</f>
        <v>0</v>
      </c>
      <c r="K687" s="239">
        <f t="shared" ref="K687:K691" si="3727">ROUND(K686*IF($S$4="5인 이상",1.5,1),0)</f>
        <v>0</v>
      </c>
      <c r="L687" s="239">
        <f t="shared" ref="L687:L691" si="3728">ROUND(L686*IF($S$4="5인 이상",1.5,1)+L686*IF($S$4="5인 이상",0.5,1),0)</f>
        <v>0</v>
      </c>
      <c r="M687" s="240"/>
      <c r="N687" s="236"/>
      <c r="O687" s="241"/>
      <c r="P687" s="241"/>
      <c r="Q687" s="241"/>
      <c r="R687" s="241"/>
      <c r="S687" s="241"/>
      <c r="T687" s="241"/>
      <c r="U687" s="241"/>
    </row>
    <row r="688" spans="2:21" ht="21.5" customHeight="1">
      <c r="B688" s="225">
        <f>'임금대장 양식'!B688</f>
        <v>0</v>
      </c>
      <c r="C688" s="225" cm="1">
        <f t="array" ref="C688:C689">'임금대장 양식'!C688:C689</f>
        <v>0</v>
      </c>
      <c r="D688" s="225">
        <f>'임금대장 양식'!D688</f>
        <v>0</v>
      </c>
      <c r="E688" s="226">
        <f>'임금대장 양식'!E688</f>
        <v>0</v>
      </c>
      <c r="F688" s="227">
        <f>'임금대장 양식'!F688</f>
        <v>0</v>
      </c>
      <c r="G688" s="228">
        <f t="shared" ref="G688" si="3729">IFERROR((F688)/M688,0)</f>
        <v>0</v>
      </c>
      <c r="H688" s="229">
        <f t="shared" ref="H688:H691" si="3730">IF(F688=0,0,ROUND((8*5)*(365/12/7),0))</f>
        <v>0</v>
      </c>
      <c r="I688" s="229">
        <f t="shared" ref="I688:I691" si="3731">IF(F688=0,0,ROUND(8*365/12/7,0))</f>
        <v>0</v>
      </c>
      <c r="J688" s="230">
        <f>'임금대장 양식'!J688</f>
        <v>0</v>
      </c>
      <c r="K688" s="231">
        <f>'임금대장 양식'!K688</f>
        <v>0</v>
      </c>
      <c r="L688" s="231">
        <f>'임금대장 양식'!L688</f>
        <v>0</v>
      </c>
      <c r="M688" s="232">
        <f t="shared" ref="M688:M691" si="3732">H688+I688+J689+K689+L689</f>
        <v>0</v>
      </c>
      <c r="N688" s="227">
        <f t="shared" ref="N688:N691" si="3733">IF(G688=0,0,G688*(H688+I688)-(R688+S688+T688+U688))</f>
        <v>0</v>
      </c>
      <c r="O688" s="233">
        <f t="shared" ref="O688:O691" si="3734">G688*J689</f>
        <v>0</v>
      </c>
      <c r="P688" s="233">
        <f t="shared" ref="P688:P691" si="3735">G688*K689</f>
        <v>0</v>
      </c>
      <c r="Q688" s="233">
        <f t="shared" ref="Q688:Q691" si="3736">G688*L689</f>
        <v>0</v>
      </c>
      <c r="R688" s="233">
        <f>'임금대장 양식'!R688</f>
        <v>0</v>
      </c>
      <c r="S688" s="233">
        <f>'임금대장 양식'!S688</f>
        <v>0</v>
      </c>
      <c r="T688" s="233">
        <f>'임금대장 양식'!T688</f>
        <v>0</v>
      </c>
      <c r="U688" s="233">
        <f>'임금대장 양식'!U688</f>
        <v>0</v>
      </c>
    </row>
    <row r="689" spans="2:21" ht="21.5" customHeight="1">
      <c r="B689" s="234"/>
      <c r="C689" s="234">
        <v>0</v>
      </c>
      <c r="D689" s="210">
        <f>'임금대장 양식'!D689</f>
        <v>0</v>
      </c>
      <c r="E689" s="235"/>
      <c r="F689" s="236"/>
      <c r="G689" s="237"/>
      <c r="H689" s="238"/>
      <c r="I689" s="238"/>
      <c r="J689" s="239">
        <f t="shared" ref="J689:J691" si="3737">ROUND(J688*(365/12/7)*IF($S$4="5인 이상",1.5,1),0)</f>
        <v>0</v>
      </c>
      <c r="K689" s="239">
        <f t="shared" ref="K689:K691" si="3738">ROUND(K688*IF($S$4="5인 이상",1.5,1),0)</f>
        <v>0</v>
      </c>
      <c r="L689" s="239">
        <f t="shared" ref="L689:L691" si="3739">ROUND(L688*IF($S$4="5인 이상",1.5,1)+L688*IF($S$4="5인 이상",0.5,1),0)</f>
        <v>0</v>
      </c>
      <c r="M689" s="240"/>
      <c r="N689" s="236"/>
      <c r="O689" s="241"/>
      <c r="P689" s="241"/>
      <c r="Q689" s="241"/>
      <c r="R689" s="241"/>
      <c r="S689" s="241"/>
      <c r="T689" s="241"/>
      <c r="U689" s="241"/>
    </row>
    <row r="690" spans="2:21" ht="21.5" customHeight="1">
      <c r="B690" s="225">
        <f>'임금대장 양식'!B690</f>
        <v>0</v>
      </c>
      <c r="C690" s="225" cm="1">
        <f t="array" ref="C690:C691">'임금대장 양식'!C690:C691</f>
        <v>0</v>
      </c>
      <c r="D690" s="225">
        <f>'임금대장 양식'!D690</f>
        <v>0</v>
      </c>
      <c r="E690" s="226">
        <f>'임금대장 양식'!E690</f>
        <v>0</v>
      </c>
      <c r="F690" s="227">
        <f>'임금대장 양식'!F690</f>
        <v>0</v>
      </c>
      <c r="G690" s="228">
        <f t="shared" ref="G690" si="3740">IFERROR((F690)/M690,0)</f>
        <v>0</v>
      </c>
      <c r="H690" s="229">
        <f t="shared" ref="H690:H691" si="3741">IF(F690=0,0,ROUND((8*5)*(365/12/7),0))</f>
        <v>0</v>
      </c>
      <c r="I690" s="229">
        <f t="shared" ref="I690:I691" si="3742">IF(F690=0,0,ROUND(8*365/12/7,0))</f>
        <v>0</v>
      </c>
      <c r="J690" s="230">
        <f>'임금대장 양식'!J690</f>
        <v>0</v>
      </c>
      <c r="K690" s="231">
        <f>'임금대장 양식'!K690</f>
        <v>0</v>
      </c>
      <c r="L690" s="231">
        <f>'임금대장 양식'!L690</f>
        <v>0</v>
      </c>
      <c r="M690" s="232">
        <f t="shared" ref="M690:M691" si="3743">H690+I690+J691+K691+L691</f>
        <v>0</v>
      </c>
      <c r="N690" s="227">
        <f t="shared" ref="N690:N691" si="3744">IF(G690=0,0,G690*(H690+I690)-(R690+S690+T690+U690))</f>
        <v>0</v>
      </c>
      <c r="O690" s="233">
        <f t="shared" ref="O690:O691" si="3745">G690*J691</f>
        <v>0</v>
      </c>
      <c r="P690" s="233">
        <f t="shared" ref="P690:P691" si="3746">G690*K691</f>
        <v>0</v>
      </c>
      <c r="Q690" s="233">
        <f t="shared" ref="Q690:Q691" si="3747">G690*L691</f>
        <v>0</v>
      </c>
      <c r="R690" s="233">
        <f>'임금대장 양식'!R690</f>
        <v>0</v>
      </c>
      <c r="S690" s="233">
        <f>'임금대장 양식'!S690</f>
        <v>0</v>
      </c>
      <c r="T690" s="233">
        <f>'임금대장 양식'!T690</f>
        <v>0</v>
      </c>
      <c r="U690" s="233">
        <f>'임금대장 양식'!U690</f>
        <v>0</v>
      </c>
    </row>
    <row r="691" spans="2:21" ht="21.5" customHeight="1">
      <c r="B691" s="234"/>
      <c r="C691" s="234">
        <v>0</v>
      </c>
      <c r="D691" s="210">
        <f>'임금대장 양식'!D691</f>
        <v>0</v>
      </c>
      <c r="E691" s="235"/>
      <c r="F691" s="236"/>
      <c r="G691" s="237"/>
      <c r="H691" s="238"/>
      <c r="I691" s="238"/>
      <c r="J691" s="239">
        <f t="shared" ref="J691" si="3748">ROUND(J690*(365/12/7)*IF($S$4="5인 이상",1.5,1),0)</f>
        <v>0</v>
      </c>
      <c r="K691" s="239">
        <f t="shared" ref="K691" si="3749">ROUND(K690*IF($S$4="5인 이상",1.5,1),0)</f>
        <v>0</v>
      </c>
      <c r="L691" s="239">
        <f t="shared" ref="L691" si="3750">ROUND(L690*IF($S$4="5인 이상",1.5,1)+L690*IF($S$4="5인 이상",0.5,1),0)</f>
        <v>0</v>
      </c>
      <c r="M691" s="240"/>
      <c r="N691" s="236"/>
      <c r="O691" s="241"/>
      <c r="P691" s="241"/>
      <c r="Q691" s="241"/>
      <c r="R691" s="241"/>
      <c r="S691" s="241"/>
      <c r="T691" s="241"/>
      <c r="U691" s="241"/>
    </row>
    <row r="692" spans="2:21" ht="21.5" customHeight="1"/>
    <row r="693" spans="2:21" ht="21.5" customHeight="1"/>
  </sheetData>
  <sheetProtection selectLockedCells="1"/>
  <mergeCells count="11">
    <mergeCell ref="N6:Q6"/>
    <mergeCell ref="R6:U6"/>
    <mergeCell ref="B2:U2"/>
    <mergeCell ref="Q4:R4"/>
    <mergeCell ref="S4:T4"/>
    <mergeCell ref="B6:B7"/>
    <mergeCell ref="C6:C7"/>
    <mergeCell ref="E6:E7"/>
    <mergeCell ref="F6:F7"/>
    <mergeCell ref="H6:L6"/>
    <mergeCell ref="M6:M7"/>
  </mergeCells>
  <phoneticPr fontId="4" type="noConversion"/>
  <conditionalFormatting sqref="G8:G691">
    <cfRule type="cellIs" dxfId="24" priority="10" operator="equal">
      <formula>0</formula>
    </cfRule>
  </conditionalFormatting>
  <conditionalFormatting sqref="G5:G8 G1 G692:G1048576 G10 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G168 G170 G172 G174 G176 G178 G180 G182 G184 G186 G188 G190 G192 G194 G196 G198 G200 G202 G204 G206 G208 G210 G212 G214 G216 G218 G220 G222 G224 G226 G228 G230 G232 G234 G236 G238 G240 G242 G244 G246 G248 G250 G252 G254 G256 G258 G260 G262 G264 G266 G268 G270 G272 G274 G276 G278 G280 G282 G284 G286 G288 G290 G292 G294 G296 G298 G300 G302 G304 G306 G308 G310 G312 G314 G316 G318 G320 G322 G324 G326 G328 G330 G332 G334 G336 G338 G340 G342 G344 G346 G348 G350 G352 G354 G356 G358 G360 G362 G364 G366 G368 G370 G372 G374 G376 G378 G380 G382 G384 G386 G388 G390 G392 G394 G396 G398 G400 G402 G404 G406 G408 G410 G412 G414 G416 G418 G420 G422 G424 G426 G428 G430 G432 G434 G436 G438 G440 G442 G444 G446 G448 G450 G452 G454 G456 G458 G460 G462 G464 G466 G468 G470 G472 G474 G476 G478 G480 G482 G484 G486 G488 G490 G492 G494 G496 G498 G500 G502 G504 G506 G508 G510 G512 G514 G516 G518 G520 G522 G524 G526 G528 G530 G532 G534 G536 G538 G540 G542 G544 G546 G548 G550 G552 G554 G556 G558 G560 G562 G564 G566 G568 G570 G572 G574 G576 G578 G580 G582 G584 G586 G588 G590 G592 G594 G596 G598 G600 G602 G604 G606 G608 G610 G612 G614 G616 G618 G620 G622 G624 G626 G628 G630 G632 G634 G636 G638 G640 G642 G644 G646 G648 G650 G652 G654 G656 G658 G660 G662 G664 G666 G668 G670 G672 G674 G676 G678 G680 G682 G684 G686 G688 G690">
    <cfRule type="cellIs" dxfId="23" priority="14" operator="lessThan">
      <formula>$X$6</formula>
    </cfRule>
  </conditionalFormatting>
  <conditionalFormatting sqref="J9:L9 J11:L11 J13:L13 J15:L15 J17:L17 J19:L19 J21:L21 J23:L23 J25:L25 J27:L27 J29:L29 J31:L31 J33:L33 J35:L35 J37:L37 J39:L39 J41:L41 J43:L43 J45:L45 J47:L47 J49:L49 J51:L51 J53:L53 J55:L55 J57:L57 J59:L59 J61:L61 J63:L63 J65:L65 J67:L67 J69:L69 J71:L71 J73:L73 J75:L75 J77:L77 J79:L79 J81:L81 J83:L83 J85:L85 J87:L87 J89:L89 J91:L91 J93:L93 J95:L95 J97:L97 J99:L99 J101:L101 J103:L103 J105:L105 J107:L107 J109:L109 J111:L111 J113:L113 J115:L115 J117:L117 J119:L119 J121:L121 J123:L123 J125:L125 J127:L127 J129:L129 J131:L131 J133:L133 J135:L135 J137:L137 J139:L139 J141:L141 J143:L143 J145:L145 J147:L147 J149:L149 J151:L151 J153:L153 J155:L155 J157:L157 J159:L159 J161:L161 J163:L163 J165:L165 J167:L167 J169:L169 J171:L171 J173:L173 J175:L175 J177:L177 J179:L179 J181:L181 J183:L183 J185:L185 J187:L187 J189:L189 J191:L191 J193:L193 J195:L195 J197:L197 J199:L199 J201:L201 J203:L203 J205:L205 J207:L207 J209:L209 J211:L211 J213:L213 J215:L215 J217:L217 J219:L219 J221:L221 J223:L223 J225:L225 J227:L227 J229:L229 J231:L231 J233:L233 J235:L235 J237:L237 J239:L239 J241:L241 J243:L243 J245:L245 J247:L247 J249:L249 J251:L251 J253:L253 J255:L255 J257:L257 J259:L259 J261:L261 J263:L263 J265:L265 J267:L267 J269:L269 J271:L271 J273:L273 J275:L275 J277:L277 J279:L279 J281:L281 J283:L283 J285:L285 J287:L287 J289:L289 J291:L291 J293:L293 J295:L295 J297:L297 J299:L299 J301:L301 J303:L303 J305:L305 J307:L307 J309:L309 J311:L311 J313:L313 J315:L315 J317:L317 J319:L319 J321:L321 J323:L323 J325:L325 J327:L327 J329:L329 J331:L331 J333:L333 J335:L335 J337:L337 J339:L339 J341:L341 J343:L343 J345:L345 J347:L347 J349:L349 J351:L351 J353:L353 J355:L355 J357:L357 J359:L359 J361:L361 J363:L363 J365:L365 J367:L367 J369:L369 J371:L371 J373:L373 J375:L375 J377:L377 J379:L379 J381:L381 J383:L383 J385:L385 J387:L387 J389:L389 J391:L391 J393:L393 J395:L395 J397:L397 J399:L399 J401:L401 J403:L403 J405:L405 J407:L407 J409:L409 J411:L411 J413:L413 J415:L415 J417:L417 J419:L419 J421:L421 J423:L423 J425:L425 J427:L427 J429:L429 J431:L431 J433:L433 J435:L435 J437:L437 J439:L439 J441:L441 J443:L443 J445:L445 J447:L447 J449:L449 J451:L451 J453:L453 J455:L455 J457:L457 J459:L459 J461:L461 J463:L463 J465:L465 J467:L467 J469:L469 J471:L471 J473:L473 J475:L475 J477:L477 J479:L479 J481:L481 J483:L483 J485:L485 J487:L487 J489:L489 J491:L491 J493:L493 J495:L495 J497:L497 J499:L499 J501:L501 J503:L503 J505:L505 J507:L507 J509:L509 J511:L511 J513:L513 J515:L515 J517:L517 J519:L519 J521:L521 J523:L523 J525:L525 J527:L527 J529:L529 J531:L531 J533:L533 J535:L535 J537:L537 J539:L539 J541:L541 J543:L543 J545:L545 J547:L547 J549:L549 J551:L551 J553:L553 J555:L555 J557:L557 J559:L559 J561:L561 J563:L563 J565:L565 J567:L567 J569:L569 J571:L571 J573:L573 J575:L575 J577:L577 J579:L579 J581:L581 J583:L583 J585:L585 J587:L587 J589:L589 J591:L591 J593:L593 J595:L595 J597:L597 J599:L599 J601:L601 J603:L603 J605:L605 J607:L607 J609:L609 J611:L611 J613:L613 J615:L615 J617:L617 J619:L619 J621:L621 J623:L623 J625:L625 J627:L627 J629:L629 J631:L631 J633:L633 J635:L635 J637:L637 J639:L639 J641:L641 J643:L643 J645:L645 J647:L647 J649:L649 J651:L651 J653:L653 J655:L655 J657:L657 J659:L659 J661:L661 J663:L663 J665:L665 J667:L667 J669:L669 J671:L671 J673:L673 J675:L675 J677:L677 J679:L679 J681:L681 J683:L683 J685:L685 J687:L687 J689:L689 J691:L691">
    <cfRule type="cellIs" dxfId="21" priority="13" operator="equal">
      <formula>0</formula>
    </cfRule>
  </conditionalFormatting>
  <conditionalFormatting sqref="N8:Q691">
    <cfRule type="cellIs" dxfId="20" priority="5" operator="equal">
      <formula>0</formula>
    </cfRule>
  </conditionalFormatting>
  <conditionalFormatting sqref="B8:U691">
    <cfRule type="cellIs" dxfId="18" priority="1" operator="equal">
      <formula>0</formula>
    </cfRule>
  </conditionalFormatting>
  <printOptions horizontalCentered="1"/>
  <pageMargins left="0.19685039370078741" right="0.19685039370078741" top="0.74803149606299213" bottom="0.39370078740157483" header="0.31496062992125984" footer="0.31496062992125984"/>
  <pageSetup paperSize="9" scale="41"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8</vt:i4>
      </vt:variant>
    </vt:vector>
  </HeadingPairs>
  <TitlesOfParts>
    <vt:vector size="12" baseType="lpstr">
      <vt:lpstr>정규직 월급제 포괄임금</vt:lpstr>
      <vt:lpstr>단시간근로자</vt:lpstr>
      <vt:lpstr>임금대장 양식</vt:lpstr>
      <vt:lpstr>임금대장수식</vt:lpstr>
      <vt:lpstr>단시간근로자!Print_Area</vt:lpstr>
      <vt:lpstr>'임금대장 양식'!Print_Area</vt:lpstr>
      <vt:lpstr>임금대장수식!Print_Area</vt:lpstr>
      <vt:lpstr>'정규직 월급제 포괄임금'!Print_Area</vt:lpstr>
      <vt:lpstr>임금대장수식!고정연장근로</vt:lpstr>
      <vt:lpstr>사업장</vt:lpstr>
      <vt:lpstr>최저시급</vt:lpstr>
      <vt:lpstr>최저월급여환산액</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sara Park</cp:lastModifiedBy>
  <cp:lastPrinted>2025-01-08T10:33:35Z</cp:lastPrinted>
  <dcterms:created xsi:type="dcterms:W3CDTF">2015-12-23T04:04:36Z</dcterms:created>
  <dcterms:modified xsi:type="dcterms:W3CDTF">2025-02-19T16:07:30Z</dcterms:modified>
</cp:coreProperties>
</file>