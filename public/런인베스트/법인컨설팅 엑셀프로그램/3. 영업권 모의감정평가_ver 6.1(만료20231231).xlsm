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655805d00cdf974/런인베스트/[사업부] 런인베스트 아카데미/[사업] 법인컨설팅 온라인 강의 플랫폼/온라인강의_법인컨설팅온라인과정/[자료] 법인컨설팅 엑셀프로그램 3종 ver 6.0/"/>
    </mc:Choice>
  </mc:AlternateContent>
  <xr:revisionPtr revIDLastSave="1726" documentId="13_ncr:1_{F544CD9E-D509-417B-91B9-814D92C57A8E}" xr6:coauthVersionLast="47" xr6:coauthVersionMax="47" xr10:uidLastSave="{1695B058-820B-451B-8B33-759F60E43712}"/>
  <bookViews>
    <workbookView xWindow="-120" yWindow="-120" windowWidth="29040" windowHeight="15720" tabRatio="0" xr2:uid="{00000000-000D-0000-FFFF-FFFF00000000}"/>
  </bookViews>
  <sheets>
    <sheet name="안내메시지" sheetId="11" r:id="rId1"/>
    <sheet name="데이터입력" sheetId="9" state="veryHidden" r:id="rId2"/>
    <sheet name="data" sheetId="10" state="veryHidden" r:id="rId3"/>
    <sheet name="감정평가보고서" sheetId="1" state="veryHidden" r:id="rId4"/>
    <sheet name="매출액&amp;매출원가" sheetId="4" state="veryHidden" r:id="rId5"/>
    <sheet name="판관비&amp;비현금손익외" sheetId="5" state="veryHidden" r:id="rId6"/>
    <sheet name="WACC추정" sheetId="3" state="veryHidden" r:id="rId7"/>
    <sheet name="FCFF&amp;영업권계산" sheetId="7" state="veryHidden" r:id="rId8"/>
    <sheet name="Sheet1" sheetId="13" state="veryHidden" r:id="rId9"/>
    <sheet name="Sheet2" sheetId="12" state="veryHidden" r:id="rId10"/>
    <sheet name="Sheet3" sheetId="14" state="veryHidden" r:id="rId11"/>
  </sheets>
  <definedNames>
    <definedName name="data1">데이터입력!$D$5</definedName>
    <definedName name="data10">데이터입력!$E$19</definedName>
    <definedName name="data11">데이터입력!$E$20</definedName>
    <definedName name="data12">데이터입력!$E$21</definedName>
    <definedName name="data13">데이터입력!$F$17</definedName>
    <definedName name="data14">데이터입력!$F$18</definedName>
    <definedName name="data15">데이터입력!$F$19</definedName>
    <definedName name="data16">데이터입력!$F$20</definedName>
    <definedName name="data17">데이터입력!$F$21</definedName>
    <definedName name="data18">데이터입력!$G$17</definedName>
    <definedName name="data19">데이터입력!$G$18</definedName>
    <definedName name="data2">데이터입력!$G$5</definedName>
    <definedName name="data20">데이터입력!$G$19</definedName>
    <definedName name="data21">데이터입력!$G$20</definedName>
    <definedName name="data22">데이터입력!$G$21</definedName>
    <definedName name="data23">데이터입력!$H$17</definedName>
    <definedName name="data24">데이터입력!$H$18</definedName>
    <definedName name="data25">데이터입력!$H$19</definedName>
    <definedName name="data26">데이터입력!$H$20</definedName>
    <definedName name="data27">데이터입력!$H$21</definedName>
    <definedName name="data28">데이터입력!$D$24</definedName>
    <definedName name="data29">데이터입력!$D$25</definedName>
    <definedName name="data3">데이터입력!$D$17</definedName>
    <definedName name="data30">데이터입력!$D$27</definedName>
    <definedName name="data31">데이터입력!$E$29</definedName>
    <definedName name="data4">데이터입력!$D$18</definedName>
    <definedName name="data5">데이터입력!$D$19</definedName>
    <definedName name="data6">데이터입력!$D$20</definedName>
    <definedName name="data7">데이터입력!$D$21</definedName>
    <definedName name="data8">데이터입력!$E$17</definedName>
    <definedName name="data9">데이터입력!$E$18</definedName>
    <definedName name="_xlnm.Print_Area" localSheetId="7">'FCFF&amp;영업권계산'!$B$5:$J$39</definedName>
    <definedName name="_xlnm.Print_Area" localSheetId="6">WACC추정!$B$3:$H$37</definedName>
    <definedName name="_xlnm.Print_Area" localSheetId="3">감정평가보고서!$B$5:$I$40</definedName>
    <definedName name="_xlnm.Print_Area" localSheetId="1">데이터입력!$B$7:$I$42</definedName>
    <definedName name="_xlnm.Print_Area" localSheetId="4">'매출액&amp;매출원가'!$B$6:$H$41</definedName>
    <definedName name="_xlnm.Print_Area" localSheetId="5">'판관비&amp;비현금손익외'!$B$6:$G$49</definedName>
    <definedName name="WACC">WACC추정!$F$36</definedName>
    <definedName name="검색시작일">data!$D$1</definedName>
    <definedName name="검색종료일">data!$D$2</definedName>
    <definedName name="기준매출액" localSheetId="4">'매출액&amp;매출원가'!$F$14</definedName>
    <definedName name="매출액성장률" localSheetId="4">'매출액&amp;매출원가'!$F$15</definedName>
    <definedName name="매출원가율">'매출액&amp;매출원가'!$D$36</definedName>
    <definedName name="잔존월수">데이터입력!$K$11</definedName>
    <definedName name="판매관리비율">'판관비&amp;비현금손익외'!$D$16</definedName>
    <definedName name="평가기준일">데이터입력!$D$11</definedName>
    <definedName name="평가대상">데이터입력!$D$10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2" i="9" l="1"/>
  <c r="H16" i="9" s="1"/>
  <c r="K10" i="9"/>
  <c r="K5" i="9" l="1"/>
  <c r="F10" i="4" l="1"/>
  <c r="K13" i="4" s="1"/>
  <c r="E10" i="4"/>
  <c r="D10" i="4"/>
  <c r="C10" i="4"/>
  <c r="C11" i="4" s="1"/>
  <c r="C25" i="3"/>
  <c r="U10" i="9"/>
  <c r="T10" i="9"/>
  <c r="G10" i="3"/>
  <c r="B25" i="3" s="1"/>
  <c r="E21" i="3"/>
  <c r="F21" i="3"/>
  <c r="G21" i="3"/>
  <c r="D21" i="3"/>
  <c r="E18" i="3"/>
  <c r="F18" i="3"/>
  <c r="G18" i="3"/>
  <c r="C21" i="3"/>
  <c r="D18" i="3"/>
  <c r="F9" i="3"/>
  <c r="E9" i="3" s="1"/>
  <c r="D9" i="3" s="1"/>
  <c r="C9" i="3" s="1"/>
  <c r="B9" i="3" s="1"/>
  <c r="H19" i="3" l="1"/>
  <c r="K11" i="9"/>
  <c r="D16" i="9"/>
  <c r="G10" i="4"/>
  <c r="K14" i="4" s="1"/>
  <c r="E10" i="5"/>
  <c r="F25" i="3"/>
  <c r="B36" i="3" s="1"/>
  <c r="G16" i="9" l="1"/>
  <c r="F16" i="9"/>
  <c r="E16" i="9"/>
  <c r="H33" i="9"/>
  <c r="G33" i="9"/>
  <c r="F33" i="9"/>
  <c r="D23" i="9" l="1"/>
  <c r="E33" i="9" l="1"/>
  <c r="D33" i="9"/>
  <c r="E36" i="3" l="1"/>
  <c r="C28" i="5"/>
  <c r="D28" i="5"/>
  <c r="E28" i="5"/>
  <c r="F28" i="5"/>
  <c r="F27" i="5"/>
  <c r="C38" i="5" s="1"/>
  <c r="D38" i="5" s="1"/>
  <c r="E38" i="5" s="1"/>
  <c r="F38" i="5" s="1"/>
  <c r="G38" i="5" s="1"/>
  <c r="H38" i="5" s="1"/>
  <c r="C11" i="5"/>
  <c r="C31" i="4"/>
  <c r="F9" i="5"/>
  <c r="E9" i="5" s="1"/>
  <c r="F9" i="4"/>
  <c r="D9" i="5" l="1"/>
  <c r="C9" i="5" s="1"/>
  <c r="F29" i="4"/>
  <c r="C38" i="4" s="1"/>
  <c r="D38" i="4" s="1"/>
  <c r="E38" i="4" s="1"/>
  <c r="F38" i="4" s="1"/>
  <c r="G38" i="4" s="1"/>
  <c r="H38" i="4" s="1"/>
  <c r="C32" i="5"/>
  <c r="F32" i="5"/>
  <c r="H32" i="5"/>
  <c r="C45" i="5"/>
  <c r="D45" i="5" s="1"/>
  <c r="E45" i="5" s="1"/>
  <c r="F45" i="5" s="1"/>
  <c r="G45" i="5" s="1"/>
  <c r="H45" i="5" s="1"/>
  <c r="E27" i="5"/>
  <c r="D27" i="5" s="1"/>
  <c r="C27" i="5" s="1"/>
  <c r="C31" i="5"/>
  <c r="D31" i="5" s="1"/>
  <c r="E31" i="5" s="1"/>
  <c r="F31" i="5" s="1"/>
  <c r="G31" i="5" s="1"/>
  <c r="H31" i="5" s="1"/>
  <c r="E32" i="5"/>
  <c r="D32" i="5"/>
  <c r="G32" i="5"/>
  <c r="C18" i="4"/>
  <c r="C18" i="5"/>
  <c r="D18" i="5" s="1"/>
  <c r="E18" i="5" s="1"/>
  <c r="F18" i="5" s="1"/>
  <c r="G18" i="5" s="1"/>
  <c r="H18" i="5" s="1"/>
  <c r="E29" i="4" l="1"/>
  <c r="D29" i="4" s="1"/>
  <c r="C29" i="4" s="1"/>
  <c r="D18" i="4"/>
  <c r="D8" i="7"/>
  <c r="D31" i="7" s="1"/>
  <c r="E31" i="7" s="1"/>
  <c r="F31" i="7" s="1"/>
  <c r="G31" i="7" s="1"/>
  <c r="H31" i="7" s="1"/>
  <c r="I31" i="7" s="1"/>
  <c r="H39" i="5"/>
  <c r="I25" i="7" s="1"/>
  <c r="I21" i="7"/>
  <c r="I22" i="7" s="1"/>
  <c r="J17" i="7"/>
  <c r="E18" i="4" l="1"/>
  <c r="E8" i="7"/>
  <c r="F18" i="4" l="1"/>
  <c r="F8" i="7"/>
  <c r="H31" i="9"/>
  <c r="G18" i="4" l="1"/>
  <c r="G8" i="7"/>
  <c r="D31" i="9"/>
  <c r="E31" i="9"/>
  <c r="C9" i="4"/>
  <c r="F31" i="9"/>
  <c r="D9" i="4"/>
  <c r="G31" i="9"/>
  <c r="E9" i="4"/>
  <c r="F15" i="4"/>
  <c r="C48" i="5" l="1"/>
  <c r="H18" i="4"/>
  <c r="I8" i="7" s="1"/>
  <c r="H8" i="7"/>
  <c r="E39" i="5"/>
  <c r="D31" i="4"/>
  <c r="E31" i="4"/>
  <c r="F31" i="4"/>
  <c r="H31" i="4" l="1"/>
  <c r="G31" i="4"/>
  <c r="F39" i="5"/>
  <c r="D39" i="5"/>
  <c r="G39" i="5"/>
  <c r="C39" i="5"/>
  <c r="F32" i="9"/>
  <c r="G32" i="9"/>
  <c r="H32" i="9"/>
  <c r="E32" i="9"/>
  <c r="F48" i="5" l="1"/>
  <c r="G48" i="5"/>
  <c r="E48" i="5"/>
  <c r="D48" i="5"/>
  <c r="D7" i="1"/>
  <c r="D9" i="1" s="1"/>
  <c r="E11" i="5"/>
  <c r="F11" i="5"/>
  <c r="D11" i="5"/>
  <c r="G11" i="5" l="1"/>
  <c r="H10" i="4"/>
  <c r="K15" i="4" s="1"/>
  <c r="H11" i="5"/>
  <c r="C10" i="5"/>
  <c r="C12" i="5" s="1"/>
  <c r="C30" i="4"/>
  <c r="C32" i="4" s="1"/>
  <c r="D30" i="4"/>
  <c r="F30" i="4"/>
  <c r="F32" i="4" s="1"/>
  <c r="K35" i="4" s="1"/>
  <c r="F11" i="4"/>
  <c r="E30" i="4"/>
  <c r="E11" i="4"/>
  <c r="D11" i="4"/>
  <c r="E32" i="4" l="1"/>
  <c r="G30" i="4"/>
  <c r="G32" i="4" s="1"/>
  <c r="K36" i="4" s="1"/>
  <c r="G11" i="4"/>
  <c r="D32" i="4"/>
  <c r="H30" i="4"/>
  <c r="H32" i="4" s="1"/>
  <c r="H11" i="4"/>
  <c r="K37" i="4" l="1"/>
  <c r="E40" i="4"/>
  <c r="I10" i="5"/>
  <c r="D31" i="3"/>
  <c r="C36" i="3" s="1"/>
  <c r="F36" i="3" s="1"/>
  <c r="E25" i="7"/>
  <c r="F21" i="7"/>
  <c r="F22" i="7" s="1"/>
  <c r="G25" i="7"/>
  <c r="H25" i="7"/>
  <c r="D25" i="7"/>
  <c r="F10" i="5"/>
  <c r="E12" i="5"/>
  <c r="D10" i="5"/>
  <c r="D12" i="5" s="1"/>
  <c r="G20" i="4"/>
  <c r="H10" i="7" s="1"/>
  <c r="F20" i="4"/>
  <c r="G10" i="7" s="1"/>
  <c r="E20" i="4"/>
  <c r="F10" i="7" s="1"/>
  <c r="D20" i="4"/>
  <c r="E10" i="7" s="1"/>
  <c r="C20" i="4"/>
  <c r="C19" i="4" s="1"/>
  <c r="G40" i="4" l="1"/>
  <c r="F40" i="4"/>
  <c r="C40" i="4"/>
  <c r="F12" i="5"/>
  <c r="J14" i="5" s="1"/>
  <c r="G10" i="5"/>
  <c r="D40" i="4"/>
  <c r="H10" i="5"/>
  <c r="D10" i="7"/>
  <c r="D19" i="4"/>
  <c r="D46" i="5" s="1"/>
  <c r="C46" i="5"/>
  <c r="F25" i="7"/>
  <c r="D21" i="7"/>
  <c r="D22" i="7" s="1"/>
  <c r="H21" i="7"/>
  <c r="H22" i="7" s="1"/>
  <c r="G21" i="7"/>
  <c r="G22" i="7" s="1"/>
  <c r="E21" i="7"/>
  <c r="E22" i="7" s="1"/>
  <c r="H12" i="5" l="1"/>
  <c r="J16" i="5" s="1"/>
  <c r="G12" i="5"/>
  <c r="J15" i="5" s="1"/>
  <c r="I46" i="5"/>
  <c r="D47" i="5"/>
  <c r="D49" i="5" s="1"/>
  <c r="C47" i="5"/>
  <c r="C49" i="5" s="1"/>
  <c r="D24" i="7" s="1"/>
  <c r="D26" i="7" s="1"/>
  <c r="C39" i="4"/>
  <c r="C41" i="4" s="1"/>
  <c r="C19" i="5"/>
  <c r="D9" i="7"/>
  <c r="G12" i="7"/>
  <c r="E12" i="7"/>
  <c r="H12" i="7"/>
  <c r="F12" i="7"/>
  <c r="D12" i="7"/>
  <c r="C20" i="5" l="1"/>
  <c r="C21" i="5" s="1"/>
  <c r="D14" i="7" s="1"/>
  <c r="D15" i="7" s="1"/>
  <c r="D20" i="5"/>
  <c r="G20" i="5"/>
  <c r="F20" i="5"/>
  <c r="E20" i="5"/>
  <c r="D19" i="5"/>
  <c r="E19" i="4"/>
  <c r="E24" i="7"/>
  <c r="E26" i="7" s="1"/>
  <c r="D39" i="4"/>
  <c r="D41" i="4" s="1"/>
  <c r="E11" i="7" s="1"/>
  <c r="E9" i="7"/>
  <c r="D11" i="7"/>
  <c r="D13" i="7" s="1"/>
  <c r="D16" i="7" l="1"/>
  <c r="D18" i="7" s="1"/>
  <c r="D19" i="7" s="1"/>
  <c r="E46" i="5"/>
  <c r="E47" i="5" s="1"/>
  <c r="E49" i="5" s="1"/>
  <c r="F24" i="7" s="1"/>
  <c r="F26" i="7" s="1"/>
  <c r="D21" i="5"/>
  <c r="E14" i="7" s="1"/>
  <c r="E15" i="7" s="1"/>
  <c r="E19" i="5"/>
  <c r="E21" i="5" s="1"/>
  <c r="F14" i="7" s="1"/>
  <c r="F9" i="7"/>
  <c r="F19" i="4"/>
  <c r="E39" i="4"/>
  <c r="E41" i="4" s="1"/>
  <c r="F11" i="7" s="1"/>
  <c r="E13" i="7"/>
  <c r="E16" i="7" l="1"/>
  <c r="E18" i="7" s="1"/>
  <c r="F46" i="5"/>
  <c r="F47" i="5" s="1"/>
  <c r="D17" i="7"/>
  <c r="D27" i="7"/>
  <c r="D32" i="7" s="1"/>
  <c r="D33" i="7" s="1"/>
  <c r="F15" i="7"/>
  <c r="F19" i="5"/>
  <c r="F21" i="5" s="1"/>
  <c r="G14" i="7" s="1"/>
  <c r="G9" i="7"/>
  <c r="G19" i="4"/>
  <c r="H19" i="4" s="1"/>
  <c r="F13" i="7"/>
  <c r="F39" i="4"/>
  <c r="F41" i="4" s="1"/>
  <c r="G11" i="7" s="1"/>
  <c r="F16" i="7" l="1"/>
  <c r="D34" i="7"/>
  <c r="H20" i="4"/>
  <c r="I10" i="7" s="1"/>
  <c r="H19" i="5"/>
  <c r="H20" i="5" s="1"/>
  <c r="F49" i="5"/>
  <c r="G24" i="7" s="1"/>
  <c r="G26" i="7" s="1"/>
  <c r="H39" i="4"/>
  <c r="G46" i="5"/>
  <c r="G47" i="5" s="1"/>
  <c r="G49" i="5" s="1"/>
  <c r="H24" i="7" s="1"/>
  <c r="H26" i="7" s="1"/>
  <c r="G15" i="7"/>
  <c r="E19" i="7"/>
  <c r="E27" i="7" s="1"/>
  <c r="E32" i="7" s="1"/>
  <c r="E33" i="7" s="1"/>
  <c r="E17" i="7"/>
  <c r="G19" i="5"/>
  <c r="G21" i="5" s="1"/>
  <c r="H14" i="7" s="1"/>
  <c r="G13" i="7"/>
  <c r="H9" i="7"/>
  <c r="G39" i="4"/>
  <c r="G41" i="4" s="1"/>
  <c r="H11" i="7" s="1"/>
  <c r="F18" i="7" l="1"/>
  <c r="F19" i="7" s="1"/>
  <c r="F27" i="7" s="1"/>
  <c r="F32" i="7" s="1"/>
  <c r="F17" i="7"/>
  <c r="G16" i="7"/>
  <c r="G18" i="7" s="1"/>
  <c r="H40" i="4"/>
  <c r="I12" i="7" s="1"/>
  <c r="H21" i="5"/>
  <c r="I14" i="7" s="1"/>
  <c r="I9" i="7"/>
  <c r="H46" i="5"/>
  <c r="H15" i="7"/>
  <c r="E34" i="7"/>
  <c r="H13" i="7"/>
  <c r="F33" i="7" l="1"/>
  <c r="F34" i="7" s="1"/>
  <c r="G17" i="7"/>
  <c r="G19" i="7"/>
  <c r="G27" i="7" s="1"/>
  <c r="G32" i="7" s="1"/>
  <c r="G33" i="7" s="1"/>
  <c r="G34" i="7" s="1"/>
  <c r="H16" i="7"/>
  <c r="H18" i="7" s="1"/>
  <c r="I47" i="5"/>
  <c r="H47" i="5" s="1"/>
  <c r="H48" i="5"/>
  <c r="H41" i="4"/>
  <c r="I11" i="7" s="1"/>
  <c r="I13" i="7" s="1"/>
  <c r="I16" i="7" s="1"/>
  <c r="I18" i="7" s="1"/>
  <c r="I15" i="7"/>
  <c r="H17" i="7" l="1"/>
  <c r="H19" i="7"/>
  <c r="H27" i="7" s="1"/>
  <c r="H32" i="7" s="1"/>
  <c r="H33" i="7" s="1"/>
  <c r="H49" i="5"/>
  <c r="I24" i="7" s="1"/>
  <c r="I26" i="7" s="1"/>
  <c r="I17" i="7"/>
  <c r="I19" i="7"/>
  <c r="H34" i="7" l="1"/>
  <c r="I27" i="7"/>
  <c r="I32" i="7" s="1"/>
  <c r="H38" i="7" l="1"/>
  <c r="H36" i="7"/>
  <c r="I33" i="7"/>
  <c r="I34" i="7" s="1"/>
  <c r="I35" i="7" s="1"/>
  <c r="I38" i="7"/>
  <c r="H35" i="7" l="1"/>
  <c r="H37" i="7" s="1"/>
  <c r="I36" i="7"/>
  <c r="E15" i="1" s="1"/>
  <c r="C15" i="1" l="1"/>
  <c r="H39" i="7"/>
  <c r="I37" i="7"/>
  <c r="C20" i="1" s="1"/>
  <c r="E20" i="1" l="1"/>
  <c r="G20" i="1" s="1"/>
  <c r="G15" i="1"/>
  <c r="I3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박세라 </author>
    <author>박세라</author>
  </authors>
  <commentList>
    <comment ref="D11" authorId="0" shapeId="0" xr:uid="{00000000-0006-0000-0100-000001000000}">
      <text>
        <r>
          <rPr>
            <b/>
            <sz val="9"/>
            <color indexed="81"/>
            <rFont val="맑은 고딕"/>
            <family val="3"/>
            <charset val="129"/>
            <scheme val="minor"/>
          </rPr>
          <t>년도/월/일 순으로 입력합니다. 
예시: 2002/1/1  또는 2002-01-01</t>
        </r>
      </text>
    </comment>
    <comment ref="E29" authorId="1" shapeId="0" xr:uid="{00000000-0006-0000-0100-000002000000}">
      <text>
        <r>
          <rPr>
            <b/>
            <sz val="9"/>
            <color indexed="81"/>
            <rFont val="맑은 고딕"/>
            <family val="3"/>
            <charset val="129"/>
            <scheme val="minor"/>
          </rPr>
          <t xml:space="preserve">하단의 과거 매출증가율을 참고하여 직접 입력합니다.
매출액 증가율 패턴이 명확하지 않을 경우에는
1) 동종업계 평균 증가율을 사용하거나, 보수적으로  
2) 물가상승률을 적용할 수 있습니다.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D1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검색에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공간입니다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수정하지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주십시오</t>
        </r>
      </text>
    </comment>
  </commentList>
</comments>
</file>

<file path=xl/sharedStrings.xml><?xml version="1.0" encoding="utf-8"?>
<sst xmlns="http://schemas.openxmlformats.org/spreadsheetml/2006/main" count="314" uniqueCount="270">
  <si>
    <t>기대잉여현금흐름(FCFF)에 의한 할인현금흐름(DCF)모형 적용</t>
    <phoneticPr fontId="2" type="noConversion"/>
  </si>
  <si>
    <t>Value  of operation</t>
    <phoneticPr fontId="2" type="noConversion"/>
  </si>
  <si>
    <t>Terminal Value</t>
    <phoneticPr fontId="2" type="noConversion"/>
  </si>
  <si>
    <t>기업가치</t>
    <phoneticPr fontId="2" type="noConversion"/>
  </si>
  <si>
    <t xml:space="preserve">FCFF = FCFE + 이자비용(1-t) + 원금상환액 - 신규부채발생액 + 우선주배당금 </t>
    <phoneticPr fontId="2" type="noConversion"/>
  </si>
  <si>
    <t xml:space="preserve">FCFF = EBIT(1-t)+ 감가상각비 - 자본적지출 증가액 - 추가운전자본 증가액 </t>
    <phoneticPr fontId="2" type="noConversion"/>
  </si>
  <si>
    <t xml:space="preserve">EBIT = 영업이익(이자 및 법인세 차감전 이익) </t>
    <phoneticPr fontId="2" type="noConversion"/>
  </si>
  <si>
    <t xml:space="preserve">1. 향후 5년간 FCFF 추정 </t>
    <phoneticPr fontId="2" type="noConversion"/>
  </si>
  <si>
    <t>2. WACC 추정</t>
    <phoneticPr fontId="2" type="noConversion"/>
  </si>
  <si>
    <t xml:space="preserve">3. 기업가치 = Value of operation + Terminal Value </t>
    <phoneticPr fontId="2" type="noConversion"/>
  </si>
  <si>
    <t xml:space="preserve">1. 과거 매출 실적 </t>
    <phoneticPr fontId="2" type="noConversion"/>
  </si>
  <si>
    <t>구분</t>
    <phoneticPr fontId="2" type="noConversion"/>
  </si>
  <si>
    <t>(단위: 천원)</t>
    <phoneticPr fontId="2" type="noConversion"/>
  </si>
  <si>
    <t>2. 매출액 추정결과</t>
    <phoneticPr fontId="2" type="noConversion"/>
  </si>
  <si>
    <t xml:space="preserve"> II. 매출원가의 추정</t>
    <phoneticPr fontId="2" type="noConversion"/>
  </si>
  <si>
    <t>1. 과거 매출원가</t>
    <phoneticPr fontId="2" type="noConversion"/>
  </si>
  <si>
    <t xml:space="preserve">2. 매출원가 추정 결과 </t>
    <phoneticPr fontId="2" type="noConversion"/>
  </si>
  <si>
    <t xml:space="preserve"> III. 판매관리비 추정</t>
    <phoneticPr fontId="2" type="noConversion"/>
  </si>
  <si>
    <t xml:space="preserve">1. 과거 판매관리비 </t>
    <phoneticPr fontId="2" type="noConversion"/>
  </si>
  <si>
    <t xml:space="preserve">2. 판매관리비 추정 결과 </t>
    <phoneticPr fontId="2" type="noConversion"/>
  </si>
  <si>
    <t xml:space="preserve">1. 감가상각비 </t>
    <phoneticPr fontId="2" type="noConversion"/>
  </si>
  <si>
    <t>2. CAPEX</t>
    <phoneticPr fontId="2" type="noConversion"/>
  </si>
  <si>
    <t xml:space="preserve">* 감가상각비만큼 재투자된다고 가정 </t>
    <phoneticPr fontId="2" type="noConversion"/>
  </si>
  <si>
    <t>3. 운전자본증감</t>
    <phoneticPr fontId="2" type="noConversion"/>
  </si>
  <si>
    <t xml:space="preserve">* 향후 매출액증가율 대비 일정비율만큼 변동 가정 </t>
    <phoneticPr fontId="2" type="noConversion"/>
  </si>
  <si>
    <t>매출액</t>
    <phoneticPr fontId="2" type="noConversion"/>
  </si>
  <si>
    <t>매출원가</t>
    <phoneticPr fontId="2" type="noConversion"/>
  </si>
  <si>
    <t>매출총이익</t>
    <phoneticPr fontId="2" type="noConversion"/>
  </si>
  <si>
    <t>판매비와 관리비</t>
    <phoneticPr fontId="2" type="noConversion"/>
  </si>
  <si>
    <t>세전영업이익(EBIT)</t>
    <phoneticPr fontId="2" type="noConversion"/>
  </si>
  <si>
    <t>NOPLAT</t>
    <phoneticPr fontId="2" type="noConversion"/>
  </si>
  <si>
    <t>현금유출없는 비용</t>
    <phoneticPr fontId="2" type="noConversion"/>
  </si>
  <si>
    <t xml:space="preserve">현금유출액 </t>
    <phoneticPr fontId="2" type="noConversion"/>
  </si>
  <si>
    <t xml:space="preserve">FCFF </t>
    <phoneticPr fontId="2" type="noConversion"/>
  </si>
  <si>
    <t>년도</t>
    <phoneticPr fontId="2" type="noConversion"/>
  </si>
  <si>
    <t>종합주가지수</t>
    <phoneticPr fontId="2" type="noConversion"/>
  </si>
  <si>
    <t>변동률</t>
    <phoneticPr fontId="2" type="noConversion"/>
  </si>
  <si>
    <t>Rm</t>
    <phoneticPr fontId="2" type="noConversion"/>
  </si>
  <si>
    <t>β</t>
    <phoneticPr fontId="2" type="noConversion"/>
  </si>
  <si>
    <t>α</t>
    <phoneticPr fontId="2" type="noConversion"/>
  </si>
  <si>
    <t>2. 타인자본비용</t>
    <phoneticPr fontId="2" type="noConversion"/>
  </si>
  <si>
    <t>이자율</t>
    <phoneticPr fontId="2" type="noConversion"/>
  </si>
  <si>
    <t>Rf</t>
    <phoneticPr fontId="2" type="noConversion"/>
  </si>
  <si>
    <t xml:space="preserve">1. 자기자본 비용 (CAPM 기대수익률) </t>
    <phoneticPr fontId="2" type="noConversion"/>
  </si>
  <si>
    <t xml:space="preserve">3. WACC의 추정 </t>
    <phoneticPr fontId="2" type="noConversion"/>
  </si>
  <si>
    <t>WACC</t>
    <phoneticPr fontId="2" type="noConversion"/>
  </si>
  <si>
    <t>구분</t>
    <phoneticPr fontId="2" type="noConversion"/>
  </si>
  <si>
    <t>할인율</t>
    <phoneticPr fontId="2" type="noConversion"/>
  </si>
  <si>
    <t>현재가치</t>
    <phoneticPr fontId="2" type="noConversion"/>
  </si>
  <si>
    <t>FCFF</t>
    <phoneticPr fontId="2" type="noConversion"/>
  </si>
  <si>
    <t>(단위: 천원)</t>
    <phoneticPr fontId="2" type="noConversion"/>
  </si>
  <si>
    <t xml:space="preserve">기업가치 </t>
    <phoneticPr fontId="2" type="noConversion"/>
  </si>
  <si>
    <t xml:space="preserve">  평가대상</t>
    <phoneticPr fontId="2" type="noConversion"/>
  </si>
  <si>
    <t xml:space="preserve">  평가목적</t>
    <phoneticPr fontId="2" type="noConversion"/>
  </si>
  <si>
    <t xml:space="preserve">  평가방법</t>
    <phoneticPr fontId="2" type="noConversion"/>
  </si>
  <si>
    <t xml:space="preserve">  평가기준일</t>
    <phoneticPr fontId="2" type="noConversion"/>
  </si>
  <si>
    <t xml:space="preserve">  감가상각비</t>
    <phoneticPr fontId="2" type="noConversion"/>
  </si>
  <si>
    <t xml:space="preserve">  소계</t>
    <phoneticPr fontId="2" type="noConversion"/>
  </si>
  <si>
    <t xml:space="preserve">  운전자본증감</t>
    <phoneticPr fontId="2" type="noConversion"/>
  </si>
  <si>
    <t>매출액 성장률</t>
    <phoneticPr fontId="2" type="noConversion"/>
  </si>
  <si>
    <t>매출원가율</t>
    <phoneticPr fontId="2" type="noConversion"/>
  </si>
  <si>
    <t>판관비율</t>
    <phoneticPr fontId="2" type="noConversion"/>
  </si>
  <si>
    <t>영업이익율</t>
    <phoneticPr fontId="2" type="noConversion"/>
  </si>
  <si>
    <t xml:space="preserve">또는 </t>
    <phoneticPr fontId="2" type="noConversion"/>
  </si>
  <si>
    <t>∑ PV of FCFF = Value of operation (할인률: WACC)</t>
    <phoneticPr fontId="2" type="noConversion"/>
  </si>
  <si>
    <t xml:space="preserve">  Value of Operation </t>
    <phoneticPr fontId="2" type="noConversion"/>
  </si>
  <si>
    <t xml:space="preserve">  Terminal Value </t>
    <phoneticPr fontId="2" type="noConversion"/>
  </si>
  <si>
    <t xml:space="preserve">  기업가치</t>
    <phoneticPr fontId="2" type="noConversion"/>
  </si>
  <si>
    <t xml:space="preserve">  영업권가치</t>
    <phoneticPr fontId="2" type="noConversion"/>
  </si>
  <si>
    <t xml:space="preserve"> IV. 비현금손익 및 현금유출액</t>
    <phoneticPr fontId="2" type="noConversion"/>
  </si>
  <si>
    <t>연평균</t>
    <phoneticPr fontId="2" type="noConversion"/>
  </si>
  <si>
    <t>자기자본비용</t>
    <phoneticPr fontId="2" type="noConversion"/>
  </si>
  <si>
    <t>타인자본비용</t>
    <phoneticPr fontId="2" type="noConversion"/>
  </si>
  <si>
    <t>자기자본비중</t>
    <phoneticPr fontId="2" type="noConversion"/>
  </si>
  <si>
    <t>타인자본비중</t>
    <phoneticPr fontId="2" type="noConversion"/>
  </si>
  <si>
    <t xml:space="preserve"> VII. 영업권 계산</t>
    <phoneticPr fontId="2" type="noConversion"/>
  </si>
  <si>
    <t xml:space="preserve">  매출원가</t>
    <phoneticPr fontId="2" type="noConversion"/>
  </si>
  <si>
    <t xml:space="preserve">  판매관리비</t>
    <phoneticPr fontId="2" type="noConversion"/>
  </si>
  <si>
    <t xml:space="preserve">  매출액</t>
    <phoneticPr fontId="2" type="noConversion"/>
  </si>
  <si>
    <t xml:space="preserve"> I. 매출액 추정 </t>
    <phoneticPr fontId="2" type="noConversion"/>
  </si>
  <si>
    <t xml:space="preserve">  매출원가율</t>
    <phoneticPr fontId="2" type="noConversion"/>
  </si>
  <si>
    <t xml:space="preserve"> 매출원가</t>
    <phoneticPr fontId="2" type="noConversion"/>
  </si>
  <si>
    <t xml:space="preserve"> 매출원가율</t>
    <phoneticPr fontId="2" type="noConversion"/>
  </si>
  <si>
    <t xml:space="preserve"> 감가상각비</t>
    <phoneticPr fontId="2" type="noConversion"/>
  </si>
  <si>
    <t xml:space="preserve"> 매출액증가</t>
    <phoneticPr fontId="2" type="noConversion"/>
  </si>
  <si>
    <t xml:space="preserve"> 증감율</t>
    <phoneticPr fontId="2" type="noConversion"/>
  </si>
  <si>
    <t xml:space="preserve"> 순운전자본 증가</t>
    <phoneticPr fontId="2" type="noConversion"/>
  </si>
  <si>
    <t xml:space="preserve"> 매출액 증가율 가정</t>
    <phoneticPr fontId="2" type="noConversion"/>
  </si>
  <si>
    <t>영업권 평가액</t>
    <phoneticPr fontId="2" type="noConversion"/>
  </si>
  <si>
    <t>문서제목</t>
    <phoneticPr fontId="2" type="noConversion"/>
  </si>
  <si>
    <t>저장일시</t>
    <phoneticPr fontId="2" type="noConversion"/>
  </si>
  <si>
    <t>일반거래 (시가참조)</t>
    <phoneticPr fontId="2" type="noConversion"/>
  </si>
  <si>
    <t xml:space="preserve"> 매출액 증가율</t>
    <phoneticPr fontId="2" type="noConversion"/>
  </si>
  <si>
    <t xml:space="preserve"> V. 잉여현금흐름(FCFF) 계산</t>
    <phoneticPr fontId="2" type="noConversion"/>
  </si>
  <si>
    <t xml:space="preserve">  WACC = (자기자본비용 x 자기자본비중) + (타인자본비용 x 부채비중)</t>
    <phoneticPr fontId="2" type="noConversion"/>
  </si>
  <si>
    <t xml:space="preserve"> VI. WACC의 추정 데이터</t>
    <phoneticPr fontId="2" type="noConversion"/>
  </si>
  <si>
    <t>%</t>
    <phoneticPr fontId="2" type="noConversion"/>
  </si>
  <si>
    <t>매출증가율 가정</t>
    <phoneticPr fontId="2" type="noConversion"/>
  </si>
  <si>
    <t>영업권 모의 감정평가 보고서</t>
    <phoneticPr fontId="2" type="noConversion"/>
  </si>
  <si>
    <t xml:space="preserve">  영업이익</t>
    <phoneticPr fontId="2" type="noConversion"/>
  </si>
  <si>
    <t>영업이익율</t>
    <phoneticPr fontId="2" type="noConversion"/>
  </si>
  <si>
    <t>매출증가율</t>
    <phoneticPr fontId="2" type="noConversion"/>
  </si>
  <si>
    <t xml:space="preserve">이름정의수 </t>
    <phoneticPr fontId="2" type="noConversion"/>
  </si>
  <si>
    <t xml:space="preserve">  자산</t>
    <phoneticPr fontId="2" type="noConversion"/>
  </si>
  <si>
    <t xml:space="preserve">  순자산가치 + 이자부 부채 (또는 자산 가치 중 적은 값)</t>
    <phoneticPr fontId="2" type="noConversion"/>
  </si>
  <si>
    <t xml:space="preserve">  부채</t>
    <phoneticPr fontId="2" type="noConversion"/>
  </si>
  <si>
    <t xml:space="preserve">개인기업 기본 재무정보 </t>
    <phoneticPr fontId="2" type="noConversion"/>
  </si>
  <si>
    <t xml:space="preserve">  순자산</t>
    <phoneticPr fontId="2" type="noConversion"/>
  </si>
  <si>
    <r>
      <rPr>
        <b/>
        <sz val="10"/>
        <color theme="1"/>
        <rFont val="맑은 고딕"/>
        <family val="3"/>
        <charset val="129"/>
      </rPr>
      <t>※</t>
    </r>
    <r>
      <rPr>
        <b/>
        <sz val="9.5"/>
        <color theme="1"/>
        <rFont val="맑은 고딕"/>
        <family val="3"/>
        <charset val="129"/>
      </rPr>
      <t xml:space="preserve"> </t>
    </r>
    <r>
      <rPr>
        <b/>
        <sz val="10"/>
        <color theme="1"/>
        <rFont val="맑은 고딕"/>
        <family val="3"/>
        <charset val="129"/>
        <scheme val="minor"/>
      </rPr>
      <t xml:space="preserve">최소 직전 3년 이상 기본 재무정보 입력이 필요합니다. </t>
    </r>
    <phoneticPr fontId="2" type="noConversion"/>
  </si>
  <si>
    <t>▶ 기업가치</t>
    <phoneticPr fontId="2" type="noConversion"/>
  </si>
  <si>
    <t>▶ 영업권 가치</t>
    <phoneticPr fontId="2" type="noConversion"/>
  </si>
  <si>
    <t xml:space="preserve">* 최근 3개년 평균실적입니다. </t>
    <phoneticPr fontId="2" type="noConversion"/>
  </si>
  <si>
    <t>* 매출액상승률은 과거 매출성장률, 회사제시 향후 예상매출액 및 물가상승률 등을 고려하여 보수적으로 추정함</t>
    <phoneticPr fontId="2" type="noConversion"/>
  </si>
  <si>
    <t xml:space="preserve">* 매출원가율은 과거실적을 고려하여 결정하였습니다. </t>
    <phoneticPr fontId="2" type="noConversion"/>
  </si>
  <si>
    <t>타인자본비용(Ra)</t>
    <phoneticPr fontId="2" type="noConversion"/>
  </si>
  <si>
    <t>자기자본비용(Re)</t>
    <phoneticPr fontId="2" type="noConversion"/>
  </si>
  <si>
    <t>3년 평균</t>
    <phoneticPr fontId="2" type="noConversion"/>
  </si>
  <si>
    <t xml:space="preserve">매크로를 제외한 상태에서 파일이 열렸습니다. </t>
    <phoneticPr fontId="31" type="noConversion"/>
  </si>
  <si>
    <t xml:space="preserve">본 파일은 매크로가 포함된 상태에서 로그인을 한 후 파일을 열어야 사용할 수 있습니다. </t>
    <phoneticPr fontId="31" type="noConversion"/>
  </si>
  <si>
    <t xml:space="preserve"> 매출액</t>
    <phoneticPr fontId="2" type="noConversion"/>
  </si>
  <si>
    <t xml:space="preserve"> 매출액  </t>
    <phoneticPr fontId="2" type="noConversion"/>
  </si>
  <si>
    <t>3년 평균</t>
    <phoneticPr fontId="2" type="noConversion"/>
  </si>
  <si>
    <t>5년 평균</t>
    <phoneticPr fontId="2" type="noConversion"/>
  </si>
  <si>
    <t>시장수익률</t>
    <phoneticPr fontId="2" type="noConversion"/>
  </si>
  <si>
    <t xml:space="preserve">* 이자율은 중소기업 신규취급액 대출금리는 평가기준일 전년도 연평균 기준(한국은행 경제통계시스템: 금리--&gt; 예금은행가중평균금리--&gt; 대출금리) </t>
    <phoneticPr fontId="2" type="noConversion"/>
  </si>
  <si>
    <t xml:space="preserve">* 시장수익률은 과거 10년 시장 평균을 감안하여 임의값(조정값)으로 입력했습니다. </t>
    <phoneticPr fontId="2" type="noConversion"/>
  </si>
  <si>
    <t>데이터샘플</t>
    <phoneticPr fontId="2" type="noConversion"/>
  </si>
  <si>
    <t>㈜ 런인베스트</t>
    <phoneticPr fontId="2" type="noConversion"/>
  </si>
  <si>
    <t xml:space="preserve">* Terminal value 추정시 영구성장률은 0.0%를 적용하였습니다. </t>
    <phoneticPr fontId="2" type="noConversion"/>
  </si>
  <si>
    <t xml:space="preserve">* 순자산가치 및 이자부부채는 최종 사업년도 기준 재무상태표를 적용하였습니다. </t>
    <phoneticPr fontId="2" type="noConversion"/>
  </si>
  <si>
    <t xml:space="preserve">* 추정 1차년도 매출액은 전년도 매출액 및 증감율을 고려한 매출추정액을 기준으로 월할계산함 </t>
    <phoneticPr fontId="2" type="noConversion"/>
  </si>
  <si>
    <t>* 추정 6차년도 매출액은 해당년도 추정매출액을 월할계산함</t>
    <phoneticPr fontId="2" type="noConversion"/>
  </si>
  <si>
    <t xml:space="preserve">* 자본구조는목표자본구조로 하였으며, 회사계획등을 고려하여 결정하였습니다. </t>
    <phoneticPr fontId="2" type="noConversion"/>
  </si>
  <si>
    <r>
      <t xml:space="preserve">순자산가치+이자부 부채
</t>
    </r>
    <r>
      <rPr>
        <b/>
        <sz val="9"/>
        <color theme="1"/>
        <rFont val="나눔고딕"/>
        <family val="3"/>
        <charset val="129"/>
      </rPr>
      <t xml:space="preserve">(또는 </t>
    </r>
    <r>
      <rPr>
        <b/>
        <sz val="11"/>
        <color theme="1"/>
        <rFont val="나눔고딕"/>
        <family val="3"/>
        <charset val="129"/>
      </rPr>
      <t xml:space="preserve">총자산가치 </t>
    </r>
    <r>
      <rPr>
        <b/>
        <sz val="9"/>
        <color theme="1"/>
        <rFont val="나눔고딕"/>
        <family val="3"/>
        <charset val="129"/>
      </rPr>
      <t>중 적은 값)</t>
    </r>
    <phoneticPr fontId="2" type="noConversion"/>
  </si>
  <si>
    <t xml:space="preserve"> 매출</t>
    <phoneticPr fontId="2" type="noConversion"/>
  </si>
  <si>
    <t xml:space="preserve"> 판매관리비</t>
    <phoneticPr fontId="2" type="noConversion"/>
  </si>
  <si>
    <t xml:space="preserve"> 판매관리비율</t>
    <phoneticPr fontId="2" type="noConversion"/>
  </si>
  <si>
    <t xml:space="preserve">* β계수는 평가대상 기업이 비상장회사이므로 유사업체의 52주간 β값을 고려하여 1로 가정 </t>
    <phoneticPr fontId="2" type="noConversion"/>
  </si>
  <si>
    <t xml:space="preserve">* α는 회사 고유의 위험할증률로서 해당 기업의 규모, 업종의 특성에 따른 고유 위험등을 고려하여 추가로 반영 </t>
    <phoneticPr fontId="2" type="noConversion"/>
  </si>
  <si>
    <r>
      <rPr>
        <b/>
        <sz val="13"/>
        <color theme="1"/>
        <rFont val="나눔고딕"/>
        <family val="3"/>
        <charset val="129"/>
      </rPr>
      <t xml:space="preserve">(1) 무위험수익률(Rf) </t>
    </r>
    <r>
      <rPr>
        <b/>
        <sz val="12"/>
        <color theme="1"/>
        <rFont val="나눔고딕"/>
        <family val="3"/>
        <charset val="129"/>
      </rPr>
      <t xml:space="preserve">: </t>
    </r>
    <r>
      <rPr>
        <b/>
        <sz val="10"/>
        <color theme="1"/>
        <rFont val="나눔고딕"/>
        <family val="3"/>
        <charset val="129"/>
      </rPr>
      <t>10년만기 국고채수익률 기준 (1년 평균) _ 한국은행경제통계시스템: 금리--&gt; 시장금리</t>
    </r>
    <phoneticPr fontId="2" type="noConversion"/>
  </si>
  <si>
    <r>
      <t xml:space="preserve">  투자현금흐름</t>
    </r>
    <r>
      <rPr>
        <sz val="9"/>
        <color theme="1"/>
        <rFont val="나눔고딕"/>
        <family val="3"/>
        <charset val="129"/>
      </rPr>
      <t>(CAPEX)</t>
    </r>
    <phoneticPr fontId="2" type="noConversion"/>
  </si>
  <si>
    <t xml:space="preserve"> 판관비율</t>
    <phoneticPr fontId="2" type="noConversion"/>
  </si>
  <si>
    <t xml:space="preserve"> 매출액</t>
    <phoneticPr fontId="2" type="noConversion"/>
  </si>
  <si>
    <t xml:space="preserve"> CAPEX</t>
    <phoneticPr fontId="2" type="noConversion"/>
  </si>
  <si>
    <t xml:space="preserve"> 감가상각비</t>
    <phoneticPr fontId="2" type="noConversion"/>
  </si>
  <si>
    <t xml:space="preserve"> 판매관리비 </t>
    <phoneticPr fontId="2" type="noConversion"/>
  </si>
  <si>
    <t xml:space="preserve"> 매출원가 </t>
    <phoneticPr fontId="2" type="noConversion"/>
  </si>
  <si>
    <t>박세라</t>
  </si>
  <si>
    <t>2년 평균</t>
    <phoneticPr fontId="2" type="noConversion"/>
  </si>
  <si>
    <t xml:space="preserve"> 기준매출액 _ or (직전년도 매출액, 2년 평균 매출액, 3년 평균 매출액)</t>
    <phoneticPr fontId="2" type="noConversion"/>
  </si>
  <si>
    <t>3년 평균</t>
    <phoneticPr fontId="2" type="noConversion"/>
  </si>
  <si>
    <t xml:space="preserve">* 직전년도 감가상각비 수준 향후 동일 유지 가정 </t>
    <phoneticPr fontId="2" type="noConversion"/>
  </si>
  <si>
    <t>작성자</t>
    <phoneticPr fontId="2" type="noConversion"/>
  </si>
  <si>
    <t>4. 영업권가치 = 기업가치 - [(순자산가치 + 이자부부채) or 총자산가치 중 적은 값]</t>
    <phoneticPr fontId="2" type="noConversion"/>
  </si>
  <si>
    <r>
      <rPr>
        <b/>
        <sz val="13"/>
        <color theme="1"/>
        <rFont val="나눔고딕"/>
        <family val="3"/>
        <charset val="129"/>
      </rPr>
      <t>(2) 시장수익률(Rm)</t>
    </r>
    <r>
      <rPr>
        <b/>
        <sz val="12"/>
        <color theme="1"/>
        <rFont val="나눔고딕"/>
        <family val="3"/>
        <charset val="129"/>
      </rPr>
      <t xml:space="preserve"> : </t>
    </r>
    <r>
      <rPr>
        <b/>
        <sz val="10"/>
        <color theme="1"/>
        <rFont val="나눔고딕"/>
        <family val="3"/>
        <charset val="129"/>
      </rPr>
      <t>종합주가지수 10년 (연월말평균) _ 한국은행경제통계시스템: 증권재정 --&gt; 주식거래 및 주가지수</t>
    </r>
    <phoneticPr fontId="2" type="noConversion"/>
  </si>
  <si>
    <t>실효세율</t>
    <phoneticPr fontId="2" type="noConversion"/>
  </si>
  <si>
    <t>강의용 샘플</t>
    <phoneticPr fontId="2" type="noConversion"/>
  </si>
  <si>
    <t>런인베스트</t>
    <phoneticPr fontId="2" type="noConversion"/>
  </si>
  <si>
    <t>Tax (6~42%)</t>
    <phoneticPr fontId="2" type="noConversion"/>
  </si>
  <si>
    <t>㈜ABC컴퍼니</t>
    <phoneticPr fontId="2" type="noConversion"/>
  </si>
  <si>
    <t xml:space="preserve">   이자부 부채</t>
    <phoneticPr fontId="2" type="noConversion"/>
  </si>
  <si>
    <t>엄태오</t>
    <phoneticPr fontId="2" type="noConversion"/>
  </si>
  <si>
    <t>강한주</t>
  </si>
  <si>
    <t>장수혁</t>
  </si>
  <si>
    <t>윤동환</t>
  </si>
  <si>
    <t>이인규</t>
  </si>
  <si>
    <t>안동우</t>
  </si>
  <si>
    <t>김건하</t>
  </si>
  <si>
    <t>정용현</t>
  </si>
  <si>
    <t>유성숙</t>
  </si>
  <si>
    <t>김연우</t>
  </si>
  <si>
    <t>최호용</t>
  </si>
  <si>
    <t>이재희</t>
  </si>
  <si>
    <t>김소래</t>
  </si>
  <si>
    <t>김동표</t>
  </si>
  <si>
    <t>주현숙</t>
  </si>
  <si>
    <t>이필용</t>
  </si>
  <si>
    <t>김일구</t>
  </si>
  <si>
    <t>손혜진</t>
  </si>
  <si>
    <t>박성순</t>
  </si>
  <si>
    <t>김종배</t>
  </si>
  <si>
    <t>변영기</t>
  </si>
  <si>
    <t>문희석</t>
  </si>
  <si>
    <t>배수경</t>
  </si>
  <si>
    <t>이계영</t>
  </si>
  <si>
    <t>김봉겸</t>
  </si>
  <si>
    <t>박유나</t>
  </si>
  <si>
    <t>박수정</t>
  </si>
  <si>
    <t>현창민</t>
  </si>
  <si>
    <t>최경수</t>
  </si>
  <si>
    <t>정은옥</t>
  </si>
  <si>
    <t>김창수</t>
  </si>
  <si>
    <t>송병훈</t>
  </si>
  <si>
    <t>신현석</t>
  </si>
  <si>
    <t>김판수</t>
  </si>
  <si>
    <t>박도영</t>
  </si>
  <si>
    <t>홍덕희</t>
  </si>
  <si>
    <t>김경준</t>
  </si>
  <si>
    <t>양금주</t>
  </si>
  <si>
    <t>안근모</t>
  </si>
  <si>
    <t>장대현</t>
  </si>
  <si>
    <t>김현석</t>
  </si>
  <si>
    <t>박근하</t>
  </si>
  <si>
    <t>곽희정</t>
  </si>
  <si>
    <t>정식한</t>
  </si>
  <si>
    <t>김건태</t>
  </si>
  <si>
    <t>조옥천</t>
  </si>
  <si>
    <t>김선종</t>
  </si>
  <si>
    <t>황지영</t>
  </si>
  <si>
    <t>신광민</t>
  </si>
  <si>
    <t>이강현</t>
  </si>
  <si>
    <t>박혜경</t>
  </si>
  <si>
    <t>김동연</t>
  </si>
  <si>
    <t>박범규</t>
  </si>
  <si>
    <t>이동훈</t>
  </si>
  <si>
    <t>박정근</t>
  </si>
  <si>
    <t>정석우</t>
  </si>
  <si>
    <t>한기만</t>
  </si>
  <si>
    <t>전홍덕</t>
  </si>
  <si>
    <t>장봉관</t>
  </si>
  <si>
    <t>강순구</t>
  </si>
  <si>
    <t>김현성</t>
  </si>
  <si>
    <t>김경목</t>
  </si>
  <si>
    <t>안병구</t>
  </si>
  <si>
    <t>이수임</t>
  </si>
  <si>
    <t>이지형</t>
  </si>
  <si>
    <t>정성안</t>
  </si>
  <si>
    <t>변성택</t>
  </si>
  <si>
    <t>김성민</t>
  </si>
  <si>
    <t>황익준</t>
  </si>
  <si>
    <t>박석종</t>
  </si>
  <si>
    <t>이경용</t>
  </si>
  <si>
    <t>정영수</t>
  </si>
  <si>
    <t>김인철</t>
  </si>
  <si>
    <t>이지은</t>
  </si>
  <si>
    <t>방정일</t>
  </si>
  <si>
    <t>구성규</t>
  </si>
  <si>
    <t>김종만</t>
  </si>
  <si>
    <t>김민수</t>
  </si>
  <si>
    <t>김계림</t>
  </si>
  <si>
    <t>송경선</t>
  </si>
  <si>
    <t>노윤형</t>
  </si>
  <si>
    <t>임경숙</t>
  </si>
  <si>
    <t>조혜연</t>
  </si>
  <si>
    <t>유금순</t>
  </si>
  <si>
    <t>고병관</t>
  </si>
  <si>
    <t>윤태형</t>
  </si>
  <si>
    <t>엄영신</t>
  </si>
  <si>
    <t>최웅철</t>
  </si>
  <si>
    <t>박미아</t>
  </si>
  <si>
    <t>kimminsu</t>
  </si>
  <si>
    <t>김철홍</t>
  </si>
  <si>
    <t>이예주</t>
  </si>
  <si>
    <t>장주영</t>
  </si>
  <si>
    <t>이응석</t>
  </si>
  <si>
    <t>성미연</t>
  </si>
  <si>
    <t>김형근</t>
  </si>
  <si>
    <t>황수경</t>
  </si>
  <si>
    <t>이수연</t>
  </si>
  <si>
    <t>임주석</t>
  </si>
  <si>
    <t>송상은</t>
  </si>
  <si>
    <t>김성태</t>
  </si>
  <si>
    <t>조미정</t>
  </si>
  <si>
    <t>홍주현</t>
  </si>
  <si>
    <t>유기탁</t>
  </si>
  <si>
    <t>FC</t>
  </si>
  <si>
    <t>GFC</t>
  </si>
  <si>
    <t>PS</t>
  </si>
  <si>
    <t>AIA</t>
  </si>
  <si>
    <t>MAFS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</si>
</sst>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* #,##0_);_(* \(#,##0\);_(* &quot;-&quot;_);_(@_)"/>
    <numFmt numFmtId="177" formatCode="0.0%"/>
    <numFmt numFmtId="178" formatCode="yyyy\/mm"/>
    <numFmt numFmtId="179" formatCode="#,##0.00_ "/>
    <numFmt numFmtId="180" formatCode="0.00000_ "/>
    <numFmt numFmtId="181" formatCode="#,##0_);[Red]\(#,##0\)"/>
    <numFmt numFmtId="182" formatCode="#,##0_ "/>
    <numFmt numFmtId="183" formatCode="yyyy/mm/dd\ \ [$-412]AM/PM\ h:mm;@"/>
    <numFmt numFmtId="184" formatCode="0.0_ "/>
    <numFmt numFmtId="185" formatCode="[$-F800]dddd\,\ mmmm\ dd\,\ yyyy"/>
    <numFmt numFmtId="186" formatCode="#,##0_);\(#,##0\)"/>
    <numFmt numFmtId="187" formatCode="General\ &quot;*&quot;"/>
    <numFmt numFmtId="188" formatCode="0_);[Red]\(0\)"/>
    <numFmt numFmtId="189" formatCode="##.00&quot;억원&quot;"/>
  </numFmts>
  <fonts count="57" x14ac:knownFonts="1">
    <font>
      <sz val="10"/>
      <color theme="1"/>
      <name val="맑은 고딕"/>
      <family val="2"/>
      <charset val="129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b/>
      <sz val="10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9"/>
      <color theme="1"/>
      <name val="맑은 고딕"/>
      <family val="2"/>
      <charset val="129"/>
    </font>
    <font>
      <b/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rgb="FFFF0000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b/>
      <sz val="13"/>
      <color theme="1"/>
      <name val="맑은 고딕"/>
      <family val="3"/>
      <charset val="129"/>
    </font>
    <font>
      <b/>
      <sz val="9"/>
      <color indexed="8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.5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</font>
    <font>
      <sz val="10"/>
      <color theme="0"/>
      <name val="맑은 고딕"/>
      <family val="2"/>
      <charset val="129"/>
    </font>
    <font>
      <sz val="6"/>
      <color theme="1"/>
      <name val="맑은 고딕"/>
      <family val="2"/>
      <charset val="129"/>
    </font>
    <font>
      <sz val="8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b/>
      <sz val="9"/>
      <color theme="1"/>
      <name val="나눔고딕"/>
      <family val="3"/>
      <charset val="129"/>
    </font>
    <font>
      <b/>
      <sz val="12"/>
      <color theme="1"/>
      <name val="나눔고딕"/>
      <family val="3"/>
      <charset val="129"/>
    </font>
    <font>
      <sz val="11"/>
      <color theme="1"/>
      <name val="나눔고딕"/>
      <family val="3"/>
      <charset val="129"/>
    </font>
    <font>
      <b/>
      <sz val="24"/>
      <color theme="1"/>
      <name val="나눔고딕"/>
      <family val="3"/>
      <charset val="129"/>
    </font>
    <font>
      <b/>
      <sz val="28"/>
      <color theme="1"/>
      <name val="나눔고딕"/>
      <family val="3"/>
      <charset val="129"/>
    </font>
    <font>
      <sz val="12"/>
      <color theme="1"/>
      <name val="나눔고딕"/>
      <family val="3"/>
      <charset val="129"/>
    </font>
    <font>
      <b/>
      <sz val="16"/>
      <color theme="1"/>
      <name val="나눔고딕"/>
      <family val="3"/>
      <charset val="129"/>
    </font>
    <font>
      <sz val="10"/>
      <color theme="1"/>
      <name val="나눔고딕"/>
      <family val="3"/>
      <charset val="129"/>
    </font>
    <font>
      <sz val="9"/>
      <color theme="1"/>
      <name val="나눔고딕"/>
      <family val="3"/>
      <charset val="129"/>
    </font>
    <font>
      <b/>
      <sz val="14"/>
      <color theme="1"/>
      <name val="나눔고딕"/>
      <family val="3"/>
      <charset val="129"/>
    </font>
    <font>
      <sz val="14"/>
      <color theme="1"/>
      <name val="나눔고딕"/>
      <family val="3"/>
      <charset val="129"/>
    </font>
    <font>
      <b/>
      <sz val="18"/>
      <color theme="1"/>
      <name val="나눔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name val="나눔고딕"/>
      <family val="3"/>
      <charset val="129"/>
    </font>
    <font>
      <b/>
      <sz val="13"/>
      <color theme="1"/>
      <name val="나눔고딕"/>
      <family val="3"/>
      <charset val="129"/>
    </font>
    <font>
      <b/>
      <sz val="18"/>
      <color theme="1"/>
      <name val="맑은 고딕"/>
      <family val="3"/>
      <charset val="129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rgb="FFFF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1EAF3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medium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0" tint="-0.499984740745262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medium">
        <color theme="0" tint="-0.499984740745262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medium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499984740745262"/>
      </left>
      <right style="thin">
        <color theme="0" tint="-0.14999847407452621"/>
      </right>
      <top style="medium">
        <color theme="1" tint="0.499984740745262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499984740745262"/>
      </right>
      <top style="medium">
        <color theme="1" tint="0.499984740745262"/>
      </top>
      <bottom style="thin">
        <color theme="0" tint="-0.14999847407452621"/>
      </bottom>
      <diagonal/>
    </border>
    <border>
      <left style="medium">
        <color theme="1" tint="0.499984740745262"/>
      </left>
      <right style="thin">
        <color theme="0" tint="-0.14999847407452621"/>
      </right>
      <top style="thin">
        <color theme="0" tint="-0.14999847407452621"/>
      </top>
      <bottom style="medium">
        <color theme="1" tint="0.499984740745262"/>
      </bottom>
      <diagonal/>
    </border>
    <border>
      <left style="thin">
        <color theme="0" tint="-0.14999847407452621"/>
      </left>
      <right style="medium">
        <color theme="1" tint="0.499984740745262"/>
      </right>
      <top style="thin">
        <color theme="0" tint="-0.14999847407452621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499984740745262"/>
      </top>
      <bottom style="thin">
        <color theme="0" tint="-0.14999847407452621"/>
      </bottom>
      <diagonal/>
    </border>
    <border>
      <left style="medium">
        <color theme="1" tint="0.49998474074526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499984740745262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indexed="9"/>
      </left>
      <right/>
      <top/>
      <bottom style="thin">
        <color indexed="57"/>
      </bottom>
      <diagonal/>
    </border>
    <border>
      <left/>
      <right/>
      <top/>
      <bottom style="thin">
        <color indexed="57"/>
      </bottom>
      <diagonal/>
    </border>
    <border>
      <left style="medium">
        <color theme="1" tint="0.249977111117893"/>
      </left>
      <right/>
      <top style="medium">
        <color theme="1" tint="0.249977111117893"/>
      </top>
      <bottom style="medium">
        <color theme="1" tint="0.249977111117893"/>
      </bottom>
      <diagonal/>
    </border>
    <border>
      <left/>
      <right/>
      <top style="medium">
        <color theme="1" tint="0.249977111117893"/>
      </top>
      <bottom style="medium">
        <color theme="1" tint="0.249977111117893"/>
      </bottom>
      <diagonal/>
    </border>
    <border>
      <left/>
      <right style="medium">
        <color theme="1" tint="0.249977111117893"/>
      </right>
      <top style="medium">
        <color theme="1" tint="0.249977111117893"/>
      </top>
      <bottom style="medium">
        <color theme="1" tint="0.249977111117893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thin">
        <color theme="0" tint="-0.14999847407452621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double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double">
        <color theme="0" tint="-0.14999847407452621"/>
      </top>
      <bottom style="thin">
        <color theme="0" tint="-0.14999847407452621"/>
      </bottom>
      <diagonal/>
    </border>
    <border>
      <left/>
      <right/>
      <top style="double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double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57">
    <xf numFmtId="0" fontId="0" fillId="0" borderId="0" xfId="0">
      <alignment vertical="center"/>
    </xf>
    <xf numFmtId="0" fontId="0" fillId="2" borderId="0" xfId="0" applyFill="1">
      <alignment vertical="center"/>
    </xf>
    <xf numFmtId="0" fontId="6" fillId="2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3" fillId="2" borderId="0" xfId="0" applyFont="1" applyFill="1">
      <alignment vertical="center"/>
    </xf>
    <xf numFmtId="0" fontId="0" fillId="2" borderId="17" xfId="0" applyFill="1" applyBorder="1">
      <alignment vertical="center"/>
    </xf>
    <xf numFmtId="0" fontId="10" fillId="5" borderId="18" xfId="0" applyFont="1" applyFill="1" applyBorder="1">
      <alignment vertical="center"/>
    </xf>
    <xf numFmtId="0" fontId="8" fillId="5" borderId="18" xfId="0" applyFont="1" applyFill="1" applyBorder="1">
      <alignment vertical="center"/>
    </xf>
    <xf numFmtId="177" fontId="5" fillId="2" borderId="0" xfId="2" applyNumberFormat="1" applyFont="1" applyFill="1" applyBorder="1" applyAlignment="1">
      <alignment horizontal="right" vertical="center"/>
    </xf>
    <xf numFmtId="0" fontId="4" fillId="2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10" fillId="2" borderId="18" xfId="0" applyFont="1" applyFill="1" applyBorder="1">
      <alignment vertical="center"/>
    </xf>
    <xf numFmtId="0" fontId="12" fillId="2" borderId="0" xfId="0" applyFont="1" applyFill="1">
      <alignment vertical="center"/>
    </xf>
    <xf numFmtId="0" fontId="7" fillId="2" borderId="0" xfId="0" applyFont="1" applyFill="1" applyAlignment="1">
      <alignment horizontal="left" vertical="center"/>
    </xf>
    <xf numFmtId="9" fontId="7" fillId="2" borderId="0" xfId="2" applyFont="1" applyFill="1" applyBorder="1" applyAlignment="1" applyProtection="1">
      <alignment horizontal="center" vertical="center"/>
    </xf>
    <xf numFmtId="0" fontId="1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0" fillId="2" borderId="0" xfId="0" applyFill="1" applyAlignment="1">
      <alignment horizontal="left" vertical="center"/>
    </xf>
    <xf numFmtId="179" fontId="11" fillId="2" borderId="0" xfId="0" applyNumberFormat="1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10" fontId="3" fillId="2" borderId="0" xfId="0" applyNumberFormat="1" applyFont="1" applyFill="1">
      <alignment vertical="center"/>
    </xf>
    <xf numFmtId="10" fontId="0" fillId="2" borderId="0" xfId="2" applyNumberFormat="1" applyFont="1" applyFill="1" applyBorder="1" applyAlignment="1" applyProtection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9" fillId="2" borderId="0" xfId="0" applyFont="1" applyFill="1">
      <alignment vertical="center"/>
    </xf>
    <xf numFmtId="0" fontId="0" fillId="7" borderId="0" xfId="0" applyFill="1">
      <alignment vertical="center"/>
    </xf>
    <xf numFmtId="0" fontId="6" fillId="2" borderId="0" xfId="0" applyFont="1" applyFill="1" applyAlignment="1">
      <alignment horizontal="right"/>
    </xf>
    <xf numFmtId="0" fontId="14" fillId="2" borderId="0" xfId="0" applyFont="1" applyFill="1">
      <alignment vertical="center"/>
    </xf>
    <xf numFmtId="0" fontId="18" fillId="2" borderId="0" xfId="0" applyFont="1" applyFill="1">
      <alignment vertical="center"/>
    </xf>
    <xf numFmtId="22" fontId="18" fillId="2" borderId="0" xfId="0" applyNumberFormat="1" applyFont="1" applyFill="1">
      <alignment vertical="center"/>
    </xf>
    <xf numFmtId="0" fontId="19" fillId="8" borderId="0" xfId="0" applyFont="1" applyFill="1" applyAlignment="1">
      <alignment horizontal="center" vertical="center"/>
    </xf>
    <xf numFmtId="183" fontId="21" fillId="2" borderId="33" xfId="0" applyNumberFormat="1" applyFont="1" applyFill="1" applyBorder="1" applyAlignment="1">
      <alignment vertical="center" shrinkToFit="1"/>
    </xf>
    <xf numFmtId="0" fontId="22" fillId="2" borderId="0" xfId="0" applyFont="1" applyFill="1" applyAlignment="1">
      <alignment horizontal="center" vertical="center"/>
    </xf>
    <xf numFmtId="0" fontId="18" fillId="6" borderId="0" xfId="0" applyFont="1" applyFill="1">
      <alignment vertical="center"/>
    </xf>
    <xf numFmtId="0" fontId="23" fillId="6" borderId="0" xfId="0" applyFont="1" applyFill="1">
      <alignment vertical="center"/>
    </xf>
    <xf numFmtId="14" fontId="23" fillId="6" borderId="0" xfId="0" applyNumberFormat="1" applyFont="1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8" fillId="7" borderId="0" xfId="0" applyFont="1" applyFill="1">
      <alignment vertical="center"/>
    </xf>
    <xf numFmtId="176" fontId="23" fillId="6" borderId="0" xfId="1" applyFont="1" applyFill="1" applyBorder="1" applyProtection="1">
      <alignment vertical="center"/>
      <protection locked="0"/>
    </xf>
    <xf numFmtId="0" fontId="24" fillId="6" borderId="0" xfId="0" applyFont="1" applyFill="1">
      <alignment vertical="center"/>
    </xf>
    <xf numFmtId="0" fontId="20" fillId="6" borderId="0" xfId="0" applyFont="1" applyFill="1" applyAlignment="1">
      <alignment horizontal="center" vertical="center"/>
    </xf>
    <xf numFmtId="9" fontId="24" fillId="6" borderId="0" xfId="2" applyFont="1" applyFill="1" applyBorder="1" applyAlignment="1" applyProtection="1">
      <alignment horizontal="center" vertical="center"/>
    </xf>
    <xf numFmtId="0" fontId="20" fillId="2" borderId="0" xfId="0" applyFont="1" applyFill="1">
      <alignment vertical="center"/>
    </xf>
    <xf numFmtId="0" fontId="26" fillId="2" borderId="25" xfId="0" applyFont="1" applyFill="1" applyBorder="1">
      <alignment vertical="center"/>
    </xf>
    <xf numFmtId="0" fontId="18" fillId="2" borderId="25" xfId="0" applyFont="1" applyFill="1" applyBorder="1">
      <alignment vertical="center"/>
    </xf>
    <xf numFmtId="181" fontId="27" fillId="2" borderId="0" xfId="0" applyNumberFormat="1" applyFont="1" applyFill="1" applyAlignment="1">
      <alignment horizontal="center" vertical="center"/>
    </xf>
    <xf numFmtId="181" fontId="24" fillId="2" borderId="0" xfId="0" applyNumberFormat="1" applyFont="1" applyFill="1" applyAlignment="1">
      <alignment horizontal="center" vertical="center"/>
    </xf>
    <xf numFmtId="0" fontId="24" fillId="2" borderId="0" xfId="0" applyFont="1" applyFill="1">
      <alignment vertical="center"/>
    </xf>
    <xf numFmtId="0" fontId="28" fillId="2" borderId="0" xfId="0" applyFont="1" applyFill="1">
      <alignment vertical="center"/>
    </xf>
    <xf numFmtId="0" fontId="28" fillId="7" borderId="0" xfId="0" applyFont="1" applyFill="1">
      <alignment vertical="center"/>
    </xf>
    <xf numFmtId="178" fontId="5" fillId="0" borderId="38" xfId="0" applyNumberFormat="1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187" fontId="4" fillId="4" borderId="1" xfId="0" applyNumberFormat="1" applyFont="1" applyFill="1" applyBorder="1" applyAlignment="1">
      <alignment horizontal="center" vertical="center"/>
    </xf>
    <xf numFmtId="186" fontId="8" fillId="2" borderId="1" xfId="1" applyNumberFormat="1" applyFont="1" applyFill="1" applyBorder="1" applyAlignment="1">
      <alignment horizontal="center" vertical="center"/>
    </xf>
    <xf numFmtId="177" fontId="8" fillId="2" borderId="1" xfId="1" applyNumberFormat="1" applyFont="1" applyFill="1" applyBorder="1" applyAlignment="1">
      <alignment horizontal="center" vertical="center"/>
    </xf>
    <xf numFmtId="186" fontId="29" fillId="2" borderId="0" xfId="1" applyNumberFormat="1" applyFont="1" applyFill="1" applyBorder="1" applyAlignment="1" applyProtection="1">
      <alignment horizontal="center" vertical="center"/>
    </xf>
    <xf numFmtId="0" fontId="29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30" fillId="2" borderId="0" xfId="0" applyFont="1" applyFill="1">
      <alignment vertical="center"/>
    </xf>
    <xf numFmtId="185" fontId="29" fillId="2" borderId="0" xfId="0" applyNumberFormat="1" applyFont="1" applyFill="1">
      <alignment vertical="center"/>
    </xf>
    <xf numFmtId="0" fontId="29" fillId="2" borderId="0" xfId="0" applyFont="1" applyFill="1" applyAlignment="1">
      <alignment horizontal="center" vertical="center"/>
    </xf>
    <xf numFmtId="176" fontId="29" fillId="2" borderId="0" xfId="1" applyFont="1" applyFill="1" applyAlignment="1">
      <alignment horizontal="center" vertical="center"/>
    </xf>
    <xf numFmtId="14" fontId="29" fillId="2" borderId="0" xfId="0" applyNumberFormat="1" applyFont="1" applyFill="1">
      <alignment vertical="center"/>
    </xf>
    <xf numFmtId="0" fontId="32" fillId="2" borderId="0" xfId="0" applyFont="1" applyFill="1" applyAlignment="1">
      <alignment horizontal="center" vertical="center"/>
    </xf>
    <xf numFmtId="178" fontId="0" fillId="2" borderId="0" xfId="0" applyNumberFormat="1" applyFill="1" applyAlignment="1">
      <alignment horizontal="center" vertical="center"/>
    </xf>
    <xf numFmtId="179" fontId="0" fillId="9" borderId="1" xfId="0" applyNumberFormat="1" applyFill="1" applyBorder="1" applyAlignment="1">
      <alignment horizontal="center" vertical="center"/>
    </xf>
    <xf numFmtId="179" fontId="0" fillId="9" borderId="2" xfId="0" applyNumberFormat="1" applyFill="1" applyBorder="1" applyAlignment="1">
      <alignment horizontal="center" vertical="center"/>
    </xf>
    <xf numFmtId="10" fontId="3" fillId="2" borderId="0" xfId="0" applyNumberFormat="1" applyFont="1" applyFill="1" applyAlignment="1">
      <alignment horizontal="center" vertical="center"/>
    </xf>
    <xf numFmtId="176" fontId="34" fillId="2" borderId="0" xfId="1" applyFont="1" applyFill="1">
      <alignment vertical="center"/>
    </xf>
    <xf numFmtId="14" fontId="35" fillId="2" borderId="0" xfId="0" applyNumberFormat="1" applyFont="1" applyFill="1">
      <alignment vertical="center"/>
    </xf>
    <xf numFmtId="0" fontId="37" fillId="4" borderId="20" xfId="0" applyFont="1" applyFill="1" applyBorder="1">
      <alignment vertical="center"/>
    </xf>
    <xf numFmtId="0" fontId="38" fillId="6" borderId="0" xfId="0" applyFont="1" applyFill="1" applyAlignment="1">
      <alignment horizontal="right" vertical="center"/>
    </xf>
    <xf numFmtId="0" fontId="37" fillId="4" borderId="1" xfId="0" applyFont="1" applyFill="1" applyBorder="1" applyAlignment="1">
      <alignment horizontal="center" vertical="center"/>
    </xf>
    <xf numFmtId="0" fontId="37" fillId="4" borderId="1" xfId="0" applyFont="1" applyFill="1" applyBorder="1">
      <alignment vertical="center"/>
    </xf>
    <xf numFmtId="181" fontId="37" fillId="2" borderId="1" xfId="1" applyNumberFormat="1" applyFont="1" applyFill="1" applyBorder="1" applyAlignment="1" applyProtection="1">
      <alignment horizontal="right" vertical="center"/>
      <protection locked="0"/>
    </xf>
    <xf numFmtId="181" fontId="37" fillId="2" borderId="1" xfId="0" applyNumberFormat="1" applyFont="1" applyFill="1" applyBorder="1" applyAlignment="1" applyProtection="1">
      <alignment horizontal="right" vertical="center"/>
      <protection locked="0"/>
    </xf>
    <xf numFmtId="0" fontId="37" fillId="4" borderId="1" xfId="0" applyFont="1" applyFill="1" applyBorder="1" applyAlignment="1">
      <alignment horizontal="left" vertical="center"/>
    </xf>
    <xf numFmtId="184" fontId="39" fillId="2" borderId="37" xfId="2" applyNumberFormat="1" applyFont="1" applyFill="1" applyBorder="1" applyAlignment="1" applyProtection="1">
      <alignment horizontal="center" vertical="center"/>
      <protection locked="0"/>
    </xf>
    <xf numFmtId="0" fontId="36" fillId="4" borderId="1" xfId="0" applyFont="1" applyFill="1" applyBorder="1" applyAlignment="1">
      <alignment horizontal="center" vertical="center"/>
    </xf>
    <xf numFmtId="177" fontId="40" fillId="4" borderId="1" xfId="0" applyNumberFormat="1" applyFont="1" applyFill="1" applyBorder="1" applyAlignment="1">
      <alignment horizontal="center" vertical="center"/>
    </xf>
    <xf numFmtId="0" fontId="45" fillId="2" borderId="0" xfId="0" applyFont="1" applyFill="1">
      <alignment vertical="center"/>
    </xf>
    <xf numFmtId="0" fontId="45" fillId="2" borderId="13" xfId="0" applyFont="1" applyFill="1" applyBorder="1">
      <alignment vertical="center"/>
    </xf>
    <xf numFmtId="0" fontId="46" fillId="2" borderId="13" xfId="0" applyFont="1" applyFill="1" applyBorder="1" applyAlignment="1">
      <alignment horizontal="right" vertical="center"/>
    </xf>
    <xf numFmtId="0" fontId="39" fillId="2" borderId="0" xfId="0" applyFont="1" applyFill="1">
      <alignment vertical="center"/>
    </xf>
    <xf numFmtId="0" fontId="36" fillId="2" borderId="0" xfId="0" applyFont="1" applyFill="1">
      <alignment vertical="center"/>
    </xf>
    <xf numFmtId="0" fontId="50" fillId="0" borderId="0" xfId="0" applyFont="1" applyAlignment="1">
      <alignment vertical="center" readingOrder="1"/>
    </xf>
    <xf numFmtId="0" fontId="3" fillId="2" borderId="1" xfId="0" applyFont="1" applyFill="1" applyBorder="1" applyAlignment="1">
      <alignment horizontal="center" vertical="center"/>
    </xf>
    <xf numFmtId="0" fontId="43" fillId="2" borderId="0" xfId="0" applyFont="1" applyFill="1">
      <alignment vertical="center"/>
    </xf>
    <xf numFmtId="0" fontId="37" fillId="2" borderId="1" xfId="0" applyFont="1" applyFill="1" applyBorder="1">
      <alignment vertical="center"/>
    </xf>
    <xf numFmtId="182" fontId="40" fillId="2" borderId="1" xfId="1" applyNumberFormat="1" applyFont="1" applyFill="1" applyBorder="1" applyAlignment="1" applyProtection="1">
      <alignment horizontal="center" vertical="center"/>
    </xf>
    <xf numFmtId="177" fontId="40" fillId="2" borderId="1" xfId="0" applyNumberFormat="1" applyFont="1" applyFill="1" applyBorder="1" applyAlignment="1">
      <alignment horizontal="center" vertical="center"/>
    </xf>
    <xf numFmtId="9" fontId="39" fillId="2" borderId="1" xfId="2" applyFont="1" applyFill="1" applyBorder="1" applyAlignment="1" applyProtection="1">
      <alignment horizontal="center" vertical="center"/>
    </xf>
    <xf numFmtId="0" fontId="46" fillId="2" borderId="0" xfId="0" applyFont="1" applyFill="1" applyAlignment="1">
      <alignment horizontal="right" vertical="center"/>
    </xf>
    <xf numFmtId="187" fontId="37" fillId="4" borderId="1" xfId="0" applyNumberFormat="1" applyFont="1" applyFill="1" applyBorder="1" applyAlignment="1">
      <alignment horizontal="center" vertical="center"/>
    </xf>
    <xf numFmtId="9" fontId="40" fillId="2" borderId="1" xfId="0" applyNumberFormat="1" applyFont="1" applyFill="1" applyBorder="1" applyAlignment="1">
      <alignment horizontal="center" vertical="center"/>
    </xf>
    <xf numFmtId="0" fontId="37" fillId="4" borderId="2" xfId="0" applyFont="1" applyFill="1" applyBorder="1" applyAlignment="1">
      <alignment horizontal="center" vertical="center"/>
    </xf>
    <xf numFmtId="186" fontId="40" fillId="2" borderId="1" xfId="1" applyNumberFormat="1" applyFont="1" applyFill="1" applyBorder="1" applyAlignment="1" applyProtection="1">
      <alignment horizontal="center" vertical="center"/>
    </xf>
    <xf numFmtId="177" fontId="40" fillId="2" borderId="1" xfId="1" applyNumberFormat="1" applyFont="1" applyFill="1" applyBorder="1" applyAlignment="1" applyProtection="1">
      <alignment horizontal="center" vertical="center"/>
    </xf>
    <xf numFmtId="0" fontId="49" fillId="3" borderId="0" xfId="0" applyFont="1" applyFill="1">
      <alignment vertical="center"/>
    </xf>
    <xf numFmtId="0" fontId="52" fillId="2" borderId="0" xfId="0" applyFont="1" applyFill="1">
      <alignment vertical="center"/>
    </xf>
    <xf numFmtId="187" fontId="37" fillId="4" borderId="9" xfId="0" applyNumberFormat="1" applyFont="1" applyFill="1" applyBorder="1" applyAlignment="1">
      <alignment horizontal="center" vertical="center"/>
    </xf>
    <xf numFmtId="0" fontId="37" fillId="4" borderId="9" xfId="0" applyFont="1" applyFill="1" applyBorder="1" applyAlignment="1">
      <alignment horizontal="center" vertical="center"/>
    </xf>
    <xf numFmtId="0" fontId="37" fillId="2" borderId="2" xfId="0" applyFont="1" applyFill="1" applyBorder="1" applyAlignment="1">
      <alignment horizontal="left" vertical="center"/>
    </xf>
    <xf numFmtId="186" fontId="40" fillId="2" borderId="9" xfId="0" applyNumberFormat="1" applyFont="1" applyFill="1" applyBorder="1" applyAlignment="1">
      <alignment horizontal="center" vertical="center"/>
    </xf>
    <xf numFmtId="9" fontId="40" fillId="2" borderId="9" xfId="2" applyFont="1" applyFill="1" applyBorder="1" applyAlignment="1" applyProtection="1">
      <alignment horizontal="center" vertical="center"/>
    </xf>
    <xf numFmtId="0" fontId="37" fillId="2" borderId="1" xfId="0" applyFont="1" applyFill="1" applyBorder="1" applyAlignment="1">
      <alignment horizontal="left" vertical="center"/>
    </xf>
    <xf numFmtId="186" fontId="40" fillId="2" borderId="41" xfId="1" applyNumberFormat="1" applyFont="1" applyFill="1" applyBorder="1" applyAlignment="1" applyProtection="1">
      <alignment horizontal="center" vertical="center"/>
    </xf>
    <xf numFmtId="10" fontId="45" fillId="2" borderId="0" xfId="0" applyNumberFormat="1" applyFont="1" applyFill="1">
      <alignment vertical="center"/>
    </xf>
    <xf numFmtId="0" fontId="36" fillId="2" borderId="1" xfId="0" applyFont="1" applyFill="1" applyBorder="1" applyAlignment="1">
      <alignment horizontal="center" vertical="center"/>
    </xf>
    <xf numFmtId="10" fontId="36" fillId="4" borderId="1" xfId="0" applyNumberFormat="1" applyFont="1" applyFill="1" applyBorder="1" applyAlignment="1">
      <alignment horizontal="center" vertical="center"/>
    </xf>
    <xf numFmtId="0" fontId="46" fillId="2" borderId="0" xfId="0" applyFont="1" applyFill="1">
      <alignment vertical="center"/>
    </xf>
    <xf numFmtId="188" fontId="36" fillId="2" borderId="1" xfId="0" applyNumberFormat="1" applyFont="1" applyFill="1" applyBorder="1" applyAlignment="1">
      <alignment horizontal="center" vertical="center"/>
    </xf>
    <xf numFmtId="10" fontId="45" fillId="2" borderId="1" xfId="2" applyNumberFormat="1" applyFont="1" applyFill="1" applyBorder="1" applyAlignment="1" applyProtection="1">
      <alignment horizontal="center" vertical="center"/>
    </xf>
    <xf numFmtId="10" fontId="45" fillId="2" borderId="1" xfId="0" applyNumberFormat="1" applyFont="1" applyFill="1" applyBorder="1" applyAlignment="1">
      <alignment horizontal="center" vertical="center"/>
    </xf>
    <xf numFmtId="186" fontId="45" fillId="2" borderId="1" xfId="1" applyNumberFormat="1" applyFont="1" applyFill="1" applyBorder="1" applyAlignment="1" applyProtection="1">
      <alignment horizontal="center" vertical="center"/>
    </xf>
    <xf numFmtId="0" fontId="54" fillId="2" borderId="1" xfId="0" applyFont="1" applyFill="1" applyBorder="1" applyAlignment="1">
      <alignment horizontal="center" vertical="center"/>
    </xf>
    <xf numFmtId="0" fontId="55" fillId="2" borderId="1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36" fillId="4" borderId="6" xfId="0" applyFont="1" applyFill="1" applyBorder="1" applyAlignment="1">
      <alignment horizontal="center" vertical="center"/>
    </xf>
    <xf numFmtId="10" fontId="36" fillId="2" borderId="2" xfId="2" applyNumberFormat="1" applyFont="1" applyFill="1" applyBorder="1" applyAlignment="1" applyProtection="1">
      <alignment horizontal="center" vertical="center"/>
    </xf>
    <xf numFmtId="0" fontId="46" fillId="2" borderId="0" xfId="0" applyFont="1" applyFill="1" applyAlignment="1">
      <alignment horizontal="left" vertical="center"/>
    </xf>
    <xf numFmtId="0" fontId="39" fillId="5" borderId="6" xfId="0" applyFont="1" applyFill="1" applyBorder="1" applyAlignment="1">
      <alignment horizontal="center" vertical="center"/>
    </xf>
    <xf numFmtId="9" fontId="45" fillId="9" borderId="1" xfId="2" applyFont="1" applyFill="1" applyBorder="1" applyAlignment="1" applyProtection="1">
      <alignment horizontal="center" vertical="center"/>
      <protection locked="0"/>
    </xf>
    <xf numFmtId="9" fontId="45" fillId="2" borderId="2" xfId="2" applyFont="1" applyFill="1" applyBorder="1" applyAlignment="1" applyProtection="1">
      <alignment horizontal="center" vertical="center"/>
    </xf>
    <xf numFmtId="10" fontId="39" fillId="5" borderId="7" xfId="0" applyNumberFormat="1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Alignment="1">
      <alignment horizontal="left" vertical="center"/>
    </xf>
    <xf numFmtId="176" fontId="36" fillId="2" borderId="0" xfId="0" applyNumberFormat="1" applyFont="1" applyFill="1" applyAlignment="1">
      <alignment horizontal="center" vertical="center"/>
    </xf>
    <xf numFmtId="0" fontId="45" fillId="2" borderId="0" xfId="0" applyFont="1" applyFill="1" applyAlignment="1">
      <alignment horizontal="left" vertical="center"/>
    </xf>
    <xf numFmtId="177" fontId="45" fillId="2" borderId="0" xfId="0" applyNumberFormat="1" applyFont="1" applyFill="1" applyAlignment="1">
      <alignment horizontal="right" vertical="center"/>
    </xf>
    <xf numFmtId="176" fontId="36" fillId="2" borderId="0" xfId="2" applyNumberFormat="1" applyFont="1" applyFill="1" applyBorder="1" applyAlignment="1">
      <alignment horizontal="center" vertical="center"/>
    </xf>
    <xf numFmtId="177" fontId="45" fillId="2" borderId="0" xfId="1" applyNumberFormat="1" applyFont="1" applyFill="1" applyBorder="1" applyAlignment="1">
      <alignment horizontal="right" vertical="center"/>
    </xf>
    <xf numFmtId="176" fontId="36" fillId="2" borderId="0" xfId="0" applyNumberFormat="1" applyFont="1" applyFill="1">
      <alignment vertical="center"/>
    </xf>
    <xf numFmtId="0" fontId="45" fillId="2" borderId="17" xfId="0" applyFont="1" applyFill="1" applyBorder="1">
      <alignment vertical="center"/>
    </xf>
    <xf numFmtId="177" fontId="45" fillId="2" borderId="17" xfId="2" applyNumberFormat="1" applyFont="1" applyFill="1" applyBorder="1" applyAlignment="1">
      <alignment horizontal="right" vertical="center"/>
    </xf>
    <xf numFmtId="177" fontId="45" fillId="2" borderId="0" xfId="2" applyNumberFormat="1" applyFont="1" applyFill="1" applyBorder="1" applyAlignment="1">
      <alignment horizontal="right" vertical="center"/>
    </xf>
    <xf numFmtId="176" fontId="45" fillId="2" borderId="0" xfId="1" applyFont="1" applyFill="1" applyBorder="1">
      <alignment vertical="center"/>
    </xf>
    <xf numFmtId="0" fontId="36" fillId="2" borderId="17" xfId="0" applyFont="1" applyFill="1" applyBorder="1">
      <alignment vertical="center"/>
    </xf>
    <xf numFmtId="176" fontId="36" fillId="2" borderId="17" xfId="0" applyNumberFormat="1" applyFont="1" applyFill="1" applyBorder="1">
      <alignment vertical="center"/>
    </xf>
    <xf numFmtId="176" fontId="45" fillId="2" borderId="0" xfId="0" applyNumberFormat="1" applyFont="1" applyFill="1">
      <alignment vertical="center"/>
    </xf>
    <xf numFmtId="176" fontId="45" fillId="2" borderId="17" xfId="0" applyNumberFormat="1" applyFont="1" applyFill="1" applyBorder="1">
      <alignment vertical="center"/>
    </xf>
    <xf numFmtId="0" fontId="39" fillId="5" borderId="18" xfId="0" applyFont="1" applyFill="1" applyBorder="1">
      <alignment vertical="center"/>
    </xf>
    <xf numFmtId="176" fontId="39" fillId="5" borderId="18" xfId="0" applyNumberFormat="1" applyFont="1" applyFill="1" applyBorder="1">
      <alignment vertical="center"/>
    </xf>
    <xf numFmtId="0" fontId="37" fillId="2" borderId="9" xfId="0" applyFont="1" applyFill="1" applyBorder="1" applyAlignment="1">
      <alignment horizontal="center" vertical="center"/>
    </xf>
    <xf numFmtId="176" fontId="40" fillId="2" borderId="9" xfId="0" applyNumberFormat="1" applyFont="1" applyFill="1" applyBorder="1">
      <alignment vertical="center"/>
    </xf>
    <xf numFmtId="180" fontId="40" fillId="2" borderId="9" xfId="0" applyNumberFormat="1" applyFont="1" applyFill="1" applyBorder="1">
      <alignment vertical="center"/>
    </xf>
    <xf numFmtId="0" fontId="37" fillId="2" borderId="42" xfId="0" applyFont="1" applyFill="1" applyBorder="1" applyAlignment="1">
      <alignment horizontal="center" vertical="center"/>
    </xf>
    <xf numFmtId="176" fontId="40" fillId="2" borderId="42" xfId="1" applyFont="1" applyFill="1" applyBorder="1">
      <alignment vertical="center"/>
    </xf>
    <xf numFmtId="176" fontId="37" fillId="2" borderId="10" xfId="0" applyNumberFormat="1" applyFont="1" applyFill="1" applyBorder="1">
      <alignment vertical="center"/>
    </xf>
    <xf numFmtId="176" fontId="37" fillId="2" borderId="9" xfId="1" applyFont="1" applyFill="1" applyBorder="1">
      <alignment vertical="center"/>
    </xf>
    <xf numFmtId="176" fontId="37" fillId="2" borderId="9" xfId="0" applyNumberFormat="1" applyFont="1" applyFill="1" applyBorder="1">
      <alignment vertical="center"/>
    </xf>
    <xf numFmtId="176" fontId="52" fillId="5" borderId="9" xfId="1" applyFont="1" applyFill="1" applyBorder="1">
      <alignment vertical="center"/>
    </xf>
    <xf numFmtId="176" fontId="52" fillId="2" borderId="0" xfId="1" applyFont="1" applyFill="1" applyBorder="1">
      <alignment vertical="center"/>
    </xf>
    <xf numFmtId="0" fontId="39" fillId="2" borderId="18" xfId="0" applyFont="1" applyFill="1" applyBorder="1" applyAlignment="1">
      <alignment horizontal="center" vertical="center"/>
    </xf>
    <xf numFmtId="187" fontId="39" fillId="2" borderId="18" xfId="0" applyNumberFormat="1" applyFont="1" applyFill="1" applyBorder="1" applyAlignment="1">
      <alignment horizontal="center" vertical="center"/>
    </xf>
    <xf numFmtId="0" fontId="12" fillId="2" borderId="18" xfId="0" applyFont="1" applyFill="1" applyBorder="1">
      <alignment vertical="center"/>
    </xf>
    <xf numFmtId="0" fontId="39" fillId="2" borderId="9" xfId="0" applyFont="1" applyFill="1" applyBorder="1" applyAlignment="1">
      <alignment horizontal="center" vertical="center"/>
    </xf>
    <xf numFmtId="187" fontId="39" fillId="2" borderId="9" xfId="0" applyNumberFormat="1" applyFont="1" applyFill="1" applyBorder="1" applyAlignment="1">
      <alignment horizontal="center" vertical="center"/>
    </xf>
    <xf numFmtId="182" fontId="33" fillId="2" borderId="0" xfId="0" applyNumberFormat="1" applyFont="1" applyFill="1">
      <alignment vertical="center"/>
    </xf>
    <xf numFmtId="182" fontId="37" fillId="9" borderId="5" xfId="1" applyNumberFormat="1" applyFont="1" applyFill="1" applyBorder="1" applyAlignment="1" applyProtection="1">
      <alignment horizontal="center" vertical="center"/>
      <protection locked="0"/>
    </xf>
    <xf numFmtId="186" fontId="40" fillId="2" borderId="1" xfId="0" applyNumberFormat="1" applyFont="1" applyFill="1" applyBorder="1">
      <alignment vertical="center"/>
    </xf>
    <xf numFmtId="182" fontId="0" fillId="2" borderId="1" xfId="0" applyNumberFormat="1" applyFill="1" applyBorder="1">
      <alignment vertical="center"/>
    </xf>
    <xf numFmtId="0" fontId="37" fillId="10" borderId="1" xfId="0" applyFont="1" applyFill="1" applyBorder="1" applyAlignment="1">
      <alignment horizontal="center" vertical="center"/>
    </xf>
    <xf numFmtId="177" fontId="37" fillId="2" borderId="1" xfId="0" applyNumberFormat="1" applyFont="1" applyFill="1" applyBorder="1">
      <alignment vertical="center"/>
    </xf>
    <xf numFmtId="177" fontId="0" fillId="2" borderId="1" xfId="0" applyNumberFormat="1" applyFill="1" applyBorder="1">
      <alignment vertical="center"/>
    </xf>
    <xf numFmtId="186" fontId="40" fillId="2" borderId="1" xfId="1" applyNumberFormat="1" applyFont="1" applyFill="1" applyBorder="1" applyAlignment="1">
      <alignment horizontal="center" vertical="center"/>
    </xf>
    <xf numFmtId="177" fontId="37" fillId="2" borderId="1" xfId="1" applyNumberFormat="1" applyFont="1" applyFill="1" applyBorder="1" applyAlignment="1">
      <alignment vertical="center"/>
    </xf>
    <xf numFmtId="177" fontId="37" fillId="2" borderId="1" xfId="0" applyNumberFormat="1" applyFont="1" applyFill="1" applyBorder="1" applyAlignment="1">
      <alignment horizontal="center" vertical="center"/>
    </xf>
    <xf numFmtId="182" fontId="37" fillId="2" borderId="1" xfId="1" applyNumberFormat="1" applyFont="1" applyFill="1" applyBorder="1" applyAlignment="1" applyProtection="1">
      <alignment horizontal="center" vertical="center"/>
    </xf>
    <xf numFmtId="186" fontId="37" fillId="2" borderId="1" xfId="1" applyNumberFormat="1" applyFont="1" applyFill="1" applyBorder="1" applyAlignment="1" applyProtection="1">
      <alignment horizontal="center" vertical="center"/>
    </xf>
    <xf numFmtId="186" fontId="37" fillId="2" borderId="1" xfId="0" applyNumberFormat="1" applyFont="1" applyFill="1" applyBorder="1">
      <alignment vertical="center"/>
    </xf>
    <xf numFmtId="177" fontId="37" fillId="9" borderId="1" xfId="2" applyNumberFormat="1" applyFont="1" applyFill="1" applyBorder="1" applyAlignment="1" applyProtection="1">
      <alignment horizontal="center" vertical="center"/>
      <protection locked="0"/>
    </xf>
    <xf numFmtId="0" fontId="20" fillId="2" borderId="0" xfId="0" applyFont="1" applyFill="1" applyAlignment="1">
      <alignment horizontal="center" vertical="center"/>
    </xf>
    <xf numFmtId="0" fontId="18" fillId="11" borderId="0" xfId="0" applyFont="1" applyFill="1" applyProtection="1">
      <alignment vertical="center"/>
      <protection locked="0"/>
    </xf>
    <xf numFmtId="10" fontId="36" fillId="4" borderId="7" xfId="2" applyNumberFormat="1" applyFont="1" applyFill="1" applyBorder="1" applyAlignment="1" applyProtection="1">
      <alignment horizontal="center" vertical="center"/>
    </xf>
    <xf numFmtId="10" fontId="45" fillId="9" borderId="1" xfId="2" applyNumberFormat="1" applyFont="1" applyFill="1" applyBorder="1" applyAlignment="1" applyProtection="1">
      <alignment horizontal="center" vertical="center"/>
      <protection locked="0"/>
    </xf>
    <xf numFmtId="0" fontId="35" fillId="2" borderId="0" xfId="0" applyFont="1" applyFill="1">
      <alignment vertical="center"/>
    </xf>
    <xf numFmtId="0" fontId="35" fillId="7" borderId="0" xfId="0" applyFont="1" applyFill="1">
      <alignment vertical="center"/>
    </xf>
    <xf numFmtId="10" fontId="45" fillId="2" borderId="1" xfId="0" applyNumberFormat="1" applyFont="1" applyFill="1" applyBorder="1" applyAlignment="1" applyProtection="1">
      <alignment horizontal="center" vertical="center"/>
      <protection locked="0"/>
    </xf>
    <xf numFmtId="10" fontId="5" fillId="9" borderId="1" xfId="0" applyNumberFormat="1" applyFont="1" applyFill="1" applyBorder="1" applyAlignment="1" applyProtection="1">
      <alignment horizontal="center" vertical="center"/>
      <protection locked="0"/>
    </xf>
    <xf numFmtId="188" fontId="29" fillId="2" borderId="0" xfId="0" applyNumberFormat="1" applyFont="1" applyFill="1" applyAlignment="1">
      <alignment horizontal="center" vertical="center"/>
    </xf>
    <xf numFmtId="9" fontId="0" fillId="2" borderId="0" xfId="2" applyFont="1" applyFill="1">
      <alignment vertical="center"/>
    </xf>
    <xf numFmtId="188" fontId="32" fillId="2" borderId="0" xfId="0" applyNumberFormat="1" applyFont="1" applyFill="1" applyAlignment="1">
      <alignment horizontal="center" vertical="center"/>
    </xf>
    <xf numFmtId="185" fontId="56" fillId="2" borderId="0" xfId="0" applyNumberFormat="1" applyFont="1" applyFill="1">
      <alignment vertical="center"/>
    </xf>
    <xf numFmtId="0" fontId="56" fillId="2" borderId="0" xfId="0" applyFont="1" applyFill="1">
      <alignment vertical="center"/>
    </xf>
    <xf numFmtId="14" fontId="56" fillId="2" borderId="0" xfId="0" applyNumberFormat="1" applyFont="1" applyFill="1">
      <alignment vertical="center"/>
    </xf>
    <xf numFmtId="0" fontId="36" fillId="4" borderId="2" xfId="0" applyFont="1" applyFill="1" applyBorder="1" applyAlignment="1">
      <alignment horizontal="center" vertical="center"/>
    </xf>
    <xf numFmtId="0" fontId="36" fillId="4" borderId="3" xfId="0" applyFont="1" applyFill="1" applyBorder="1" applyAlignment="1">
      <alignment horizontal="center" vertical="center"/>
    </xf>
    <xf numFmtId="0" fontId="41" fillId="2" borderId="34" xfId="0" applyFont="1" applyFill="1" applyBorder="1" applyAlignment="1">
      <alignment horizontal="center" vertical="center"/>
    </xf>
    <xf numFmtId="0" fontId="41" fillId="2" borderId="35" xfId="0" applyFont="1" applyFill="1" applyBorder="1" applyAlignment="1">
      <alignment horizontal="center" vertical="center"/>
    </xf>
    <xf numFmtId="0" fontId="41" fillId="2" borderId="36" xfId="0" applyFont="1" applyFill="1" applyBorder="1" applyAlignment="1">
      <alignment horizontal="center" vertical="center"/>
    </xf>
    <xf numFmtId="0" fontId="37" fillId="2" borderId="39" xfId="0" applyFont="1" applyFill="1" applyBorder="1" applyAlignment="1" applyProtection="1">
      <alignment horizontal="center" vertical="center"/>
      <protection locked="0"/>
    </xf>
    <xf numFmtId="0" fontId="37" fillId="2" borderId="40" xfId="0" applyFont="1" applyFill="1" applyBorder="1" applyAlignment="1" applyProtection="1">
      <alignment horizontal="center" vertical="center"/>
      <protection locked="0"/>
    </xf>
    <xf numFmtId="14" fontId="37" fillId="2" borderId="23" xfId="0" applyNumberFormat="1" applyFont="1" applyFill="1" applyBorder="1" applyAlignment="1" applyProtection="1">
      <alignment horizontal="center" vertical="center"/>
      <protection locked="0"/>
    </xf>
    <xf numFmtId="0" fontId="37" fillId="2" borderId="24" xfId="0" applyFont="1" applyFill="1" applyBorder="1" applyAlignment="1" applyProtection="1">
      <alignment horizontal="center" vertical="center"/>
      <protection locked="0"/>
    </xf>
    <xf numFmtId="0" fontId="19" fillId="8" borderId="0" xfId="0" applyFont="1" applyFill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183" fontId="51" fillId="2" borderId="32" xfId="0" applyNumberFormat="1" applyFont="1" applyFill="1" applyBorder="1" applyAlignment="1">
      <alignment horizontal="center" vertical="center" shrinkToFit="1"/>
    </xf>
    <xf numFmtId="183" fontId="51" fillId="2" borderId="33" xfId="0" applyNumberFormat="1" applyFont="1" applyFill="1" applyBorder="1" applyAlignment="1">
      <alignment horizontal="center" vertical="center" shrinkToFit="1"/>
    </xf>
    <xf numFmtId="0" fontId="37" fillId="4" borderId="1" xfId="0" applyFont="1" applyFill="1" applyBorder="1" applyAlignment="1">
      <alignment horizontal="center" vertical="center"/>
    </xf>
    <xf numFmtId="186" fontId="37" fillId="2" borderId="1" xfId="1" applyNumberFormat="1" applyFont="1" applyFill="1" applyBorder="1" applyAlignment="1" applyProtection="1">
      <alignment horizontal="right" vertical="center"/>
      <protection locked="0"/>
    </xf>
    <xf numFmtId="186" fontId="37" fillId="2" borderId="2" xfId="1" applyNumberFormat="1" applyFont="1" applyFill="1" applyBorder="1" applyAlignment="1" applyProtection="1">
      <alignment horizontal="right" vertical="center"/>
      <protection locked="0"/>
    </xf>
    <xf numFmtId="186" fontId="37" fillId="2" borderId="4" xfId="1" applyNumberFormat="1" applyFont="1" applyFill="1" applyBorder="1" applyAlignment="1" applyProtection="1">
      <alignment horizontal="right" vertical="center"/>
      <protection locked="0"/>
    </xf>
    <xf numFmtId="0" fontId="42" fillId="2" borderId="30" xfId="0" applyFont="1" applyFill="1" applyBorder="1" applyAlignment="1">
      <alignment horizontal="center" vertical="center" wrapText="1"/>
    </xf>
    <xf numFmtId="0" fontId="42" fillId="2" borderId="8" xfId="0" applyFont="1" applyFill="1" applyBorder="1" applyAlignment="1">
      <alignment horizontal="center" vertical="center"/>
    </xf>
    <xf numFmtId="0" fontId="42" fillId="2" borderId="31" xfId="0" applyFont="1" applyFill="1" applyBorder="1" applyAlignment="1">
      <alignment horizontal="center" vertical="center"/>
    </xf>
    <xf numFmtId="0" fontId="44" fillId="2" borderId="0" xfId="0" applyFont="1" applyFill="1" applyAlignment="1">
      <alignment horizontal="left" vertical="center"/>
    </xf>
    <xf numFmtId="0" fontId="44" fillId="2" borderId="13" xfId="0" applyFont="1" applyFill="1" applyBorder="1" applyAlignment="1">
      <alignment horizontal="left" vertical="center"/>
    </xf>
    <xf numFmtId="0" fontId="47" fillId="2" borderId="12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 wrapText="1"/>
    </xf>
    <xf numFmtId="0" fontId="44" fillId="5" borderId="10" xfId="0" applyFont="1" applyFill="1" applyBorder="1" applyAlignment="1">
      <alignment horizontal="center" vertical="center"/>
    </xf>
    <xf numFmtId="0" fontId="44" fillId="5" borderId="11" xfId="0" applyFont="1" applyFill="1" applyBorder="1" applyAlignment="1">
      <alignment horizontal="center" vertical="center"/>
    </xf>
    <xf numFmtId="181" fontId="48" fillId="2" borderId="16" xfId="0" applyNumberFormat="1" applyFont="1" applyFill="1" applyBorder="1" applyAlignment="1">
      <alignment horizontal="center" vertical="center"/>
    </xf>
    <xf numFmtId="181" fontId="48" fillId="2" borderId="14" xfId="0" applyNumberFormat="1" applyFont="1" applyFill="1" applyBorder="1" applyAlignment="1">
      <alignment horizontal="center" vertical="center"/>
    </xf>
    <xf numFmtId="0" fontId="47" fillId="2" borderId="11" xfId="0" applyFont="1" applyFill="1" applyBorder="1" applyAlignment="1">
      <alignment horizontal="center" vertical="center"/>
    </xf>
    <xf numFmtId="181" fontId="48" fillId="2" borderId="15" xfId="0" applyNumberFormat="1" applyFont="1" applyFill="1" applyBorder="1" applyAlignment="1">
      <alignment horizontal="center" vertical="center"/>
    </xf>
    <xf numFmtId="189" fontId="48" fillId="2" borderId="16" xfId="0" applyNumberFormat="1" applyFont="1" applyFill="1" applyBorder="1" applyAlignment="1">
      <alignment horizontal="center" vertical="center"/>
    </xf>
    <xf numFmtId="189" fontId="48" fillId="2" borderId="14" xfId="0" applyNumberFormat="1" applyFont="1" applyFill="1" applyBorder="1" applyAlignment="1">
      <alignment horizontal="center" vertical="center"/>
    </xf>
    <xf numFmtId="189" fontId="49" fillId="5" borderId="14" xfId="0" applyNumberFormat="1" applyFont="1" applyFill="1" applyBorder="1" applyAlignment="1">
      <alignment horizontal="center" vertical="center"/>
    </xf>
    <xf numFmtId="189" fontId="49" fillId="5" borderId="15" xfId="0" applyNumberFormat="1" applyFont="1" applyFill="1" applyBorder="1" applyAlignment="1">
      <alignment horizontal="center" vertical="center"/>
    </xf>
    <xf numFmtId="0" fontId="39" fillId="6" borderId="21" xfId="0" applyFont="1" applyFill="1" applyBorder="1" applyAlignment="1">
      <alignment horizontal="center" vertical="center"/>
    </xf>
    <xf numFmtId="0" fontId="39" fillId="6" borderId="26" xfId="0" applyFont="1" applyFill="1" applyBorder="1" applyAlignment="1">
      <alignment horizontal="center" vertical="center"/>
    </xf>
    <xf numFmtId="0" fontId="43" fillId="2" borderId="26" xfId="0" applyFont="1" applyFill="1" applyBorder="1" applyAlignment="1">
      <alignment horizontal="center" vertical="center"/>
    </xf>
    <xf numFmtId="0" fontId="43" fillId="2" borderId="22" xfId="0" applyFont="1" applyFill="1" applyBorder="1" applyAlignment="1">
      <alignment horizontal="center" vertical="center"/>
    </xf>
    <xf numFmtId="0" fontId="43" fillId="2" borderId="9" xfId="0" applyFont="1" applyFill="1" applyBorder="1" applyAlignment="1">
      <alignment horizontal="center" vertical="center"/>
    </xf>
    <xf numFmtId="0" fontId="43" fillId="2" borderId="28" xfId="0" applyFont="1" applyFill="1" applyBorder="1" applyAlignment="1">
      <alignment horizontal="center" vertical="center"/>
    </xf>
    <xf numFmtId="14" fontId="43" fillId="2" borderId="9" xfId="0" applyNumberFormat="1" applyFont="1" applyFill="1" applyBorder="1" applyAlignment="1">
      <alignment horizontal="center" vertical="center"/>
    </xf>
    <xf numFmtId="14" fontId="43" fillId="2" borderId="28" xfId="0" applyNumberFormat="1" applyFont="1" applyFill="1" applyBorder="1" applyAlignment="1">
      <alignment horizontal="center" vertical="center"/>
    </xf>
    <xf numFmtId="0" fontId="37" fillId="2" borderId="29" xfId="0" applyFont="1" applyFill="1" applyBorder="1" applyAlignment="1">
      <alignment horizontal="center" vertical="center"/>
    </xf>
    <xf numFmtId="0" fontId="37" fillId="2" borderId="24" xfId="0" applyFont="1" applyFill="1" applyBorder="1" applyAlignment="1">
      <alignment horizontal="center" vertical="center"/>
    </xf>
    <xf numFmtId="0" fontId="39" fillId="6" borderId="27" xfId="0" applyFont="1" applyFill="1" applyBorder="1" applyAlignment="1">
      <alignment horizontal="center" vertical="center"/>
    </xf>
    <xf numFmtId="0" fontId="39" fillId="6" borderId="9" xfId="0" applyFont="1" applyFill="1" applyBorder="1" applyAlignment="1">
      <alignment horizontal="center" vertical="center"/>
    </xf>
    <xf numFmtId="0" fontId="39" fillId="6" borderId="23" xfId="0" applyFont="1" applyFill="1" applyBorder="1" applyAlignment="1">
      <alignment horizontal="center" vertical="center"/>
    </xf>
    <xf numFmtId="0" fontId="39" fillId="6" borderId="29" xfId="0" applyFont="1" applyFill="1" applyBorder="1" applyAlignment="1">
      <alignment horizontal="center" vertical="center"/>
    </xf>
    <xf numFmtId="0" fontId="37" fillId="4" borderId="2" xfId="0" applyFont="1" applyFill="1" applyBorder="1" applyAlignment="1">
      <alignment horizontal="left" vertical="center"/>
    </xf>
    <xf numFmtId="0" fontId="37" fillId="4" borderId="3" xfId="0" applyFont="1" applyFill="1" applyBorder="1" applyAlignment="1">
      <alignment horizontal="left" vertical="center"/>
    </xf>
    <xf numFmtId="0" fontId="37" fillId="4" borderId="4" xfId="0" applyFont="1" applyFill="1" applyBorder="1" applyAlignment="1">
      <alignment horizontal="left" vertical="center"/>
    </xf>
    <xf numFmtId="0" fontId="37" fillId="4" borderId="1" xfId="0" applyFont="1" applyFill="1" applyBorder="1" applyAlignment="1">
      <alignment horizontal="left" vertical="center"/>
    </xf>
    <xf numFmtId="0" fontId="49" fillId="3" borderId="0" xfId="0" applyFont="1" applyFill="1" applyAlignment="1">
      <alignment horizontal="left" vertical="center"/>
    </xf>
    <xf numFmtId="0" fontId="53" fillId="3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0" fontId="3" fillId="4" borderId="6" xfId="0" applyNumberFormat="1" applyFont="1" applyFill="1" applyBorder="1" applyAlignment="1">
      <alignment horizontal="center" vertical="center"/>
    </xf>
    <xf numFmtId="10" fontId="3" fillId="4" borderId="19" xfId="0" applyNumberFormat="1" applyFont="1" applyFill="1" applyBorder="1" applyAlignment="1">
      <alignment horizontal="center" vertical="center"/>
    </xf>
    <xf numFmtId="10" fontId="3" fillId="4" borderId="7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7" fillId="2" borderId="20" xfId="0" applyFont="1" applyFill="1" applyBorder="1" applyAlignment="1">
      <alignment horizontal="left" vertical="center"/>
    </xf>
    <xf numFmtId="0" fontId="37" fillId="2" borderId="47" xfId="0" applyFont="1" applyFill="1" applyBorder="1" applyAlignment="1">
      <alignment horizontal="left" vertical="center"/>
    </xf>
    <xf numFmtId="0" fontId="37" fillId="2" borderId="43" xfId="0" applyFont="1" applyFill="1" applyBorder="1" applyAlignment="1">
      <alignment horizontal="left" vertical="center"/>
    </xf>
    <xf numFmtId="0" fontId="52" fillId="5" borderId="20" xfId="0" applyFont="1" applyFill="1" applyBorder="1" applyAlignment="1">
      <alignment horizontal="left" vertical="center"/>
    </xf>
    <xf numFmtId="0" fontId="52" fillId="5" borderId="47" xfId="0" applyFont="1" applyFill="1" applyBorder="1" applyAlignment="1">
      <alignment horizontal="left" vertical="center"/>
    </xf>
    <xf numFmtId="0" fontId="52" fillId="5" borderId="43" xfId="0" applyFont="1" applyFill="1" applyBorder="1" applyAlignment="1">
      <alignment horizontal="left" vertical="center"/>
    </xf>
    <xf numFmtId="0" fontId="6" fillId="2" borderId="17" xfId="0" applyFont="1" applyFill="1" applyBorder="1" applyAlignment="1">
      <alignment horizontal="right" vertical="center"/>
    </xf>
    <xf numFmtId="0" fontId="37" fillId="2" borderId="44" xfId="0" applyFont="1" applyFill="1" applyBorder="1" applyAlignment="1">
      <alignment horizontal="left" vertical="center"/>
    </xf>
    <xf numFmtId="0" fontId="37" fillId="2" borderId="45" xfId="0" applyFont="1" applyFill="1" applyBorder="1" applyAlignment="1">
      <alignment horizontal="left" vertical="center"/>
    </xf>
    <xf numFmtId="0" fontId="37" fillId="2" borderId="46" xfId="0" applyFont="1" applyFill="1" applyBorder="1" applyAlignment="1">
      <alignment horizontal="left" vertical="center"/>
    </xf>
  </cellXfs>
  <cellStyles count="3">
    <cellStyle name="백분율" xfId="2" builtinId="5"/>
    <cellStyle name="쉼표 [0]" xfId="1" builtinId="6"/>
    <cellStyle name="표준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9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E1EAF3"/>
      <color rgb="FF57D749"/>
      <color rgb="FF4AD4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emf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4.png"/><Relationship Id="rId5" Type="http://schemas.openxmlformats.org/officeDocument/2006/relationships/image" Target="../media/image5.png"/><Relationship Id="rId10" Type="http://schemas.openxmlformats.org/officeDocument/2006/relationships/image" Target="../media/image16.png"/><Relationship Id="rId4" Type="http://schemas.openxmlformats.org/officeDocument/2006/relationships/image" Target="../media/image4.emf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emf"/><Relationship Id="rId1" Type="http://schemas.openxmlformats.org/officeDocument/2006/relationships/hyperlink" Target="http://ecos.bok.or.kr/" TargetMode="External"/><Relationship Id="rId6" Type="http://schemas.openxmlformats.org/officeDocument/2006/relationships/image" Target="../media/image5.png"/><Relationship Id="rId5" Type="http://schemas.openxmlformats.org/officeDocument/2006/relationships/image" Target="../media/image4.emf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425450</xdr:colOff>
      <xdr:row>4</xdr:row>
      <xdr:rowOff>57150</xdr:rowOff>
    </xdr:from>
    <xdr:to>
      <xdr:col>9</xdr:col>
      <xdr:colOff>590550</xdr:colOff>
      <xdr:row>9</xdr:row>
      <xdr:rowOff>25400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5450" y="920750"/>
          <a:ext cx="6108700" cy="1047750"/>
        </a:xfrm>
        <a:prstGeom prst="rect">
          <a:avLst/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649112</xdr:rowOff>
    </xdr:from>
    <xdr:to>
      <xdr:col>22</xdr:col>
      <xdr:colOff>42333</xdr:colOff>
      <xdr:row>2</xdr:row>
      <xdr:rowOff>464618</xdr:rowOff>
    </xdr:to>
    <xdr:pic>
      <xdr:nvPicPr>
        <xdr:cNvPr id="30" name="Picture 727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49112"/>
          <a:ext cx="9891889" cy="82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75818</xdr:colOff>
      <xdr:row>1</xdr:row>
      <xdr:rowOff>7050</xdr:rowOff>
    </xdr:from>
    <xdr:to>
      <xdr:col>19</xdr:col>
      <xdr:colOff>575613</xdr:colOff>
      <xdr:row>2</xdr:row>
      <xdr:rowOff>380996</xdr:rowOff>
    </xdr:to>
    <xdr:pic macro="[0]!미리보기">
      <xdr:nvPicPr>
        <xdr:cNvPr id="47" name="Picture 8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41262" y="726717"/>
          <a:ext cx="499795" cy="663223"/>
        </a:xfrm>
        <a:prstGeom prst="rect">
          <a:avLst/>
        </a:prstGeom>
      </xdr:spPr>
    </xdr:pic>
    <xdr:clientData/>
  </xdr:twoCellAnchor>
  <xdr:twoCellAnchor>
    <xdr:from>
      <xdr:col>19</xdr:col>
      <xdr:colOff>636502</xdr:colOff>
      <xdr:row>1</xdr:row>
      <xdr:rowOff>13649</xdr:rowOff>
    </xdr:from>
    <xdr:to>
      <xdr:col>20</xdr:col>
      <xdr:colOff>509473</xdr:colOff>
      <xdr:row>2</xdr:row>
      <xdr:rowOff>371401</xdr:rowOff>
    </xdr:to>
    <xdr:pic macro="[0]!출력하기">
      <xdr:nvPicPr>
        <xdr:cNvPr id="48" name="Picture 9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01946" y="733316"/>
          <a:ext cx="515027" cy="647029"/>
        </a:xfrm>
        <a:prstGeom prst="rect">
          <a:avLst/>
        </a:prstGeom>
      </xdr:spPr>
    </xdr:pic>
    <xdr:clientData/>
  </xdr:twoCellAnchor>
  <xdr:twoCellAnchor>
    <xdr:from>
      <xdr:col>0</xdr:col>
      <xdr:colOff>338117</xdr:colOff>
      <xdr:row>35</xdr:row>
      <xdr:rowOff>148443</xdr:rowOff>
    </xdr:from>
    <xdr:to>
      <xdr:col>8</xdr:col>
      <xdr:colOff>684480</xdr:colOff>
      <xdr:row>41</xdr:row>
      <xdr:rowOff>166543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319067" y="11645118"/>
          <a:ext cx="7090063" cy="1046800"/>
          <a:chOff x="338117" y="9071430"/>
          <a:chExt cx="7405584" cy="1255113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445325" y="9137401"/>
            <a:ext cx="5804690" cy="118914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rtl="0" eaLnBrk="0" fontAlgn="auto" latinLnBrk="0" hangingPunct="0">
              <a:lnSpc>
                <a:spcPts val="12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맑은 고딕"/>
                <a:cs typeface="+mn-cs"/>
              </a:rPr>
              <a:t>본 자료에 수록된 내용은 신뢰할 만한 자료 및 정보로부터 얻어진 것이나 당사는 그 정확성이나 안전성을 보장할 수 없습니다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맑은 고딕"/>
                <a:cs typeface="+mn-cs"/>
              </a:rPr>
              <a:t>. </a:t>
            </a:r>
            <a:r>
              <a:rPr kumimoji="0" lang="ko-KR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맑은 고딕"/>
                <a:cs typeface="+mn-cs"/>
              </a:rPr>
              <a:t>따라서 어떠한 경우에도 본 자료는 고객의 투자 결과에 대한 법적 책임소재에 대한 증빙자료로 사용될 수 없습니다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맑은 고딕"/>
                <a:cs typeface="+mn-cs"/>
              </a:rPr>
              <a:t>.</a:t>
            </a:r>
            <a:r>
              <a:rPr kumimoji="0" lang="ko-KR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맑은 고딕"/>
                <a:cs typeface="+mn-cs"/>
              </a:rPr>
              <a:t> </a:t>
            </a:r>
            <a:endParaRPr kumimoji="0" lang="en-US" altLang="ko-K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맑은 고딕"/>
              <a:ea typeface="맑은 고딕"/>
              <a:cs typeface="+mn-cs"/>
            </a:endParaRPr>
          </a:p>
          <a:p>
            <a:pPr marL="0" marR="0" lvl="0" indent="0" defTabSz="914400" rtl="0" eaLnBrk="0" fontAlgn="auto" latinLnBrk="0" hangingPunct="0">
              <a:lnSpc>
                <a:spcPts val="12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맑은 고딕"/>
              <a:ea typeface="맑은 고딕"/>
              <a:cs typeface="+mn-cs"/>
            </a:endParaRPr>
          </a:p>
          <a:p>
            <a:pPr marL="0" marR="0" lvl="0" indent="0" defTabSz="914400" rtl="0" eaLnBrk="0" fontAlgn="auto" latinLnBrk="0" hangingPunct="0">
              <a:lnSpc>
                <a:spcPts val="12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맑은 고딕"/>
                <a:cs typeface="+mn-cs"/>
              </a:rPr>
              <a:t>Copyright ⓒ LearnInvest co., Ltd.    All right reserved.</a:t>
            </a:r>
            <a:endParaRPr kumimoji="0" lang="ko-KR" altLang="ko-K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맑은 고딕"/>
              <a:ea typeface="맑은 고딕"/>
              <a:cs typeface="+mn-cs"/>
            </a:endParaRPr>
          </a:p>
        </xdr:txBody>
      </xdr:sp>
      <xdr:sp macro="" textlink="">
        <xdr:nvSpPr>
          <xdr:cNvPr id="2" name="직사각형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338117" y="9071430"/>
            <a:ext cx="7405584" cy="1014350"/>
          </a:xfrm>
          <a:prstGeom prst="rect">
            <a:avLst/>
          </a:prstGeom>
          <a:noFill/>
          <a:ln w="9525"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0</xdr:col>
      <xdr:colOff>7068</xdr:colOff>
      <xdr:row>0</xdr:row>
      <xdr:rowOff>0</xdr:rowOff>
    </xdr:from>
    <xdr:to>
      <xdr:col>22</xdr:col>
      <xdr:colOff>56443</xdr:colOff>
      <xdr:row>0</xdr:row>
      <xdr:rowOff>691444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068" y="0"/>
          <a:ext cx="9469600" cy="691444"/>
          <a:chOff x="7068" y="0"/>
          <a:chExt cx="9898931" cy="691444"/>
        </a:xfrm>
      </xdr:grpSpPr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7068" y="1"/>
            <a:ext cx="9884821" cy="58546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goto매출액매출원가" textlink="">
        <xdr:nvSpPr>
          <xdr:cNvPr id="71" name="Rectangle 724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>
            <a:spLocks noChangeArrowheads="1"/>
          </xdr:cNvSpPr>
        </xdr:nvSpPr>
        <xdr:spPr bwMode="auto">
          <a:xfrm>
            <a:off x="4423688" y="3879"/>
            <a:ext cx="815103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매출액 </a:t>
            </a:r>
            <a:endParaRPr kumimoji="0" lang="en-US" altLang="ko-KR" sz="10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매출원가</a:t>
            </a:r>
          </a:p>
        </xdr:txBody>
      </xdr:sp>
      <xdr:sp macro="[0]!goto판매관리비" textlink="">
        <xdr:nvSpPr>
          <xdr:cNvPr id="73" name="Rectangle 724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>
            <a:spLocks noChangeArrowheads="1"/>
          </xdr:cNvSpPr>
        </xdr:nvSpPr>
        <xdr:spPr bwMode="auto">
          <a:xfrm>
            <a:off x="5235358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판매관리비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비현금손익외</a:t>
            </a:r>
          </a:p>
        </xdr:txBody>
      </xdr:sp>
      <xdr:sp macro="[0]!gotoWACC" textlink="">
        <xdr:nvSpPr>
          <xdr:cNvPr id="74" name="Rectangle 724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6053350" y="3879"/>
            <a:ext cx="813450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WACC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추정데이터</a:t>
            </a:r>
          </a:p>
        </xdr:txBody>
      </xdr:sp>
      <xdr:sp macro="[0]!gotoFCFF" textlink="">
        <xdr:nvSpPr>
          <xdr:cNvPr id="75" name="Rectangle 724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>
            <a:spLocks noChangeArrowheads="1"/>
          </xdr:cNvSpPr>
        </xdr:nvSpPr>
        <xdr:spPr bwMode="auto">
          <a:xfrm>
            <a:off x="6863367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FCFF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영업권계산</a:t>
            </a:r>
          </a:p>
        </xdr:txBody>
      </xdr:sp>
      <xdr:sp macro="[0]!goto감정평가보고서" textlink="">
        <xdr:nvSpPr>
          <xdr:cNvPr id="76" name="Rectangle 724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>
            <a:spLocks noChangeArrowheads="1"/>
          </xdr:cNvSpPr>
        </xdr:nvSpPr>
        <xdr:spPr bwMode="auto">
          <a:xfrm>
            <a:off x="3612018" y="3879"/>
            <a:ext cx="815102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감정평가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모의보고서</a:t>
            </a:r>
          </a:p>
        </xdr:txBody>
      </xdr:sp>
      <xdr:sp macro="[0]!Rectangle724_Click" textlink="">
        <xdr:nvSpPr>
          <xdr:cNvPr id="77" name="Rectangle 724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>
            <a:spLocks noChangeArrowheads="1"/>
          </xdr:cNvSpPr>
        </xdr:nvSpPr>
        <xdr:spPr bwMode="auto">
          <a:xfrm>
            <a:off x="2798373" y="0"/>
            <a:ext cx="815103" cy="5798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 txBox="1"/>
        </xdr:nvSpPr>
        <xdr:spPr>
          <a:xfrm>
            <a:off x="803925" y="157396"/>
            <a:ext cx="1933123" cy="3455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rPr>
              <a:t>영업권 모의 감정평가 </a:t>
            </a:r>
          </a:p>
        </xdr:txBody>
      </xdr:sp>
      <xdr:pic>
        <xdr:nvPicPr>
          <xdr:cNvPr id="63" name="Picture 737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70" y="579616"/>
            <a:ext cx="9895529" cy="1118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1" name="그림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77609" y="7056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32" name="그림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263065" y="104074"/>
            <a:ext cx="579706" cy="357188"/>
          </a:xfrm>
          <a:prstGeom prst="rect">
            <a:avLst/>
          </a:prstGeom>
        </xdr:spPr>
      </xdr:pic>
      <xdr:pic macro="[0]!전체화면">
        <xdr:nvPicPr>
          <xdr:cNvPr id="36" name="그림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8857182" y="96136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445502" y="56448"/>
            <a:ext cx="484188" cy="585391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324555</xdr:colOff>
      <xdr:row>0</xdr:row>
      <xdr:rowOff>707448</xdr:rowOff>
    </xdr:from>
    <xdr:to>
      <xdr:col>1</xdr:col>
      <xdr:colOff>520331</xdr:colOff>
      <xdr:row>2</xdr:row>
      <xdr:rowOff>371286</xdr:rowOff>
    </xdr:to>
    <xdr:pic macro="[0]!입력하기">
      <xdr:nvPicPr>
        <xdr:cNvPr id="41" name="Picture 5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24555" y="707448"/>
          <a:ext cx="536348" cy="674687"/>
        </a:xfrm>
        <a:prstGeom prst="rect">
          <a:avLst/>
        </a:prstGeom>
      </xdr:spPr>
    </xdr:pic>
    <xdr:clientData/>
  </xdr:twoCellAnchor>
  <xdr:twoCellAnchor editAs="oneCell">
    <xdr:from>
      <xdr:col>1</xdr:col>
      <xdr:colOff>534452</xdr:colOff>
      <xdr:row>0</xdr:row>
      <xdr:rowOff>706463</xdr:rowOff>
    </xdr:from>
    <xdr:to>
      <xdr:col>2</xdr:col>
      <xdr:colOff>479987</xdr:colOff>
      <xdr:row>2</xdr:row>
      <xdr:rowOff>372270</xdr:rowOff>
    </xdr:to>
    <xdr:pic macro="[0]!불러오기">
      <xdr:nvPicPr>
        <xdr:cNvPr id="42" name="Picture 12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3119" y="706463"/>
          <a:ext cx="549067" cy="676656"/>
        </a:xfrm>
        <a:prstGeom prst="rect">
          <a:avLst/>
        </a:prstGeom>
      </xdr:spPr>
    </xdr:pic>
    <xdr:clientData/>
  </xdr:twoCellAnchor>
  <xdr:twoCellAnchor editAs="oneCell">
    <xdr:from>
      <xdr:col>2</xdr:col>
      <xdr:colOff>496013</xdr:colOff>
      <xdr:row>0</xdr:row>
      <xdr:rowOff>706463</xdr:rowOff>
    </xdr:from>
    <xdr:to>
      <xdr:col>3</xdr:col>
      <xdr:colOff>9503</xdr:colOff>
      <xdr:row>2</xdr:row>
      <xdr:rowOff>372270</xdr:rowOff>
    </xdr:to>
    <xdr:pic macro="[0]!Picture47_Click">
      <xdr:nvPicPr>
        <xdr:cNvPr id="43" name="Picture 13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34402" y="706463"/>
          <a:ext cx="548752" cy="676656"/>
        </a:xfrm>
        <a:prstGeom prst="rect">
          <a:avLst/>
        </a:prstGeom>
      </xdr:spPr>
    </xdr:pic>
    <xdr:clientData/>
  </xdr:twoCellAnchor>
  <xdr:twoCellAnchor editAs="oneCell">
    <xdr:from>
      <xdr:col>3</xdr:col>
      <xdr:colOff>19814</xdr:colOff>
      <xdr:row>0</xdr:row>
      <xdr:rowOff>705556</xdr:rowOff>
    </xdr:from>
    <xdr:to>
      <xdr:col>3</xdr:col>
      <xdr:colOff>559234</xdr:colOff>
      <xdr:row>2</xdr:row>
      <xdr:rowOff>364922</xdr:rowOff>
    </xdr:to>
    <xdr:pic macro="[0]!새로작성">
      <xdr:nvPicPr>
        <xdr:cNvPr id="44" name="Picture 14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995370" y="705556"/>
          <a:ext cx="541325" cy="678470"/>
        </a:xfrm>
        <a:prstGeom prst="rect">
          <a:avLst/>
        </a:prstGeom>
      </xdr:spPr>
    </xdr:pic>
    <xdr:clientData/>
  </xdr:twoCellAnchor>
  <xdr:twoCellAnchor editAs="oneCell">
    <xdr:from>
      <xdr:col>3</xdr:col>
      <xdr:colOff>597696</xdr:colOff>
      <xdr:row>0</xdr:row>
      <xdr:rowOff>706463</xdr:rowOff>
    </xdr:from>
    <xdr:to>
      <xdr:col>4</xdr:col>
      <xdr:colOff>124926</xdr:colOff>
      <xdr:row>2</xdr:row>
      <xdr:rowOff>372270</xdr:rowOff>
    </xdr:to>
    <xdr:pic macro="[0]!수정하기.수정하기">
      <xdr:nvPicPr>
        <xdr:cNvPr id="46" name="Picture 16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573252" y="706463"/>
          <a:ext cx="541325" cy="676656"/>
        </a:xfrm>
        <a:prstGeom prst="rect">
          <a:avLst/>
        </a:prstGeom>
      </xdr:spPr>
    </xdr:pic>
    <xdr:clientData/>
  </xdr:twoCellAnchor>
  <xdr:twoCellAnchor editAs="oneCell">
    <xdr:from>
      <xdr:col>4</xdr:col>
      <xdr:colOff>148166</xdr:colOff>
      <xdr:row>0</xdr:row>
      <xdr:rowOff>712612</xdr:rowOff>
    </xdr:from>
    <xdr:to>
      <xdr:col>4</xdr:col>
      <xdr:colOff>687916</xdr:colOff>
      <xdr:row>2</xdr:row>
      <xdr:rowOff>378355</xdr:rowOff>
    </xdr:to>
    <xdr:pic macro="[0]!pdf">
      <xdr:nvPicPr>
        <xdr:cNvPr id="27" name="그림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9722" y="712612"/>
          <a:ext cx="539750" cy="6746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282220</xdr:rowOff>
    </xdr:from>
    <xdr:to>
      <xdr:col>18</xdr:col>
      <xdr:colOff>303389</xdr:colOff>
      <xdr:row>3</xdr:row>
      <xdr:rowOff>6004</xdr:rowOff>
    </xdr:to>
    <xdr:pic>
      <xdr:nvPicPr>
        <xdr:cNvPr id="72" name="Picture 727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4387"/>
          <a:ext cx="9891889" cy="82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7055</xdr:colOff>
      <xdr:row>1</xdr:row>
      <xdr:rowOff>345721</xdr:rowOff>
    </xdr:from>
    <xdr:to>
      <xdr:col>10</xdr:col>
      <xdr:colOff>245795</xdr:colOff>
      <xdr:row>2</xdr:row>
      <xdr:rowOff>606778</xdr:rowOff>
    </xdr:to>
    <xdr:pic macro="[0]!미리보기">
      <xdr:nvPicPr>
        <xdr:cNvPr id="69" name="Picture 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92444" y="747888"/>
          <a:ext cx="499795" cy="663223"/>
        </a:xfrm>
        <a:prstGeom prst="rect">
          <a:avLst/>
        </a:prstGeom>
      </xdr:spPr>
    </xdr:pic>
    <xdr:clientData/>
  </xdr:twoCellAnchor>
  <xdr:twoCellAnchor>
    <xdr:from>
      <xdr:col>10</xdr:col>
      <xdr:colOff>306684</xdr:colOff>
      <xdr:row>1</xdr:row>
      <xdr:rowOff>352320</xdr:rowOff>
    </xdr:from>
    <xdr:to>
      <xdr:col>18</xdr:col>
      <xdr:colOff>179655</xdr:colOff>
      <xdr:row>2</xdr:row>
      <xdr:rowOff>597183</xdr:rowOff>
    </xdr:to>
    <xdr:pic macro="[0]!출력하기">
      <xdr:nvPicPr>
        <xdr:cNvPr id="70" name="Picture 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53128" y="754487"/>
          <a:ext cx="515027" cy="647029"/>
        </a:xfrm>
        <a:prstGeom prst="rect">
          <a:avLst/>
        </a:prstGeom>
      </xdr:spPr>
    </xdr:pic>
    <xdr:clientData/>
  </xdr:twoCellAnchor>
  <xdr:twoCellAnchor>
    <xdr:from>
      <xdr:col>0</xdr:col>
      <xdr:colOff>7068</xdr:colOff>
      <xdr:row>0</xdr:row>
      <xdr:rowOff>0</xdr:rowOff>
    </xdr:from>
    <xdr:to>
      <xdr:col>18</xdr:col>
      <xdr:colOff>317499</xdr:colOff>
      <xdr:row>1</xdr:row>
      <xdr:rowOff>289277</xdr:rowOff>
    </xdr:to>
    <xdr:grpSp>
      <xdr:nvGrpSpPr>
        <xdr:cNvPr id="39" name="그룹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pSpPr/>
      </xdr:nvGrpSpPr>
      <xdr:grpSpPr>
        <a:xfrm>
          <a:off x="7068" y="0"/>
          <a:ext cx="9465014" cy="691444"/>
          <a:chOff x="7068" y="0"/>
          <a:chExt cx="9898931" cy="691444"/>
        </a:xfrm>
      </xdr:grpSpPr>
      <xdr:sp macro="" textlink="">
        <xdr:nvSpPr>
          <xdr:cNvPr id="40" name="직사각형 39">
            <a:extLst>
              <a:ext uri="{FF2B5EF4-FFF2-40B4-BE49-F238E27FC236}">
                <a16:creationId xmlns:a16="http://schemas.microsoft.com/office/drawing/2014/main" id="{00000000-0008-0000-0300-000028000000}"/>
              </a:ext>
            </a:extLst>
          </xdr:cNvPr>
          <xdr:cNvSpPr/>
        </xdr:nvSpPr>
        <xdr:spPr>
          <a:xfrm>
            <a:off x="7068" y="1"/>
            <a:ext cx="9884821" cy="58546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goto매출액매출원가" textlink="">
        <xdr:nvSpPr>
          <xdr:cNvPr id="42" name="Rectangle 724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>
            <a:spLocks noChangeArrowheads="1"/>
          </xdr:cNvSpPr>
        </xdr:nvSpPr>
        <xdr:spPr bwMode="auto">
          <a:xfrm>
            <a:off x="4423688" y="3879"/>
            <a:ext cx="815103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매출액 </a:t>
            </a:r>
            <a:endParaRPr kumimoji="0" lang="en-US" altLang="ko-KR" sz="10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매출원가</a:t>
            </a:r>
          </a:p>
        </xdr:txBody>
      </xdr:sp>
      <xdr:sp macro="[0]!goto판매관리비" textlink="">
        <xdr:nvSpPr>
          <xdr:cNvPr id="43" name="Rectangle 724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>
            <a:spLocks noChangeArrowheads="1"/>
          </xdr:cNvSpPr>
        </xdr:nvSpPr>
        <xdr:spPr bwMode="auto">
          <a:xfrm>
            <a:off x="5235358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판매관리비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비현금손익외</a:t>
            </a:r>
          </a:p>
        </xdr:txBody>
      </xdr:sp>
      <xdr:sp macro="[0]!gotoWACC" textlink="">
        <xdr:nvSpPr>
          <xdr:cNvPr id="49" name="Rectangle 724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053350" y="3879"/>
            <a:ext cx="813450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WACC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추정데이터</a:t>
            </a:r>
          </a:p>
        </xdr:txBody>
      </xdr:sp>
      <xdr:sp macro="[0]!gotoFCFF" textlink="">
        <xdr:nvSpPr>
          <xdr:cNvPr id="55" name="Rectangle 72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863367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FCFF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영업권계산</a:t>
            </a:r>
          </a:p>
        </xdr:txBody>
      </xdr:sp>
      <xdr:sp macro="[0]!goto재무정보입력" textlink="">
        <xdr:nvSpPr>
          <xdr:cNvPr id="57" name="Rectangle 724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2798373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65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803925" y="157396"/>
            <a:ext cx="1933123" cy="3455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rPr>
              <a:t>영업권 모의 감정평가 </a:t>
            </a:r>
          </a:p>
        </xdr:txBody>
      </xdr:sp>
      <xdr:pic>
        <xdr:nvPicPr>
          <xdr:cNvPr id="59" name="Picture 737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70" y="579616"/>
            <a:ext cx="9895529" cy="1118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60" name="그림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77609" y="7056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61" name="그림 60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263065" y="104074"/>
            <a:ext cx="579706" cy="357188"/>
          </a:xfrm>
          <a:prstGeom prst="rect">
            <a:avLst/>
          </a:prstGeom>
        </xdr:spPr>
      </xdr:pic>
      <xdr:pic macro="[0]!전체화면">
        <xdr:nvPicPr>
          <xdr:cNvPr id="62" name="그림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8857182" y="96136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63" name="그림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445502" y="56448"/>
            <a:ext cx="484188" cy="585391"/>
          </a:xfrm>
          <a:prstGeom prst="rect">
            <a:avLst/>
          </a:prstGeom>
        </xdr:spPr>
      </xdr:pic>
      <xdr:sp macro="[0]!Rectangle724_Click" textlink="">
        <xdr:nvSpPr>
          <xdr:cNvPr id="71" name="Rectangle 724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SpPr>
            <a:spLocks noChangeArrowheads="1"/>
          </xdr:cNvSpPr>
        </xdr:nvSpPr>
        <xdr:spPr bwMode="auto">
          <a:xfrm>
            <a:off x="3609732" y="0"/>
            <a:ext cx="815103" cy="5798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감정평가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모의보고서</a:t>
            </a:r>
          </a:p>
        </xdr:txBody>
      </xdr:sp>
    </xdr:grpSp>
    <xdr:clientData/>
  </xdr:twoCellAnchor>
  <xdr:twoCellAnchor>
    <xdr:from>
      <xdr:col>1</xdr:col>
      <xdr:colOff>9524</xdr:colOff>
      <xdr:row>21</xdr:row>
      <xdr:rowOff>52917</xdr:rowOff>
    </xdr:from>
    <xdr:to>
      <xdr:col>8</xdr:col>
      <xdr:colOff>257174</xdr:colOff>
      <xdr:row>39</xdr:row>
      <xdr:rowOff>127000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98802" y="9549695"/>
          <a:ext cx="8347428" cy="4836583"/>
        </a:xfrm>
        <a:prstGeom prst="rect">
          <a:avLst/>
        </a:prstGeom>
        <a:noFill/>
        <a:ln w="952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</xdr:colOff>
      <xdr:row>21</xdr:row>
      <xdr:rowOff>326323</xdr:rowOff>
    </xdr:from>
    <xdr:to>
      <xdr:col>8</xdr:col>
      <xdr:colOff>12700</xdr:colOff>
      <xdr:row>26</xdr:row>
      <xdr:rowOff>26460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08001" y="10062990"/>
          <a:ext cx="7505699" cy="1329970"/>
          <a:chOff x="444501" y="7552680"/>
          <a:chExt cx="6038849" cy="1401389"/>
        </a:xfrm>
      </xdr:grpSpPr>
      <xdr:pic>
        <xdr:nvPicPr>
          <xdr:cNvPr id="7" name="그림 6" descr="아이콘1.png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444501" y="7552680"/>
            <a:ext cx="476250" cy="451482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966597" y="7585125"/>
            <a:ext cx="2647950" cy="39061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600" b="1">
                <a:latin typeface="나눔고딕" pitchFamily="50" charset="-127"/>
                <a:ea typeface="나눔고딕" pitchFamily="50" charset="-127"/>
              </a:rPr>
              <a:t>감정평가방법</a:t>
            </a:r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50850" y="8096249"/>
            <a:ext cx="6032500" cy="831379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 txBox="1"/>
        </xdr:nvSpPr>
        <xdr:spPr>
          <a:xfrm>
            <a:off x="533400" y="8166099"/>
            <a:ext cx="5867400" cy="7879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>
              <a:lnSpc>
                <a:spcPct val="130000"/>
              </a:lnSpc>
            </a:pP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영업권 평가에 적용하는 수익방식은 기업잉여현금흐름</a:t>
            </a:r>
            <a:r>
              <a:rPr lang="en-US" altLang="ko-KR" sz="1200" b="1">
                <a:latin typeface="나눔고딕" pitchFamily="50" charset="-127"/>
                <a:ea typeface="나눔고딕" pitchFamily="50" charset="-127"/>
              </a:rPr>
              <a:t>(FCFF)</a:t>
            </a: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를 추정하여 가중평균자본비용</a:t>
            </a:r>
            <a:r>
              <a:rPr lang="en-US" altLang="ko-KR" sz="1200" b="1">
                <a:latin typeface="나눔고딕" pitchFamily="50" charset="-127"/>
                <a:ea typeface="나눔고딕" pitchFamily="50" charset="-127"/>
              </a:rPr>
              <a:t>(WACC)</a:t>
            </a:r>
            <a:r>
              <a:rPr lang="ko-KR" altLang="en-US" sz="1200" b="1">
                <a:latin typeface="나눔고딕" pitchFamily="50" charset="-127"/>
                <a:ea typeface="나눔고딕" pitchFamily="50" charset="-127"/>
              </a:rPr>
              <a:t>로 할인하여 기업가치를 산정한 후 이자부 부채를 포함한 순자산가치 또는 자산가치 중 적은 값을 차감하여 평가  </a:t>
            </a:r>
          </a:p>
        </xdr:txBody>
      </xdr:sp>
    </xdr:grpSp>
    <xdr:clientData/>
  </xdr:twoCellAnchor>
  <xdr:twoCellAnchor>
    <xdr:from>
      <xdr:col>5</xdr:col>
      <xdr:colOff>860777</xdr:colOff>
      <xdr:row>39</xdr:row>
      <xdr:rowOff>134055</xdr:rowOff>
    </xdr:from>
    <xdr:to>
      <xdr:col>9</xdr:col>
      <xdr:colOff>63500</xdr:colOff>
      <xdr:row>39</xdr:row>
      <xdr:rowOff>395111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5312833" y="14689666"/>
          <a:ext cx="3436056" cy="2610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altLang="ko-KR" sz="1100">
              <a:solidFill>
                <a:schemeClr val="bg1">
                  <a:lumMod val="50000"/>
                </a:schemeClr>
              </a:solidFill>
            </a:rPr>
            <a:t>Copyright ⓒ LearnInvest co., Ltd.    All right reserved.</a:t>
          </a:r>
          <a:endParaRPr lang="ko-KR" altLang="en-US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7</xdr:col>
      <xdr:colOff>345722</xdr:colOff>
      <xdr:row>1</xdr:row>
      <xdr:rowOff>324556</xdr:rowOff>
    </xdr:from>
    <xdr:to>
      <xdr:col>7</xdr:col>
      <xdr:colOff>887047</xdr:colOff>
      <xdr:row>2</xdr:row>
      <xdr:rowOff>600860</xdr:rowOff>
    </xdr:to>
    <xdr:pic macro="[0]!전체인쇄">
      <xdr:nvPicPr>
        <xdr:cNvPr id="64" name="Picture 15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22444" y="726723"/>
          <a:ext cx="541325" cy="678470"/>
        </a:xfrm>
        <a:prstGeom prst="rect">
          <a:avLst/>
        </a:prstGeom>
      </xdr:spPr>
    </xdr:pic>
    <xdr:clientData/>
  </xdr:twoCellAnchor>
  <xdr:twoCellAnchor editAs="oneCell">
    <xdr:from>
      <xdr:col>7</xdr:col>
      <xdr:colOff>959887</xdr:colOff>
      <xdr:row>1</xdr:row>
      <xdr:rowOff>329068</xdr:rowOff>
    </xdr:from>
    <xdr:to>
      <xdr:col>8</xdr:col>
      <xdr:colOff>187303</xdr:colOff>
      <xdr:row>2</xdr:row>
      <xdr:rowOff>601589</xdr:rowOff>
    </xdr:to>
    <xdr:pic macro="[0]!pdf">
      <xdr:nvPicPr>
        <xdr:cNvPr id="65" name="그림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6609" y="731235"/>
          <a:ext cx="539750" cy="674687"/>
        </a:xfrm>
        <a:prstGeom prst="rect">
          <a:avLst/>
        </a:prstGeom>
      </xdr:spPr>
    </xdr:pic>
    <xdr:clientData/>
  </xdr:twoCellAnchor>
  <xdr:twoCellAnchor>
    <xdr:from>
      <xdr:col>4</xdr:col>
      <xdr:colOff>613843</xdr:colOff>
      <xdr:row>39</xdr:row>
      <xdr:rowOff>176388</xdr:rowOff>
    </xdr:from>
    <xdr:to>
      <xdr:col>6</xdr:col>
      <xdr:colOff>8365</xdr:colOff>
      <xdr:row>39</xdr:row>
      <xdr:rowOff>456611</xdr:rowOff>
    </xdr:to>
    <xdr:grpSp>
      <xdr:nvGrpSpPr>
        <xdr:cNvPr id="28" name="그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pSpPr/>
      </xdr:nvGrpSpPr>
      <xdr:grpSpPr>
        <a:xfrm>
          <a:off x="3619510" y="14358055"/>
          <a:ext cx="1892188" cy="280223"/>
          <a:chOff x="5346818" y="15650321"/>
          <a:chExt cx="2019189" cy="280223"/>
        </a:xfrm>
      </xdr:grpSpPr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 txBox="1"/>
        </xdr:nvSpPr>
        <xdr:spPr>
          <a:xfrm>
            <a:off x="5346818" y="15657377"/>
            <a:ext cx="989088" cy="2731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900" b="1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고객 리포트 </a:t>
            </a:r>
            <a:endParaRPr lang="ko-KR" altLang="ko-KR" sz="900" b="1">
              <a:solidFill>
                <a:schemeClr val="tx1">
                  <a:lumMod val="50000"/>
                  <a:lumOff val="50000"/>
                </a:schemeClr>
              </a:solidFill>
              <a:effectLst/>
            </a:endParaRPr>
          </a:p>
          <a:p>
            <a:pPr algn="l"/>
            <a:endParaRPr lang="ko-KR" altLang="en-US" sz="900" b="1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grpSp>
        <xdr:nvGrpSpPr>
          <xdr:cNvPr id="30" name="그룹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GrpSpPr/>
        </xdr:nvGrpSpPr>
        <xdr:grpSpPr>
          <a:xfrm>
            <a:off x="6018396" y="15650321"/>
            <a:ext cx="1347611" cy="273167"/>
            <a:chOff x="4854222" y="15664437"/>
            <a:chExt cx="1347611" cy="273167"/>
          </a:xfrm>
        </xdr:grpSpPr>
        <xdr:sp macro="" textlink="데이터입력!K5">
          <xdr:nvSpPr>
            <xdr:cNvPr id="31" name="TextBox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5390444" y="15664437"/>
              <a:ext cx="811389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9DFBE45C-D0BE-4148-8035-A212A7E965E2}" type="TxLink"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effectLst/>
                  <a:latin typeface="맑은 고딕"/>
                  <a:ea typeface="맑은 고딕"/>
                  <a:cs typeface="+mn-cs"/>
                </a:rPr>
                <a:pPr marL="0" marR="0" indent="0" algn="l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엄태오</a:t>
              </a:fld>
              <a:endParaRPr lang="ko-KR" altLang="en-US" sz="700" b="0">
                <a:solidFill>
                  <a:schemeClr val="tx1">
                    <a:lumMod val="50000"/>
                    <a:lumOff val="50000"/>
                  </a:schemeClr>
                </a:solidFill>
              </a:endParaRPr>
            </a:p>
          </xdr:txBody>
        </xdr:sp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SpPr txBox="1"/>
          </xdr:nvSpPr>
          <xdr:spPr>
            <a:xfrm>
              <a:off x="4930531" y="15664437"/>
              <a:ext cx="650421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작성자</a:t>
              </a: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: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4854222" y="15664437"/>
              <a:ext cx="395112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(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300-000022000000}"/>
                </a:ext>
              </a:extLst>
            </xdr:cNvPr>
            <xdr:cNvSpPr txBox="1"/>
          </xdr:nvSpPr>
          <xdr:spPr>
            <a:xfrm>
              <a:off x="5785556" y="15664437"/>
              <a:ext cx="289278" cy="27316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marR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900" b="0" i="0" u="none" strike="noStrike">
                  <a:solidFill>
                    <a:schemeClr val="tx1">
                      <a:lumMod val="50000"/>
                      <a:lumOff val="50000"/>
                    </a:schemeClr>
                  </a:solidFill>
                  <a:latin typeface="맑은 고딕"/>
                  <a:ea typeface="맑은 고딕"/>
                </a:rPr>
                <a:t>)</a:t>
              </a:r>
              <a:endParaRPr lang="ko-KR" altLang="en-US" sz="9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맑은 고딕"/>
                <a:ea typeface="맑은 고딕"/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479776</xdr:rowOff>
    </xdr:from>
    <xdr:to>
      <xdr:col>8</xdr:col>
      <xdr:colOff>515056</xdr:colOff>
      <xdr:row>3</xdr:row>
      <xdr:rowOff>238837</xdr:rowOff>
    </xdr:to>
    <xdr:grpSp>
      <xdr:nvGrpSpPr>
        <xdr:cNvPr id="20" name="그룹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0" y="649109"/>
          <a:ext cx="9426223" cy="827978"/>
          <a:chOff x="0" y="684387"/>
          <a:chExt cx="9891889" cy="824450"/>
        </a:xfrm>
      </xdr:grpSpPr>
      <xdr:pic>
        <xdr:nvPicPr>
          <xdr:cNvPr id="21" name="Picture 727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lum bright="-2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684387"/>
            <a:ext cx="9891889" cy="824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미리보기">
        <xdr:nvPicPr>
          <xdr:cNvPr id="22" name="Picture 8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692444" y="747888"/>
            <a:ext cx="499795" cy="663223"/>
          </a:xfrm>
          <a:prstGeom prst="rect">
            <a:avLst/>
          </a:prstGeom>
        </xdr:spPr>
      </xdr:pic>
      <xdr:pic macro="[0]!출력하기">
        <xdr:nvPicPr>
          <xdr:cNvPr id="23" name="Picture 9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253128" y="754487"/>
            <a:ext cx="515027" cy="6470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7068</xdr:colOff>
      <xdr:row>0</xdr:row>
      <xdr:rowOff>0</xdr:rowOff>
    </xdr:from>
    <xdr:to>
      <xdr:col>8</xdr:col>
      <xdr:colOff>529166</xdr:colOff>
      <xdr:row>1</xdr:row>
      <xdr:rowOff>486833</xdr:rowOff>
    </xdr:to>
    <xdr:grpSp>
      <xdr:nvGrpSpPr>
        <xdr:cNvPr id="24" name="그룹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7068" y="0"/>
          <a:ext cx="9433265" cy="656166"/>
          <a:chOff x="7068" y="0"/>
          <a:chExt cx="9898931" cy="691444"/>
        </a:xfrm>
      </xdr:grpSpPr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7068" y="1"/>
            <a:ext cx="9884821" cy="58546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goto판매관리비" textlink="">
        <xdr:nvSpPr>
          <xdr:cNvPr id="27" name="Rectangle 724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5235358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판매관리비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비현금손익외</a:t>
            </a:r>
          </a:p>
        </xdr:txBody>
      </xdr:sp>
      <xdr:sp macro="[0]!gotoWACC" textlink="">
        <xdr:nvSpPr>
          <xdr:cNvPr id="28" name="Rectangle 724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6053350" y="3879"/>
            <a:ext cx="813450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WACC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추정데이터</a:t>
            </a:r>
          </a:p>
        </xdr:txBody>
      </xdr:sp>
      <xdr:sp macro="[0]!gotoFCFF" textlink="">
        <xdr:nvSpPr>
          <xdr:cNvPr id="29" name="Rectangle 724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863367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FCFF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영업권계산</a:t>
            </a:r>
          </a:p>
        </xdr:txBody>
      </xdr:sp>
      <xdr:sp macro="[0]!goto재무정보입력" textlink="">
        <xdr:nvSpPr>
          <xdr:cNvPr id="30" name="Rectangle 724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2798373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>
            <a:off x="803925" y="157396"/>
            <a:ext cx="1933123" cy="3455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rPr>
              <a:t>영업권 모의 감정평가 </a:t>
            </a:r>
          </a:p>
        </xdr:txBody>
      </xdr:sp>
      <xdr:pic>
        <xdr:nvPicPr>
          <xdr:cNvPr id="32" name="Picture 737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70" y="579616"/>
            <a:ext cx="9895529" cy="1118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33" name="그림 32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77609" y="7056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34" name="그림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263065" y="104074"/>
            <a:ext cx="579706" cy="357188"/>
          </a:xfrm>
          <a:prstGeom prst="rect">
            <a:avLst/>
          </a:prstGeom>
        </xdr:spPr>
      </xdr:pic>
      <xdr:pic macro="[0]!전체화면">
        <xdr:nvPicPr>
          <xdr:cNvPr id="35" name="그림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8857182" y="96136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36" name="그림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445502" y="56448"/>
            <a:ext cx="484188" cy="585391"/>
          </a:xfrm>
          <a:prstGeom prst="rect">
            <a:avLst/>
          </a:prstGeom>
        </xdr:spPr>
      </xdr:pic>
      <xdr:sp macro="[0]!goto감정평가보고서" textlink="">
        <xdr:nvSpPr>
          <xdr:cNvPr id="37" name="Rectangle 724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3616788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감정평가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모의보고서</a:t>
            </a:r>
          </a:p>
        </xdr:txBody>
      </xdr:sp>
      <xdr:sp macro="[0]!Rectangle724_Click" textlink="">
        <xdr:nvSpPr>
          <xdr:cNvPr id="38" name="Rectangle 724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>
            <a:spLocks noChangeArrowheads="1"/>
          </xdr:cNvSpPr>
        </xdr:nvSpPr>
        <xdr:spPr bwMode="auto">
          <a:xfrm>
            <a:off x="4421121" y="0"/>
            <a:ext cx="815103" cy="5798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매출액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매출원가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35276</xdr:rowOff>
    </xdr:from>
    <xdr:to>
      <xdr:col>8</xdr:col>
      <xdr:colOff>416278</xdr:colOff>
      <xdr:row>3</xdr:row>
      <xdr:rowOff>288226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638526"/>
          <a:ext cx="9443861" cy="824450"/>
          <a:chOff x="0" y="684387"/>
          <a:chExt cx="9891889" cy="824450"/>
        </a:xfrm>
      </xdr:grpSpPr>
      <xdr:pic>
        <xdr:nvPicPr>
          <xdr:cNvPr id="3" name="Picture 727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lum bright="-2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684387"/>
            <a:ext cx="9891889" cy="824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미리보기">
        <xdr:nvPicPr>
          <xdr:cNvPr id="4" name="Picture 8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692444" y="747888"/>
            <a:ext cx="499795" cy="663223"/>
          </a:xfrm>
          <a:prstGeom prst="rect">
            <a:avLst/>
          </a:prstGeom>
        </xdr:spPr>
      </xdr:pic>
      <xdr:pic macro="[0]!출력하기">
        <xdr:nvPicPr>
          <xdr:cNvPr id="5" name="Picture 9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253128" y="754487"/>
            <a:ext cx="515027" cy="6470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7068</xdr:colOff>
      <xdr:row>0</xdr:row>
      <xdr:rowOff>0</xdr:rowOff>
    </xdr:from>
    <xdr:to>
      <xdr:col>8</xdr:col>
      <xdr:colOff>430388</xdr:colOff>
      <xdr:row>2</xdr:row>
      <xdr:rowOff>42333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7068" y="0"/>
          <a:ext cx="9450903" cy="645583"/>
          <a:chOff x="7068" y="0"/>
          <a:chExt cx="9898931" cy="691444"/>
        </a:xfrm>
      </xdr:grpSpPr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7068" y="1"/>
            <a:ext cx="9884821" cy="58546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gotoWACC" textlink="">
        <xdr:nvSpPr>
          <xdr:cNvPr id="9" name="Rectangle 72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053350" y="3879"/>
            <a:ext cx="813450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WACC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추정데이터</a:t>
            </a:r>
          </a:p>
        </xdr:txBody>
      </xdr:sp>
      <xdr:sp macro="[0]!gotoFCFF" textlink="">
        <xdr:nvSpPr>
          <xdr:cNvPr id="10" name="Rectangle 724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6863367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FCFF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영업권계산</a:t>
            </a:r>
          </a:p>
        </xdr:txBody>
      </xdr:sp>
      <xdr:sp macro="[0]!goto재무정보입력" textlink="">
        <xdr:nvSpPr>
          <xdr:cNvPr id="11" name="Rectangle 72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>
            <a:spLocks noChangeArrowheads="1"/>
          </xdr:cNvSpPr>
        </xdr:nvSpPr>
        <xdr:spPr bwMode="auto">
          <a:xfrm>
            <a:off x="2798373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 txBox="1"/>
        </xdr:nvSpPr>
        <xdr:spPr>
          <a:xfrm>
            <a:off x="803925" y="157396"/>
            <a:ext cx="1933123" cy="3455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rPr>
              <a:t>영업권 모의 감정평가 </a:t>
            </a:r>
          </a:p>
        </xdr:txBody>
      </xdr:sp>
      <xdr:pic>
        <xdr:nvPicPr>
          <xdr:cNvPr id="13" name="Picture 737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70" y="579616"/>
            <a:ext cx="9895529" cy="1118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4" name="그림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77609" y="7056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15" name="그림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263065" y="104074"/>
            <a:ext cx="579706" cy="357188"/>
          </a:xfrm>
          <a:prstGeom prst="rect">
            <a:avLst/>
          </a:prstGeom>
        </xdr:spPr>
      </xdr:pic>
      <xdr:pic macro="[0]!전체화면">
        <xdr:nvPicPr>
          <xdr:cNvPr id="16" name="그림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8857182" y="96136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17" name="그림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445502" y="56448"/>
            <a:ext cx="484188" cy="585391"/>
          </a:xfrm>
          <a:prstGeom prst="rect">
            <a:avLst/>
          </a:prstGeom>
        </xdr:spPr>
      </xdr:pic>
      <xdr:sp macro="[0]!goto감정평가보고서" textlink="">
        <xdr:nvSpPr>
          <xdr:cNvPr id="18" name="Rectangle 724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3616788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감정평가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모의보고서</a:t>
            </a:r>
          </a:p>
        </xdr:txBody>
      </xdr:sp>
      <xdr:sp macro="[0]!goto매출액매출원가" textlink="">
        <xdr:nvSpPr>
          <xdr:cNvPr id="19" name="Rectangle 72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428177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매출액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매출원가</a:t>
            </a:r>
          </a:p>
        </xdr:txBody>
      </xdr:sp>
      <xdr:sp macro="[0]!Rectangle724_Click" textlink="">
        <xdr:nvSpPr>
          <xdr:cNvPr id="20" name="Rectangle 724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5239564" y="0"/>
            <a:ext cx="815103" cy="5798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판매관리비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비현금손익외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371104</xdr:colOff>
      <xdr:row>4</xdr:row>
      <xdr:rowOff>49480</xdr:rowOff>
    </xdr:from>
    <xdr:to>
      <xdr:col>5</xdr:col>
      <xdr:colOff>973117</xdr:colOff>
      <xdr:row>4</xdr:row>
      <xdr:rowOff>494805</xdr:rowOff>
    </xdr:to>
    <xdr:sp macro="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71104" y="2894610"/>
          <a:ext cx="5673766" cy="445325"/>
        </a:xfrm>
        <a:prstGeom prst="roundRect">
          <a:avLst>
            <a:gd name="adj" fmla="val 7408"/>
          </a:avLst>
        </a:prstGeom>
        <a:noFill/>
        <a:ln w="1270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444508</xdr:colOff>
      <xdr:row>5</xdr:row>
      <xdr:rowOff>303387</xdr:rowOff>
    </xdr:from>
    <xdr:to>
      <xdr:col>7</xdr:col>
      <xdr:colOff>359834</xdr:colOff>
      <xdr:row>7</xdr:row>
      <xdr:rowOff>65083</xdr:rowOff>
    </xdr:to>
    <xdr:grpSp>
      <xdr:nvGrpSpPr>
        <xdr:cNvPr id="5" name="그룹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6371175" y="3690054"/>
          <a:ext cx="1015992" cy="312029"/>
          <a:chOff x="7196666" y="3675945"/>
          <a:chExt cx="1093611" cy="328492"/>
        </a:xfrm>
      </xdr:grpSpPr>
      <xdr:sp macro="[0]!전체화면" textlink="">
        <xdr:nvSpPr>
          <xdr:cNvPr id="22" name="모서리가 둥근 직사각형 21">
            <a:extLst>
              <a:ext uri="{FF2B5EF4-FFF2-40B4-BE49-F238E27FC236}">
                <a16:creationId xmlns:a16="http://schemas.microsoft.com/office/drawing/2014/main" id="{00000000-0008-0000-0600-000016000000}"/>
              </a:ext>
            </a:extLst>
          </xdr:cNvPr>
          <xdr:cNvSpPr/>
        </xdr:nvSpPr>
        <xdr:spPr>
          <a:xfrm>
            <a:off x="7196666" y="3675945"/>
            <a:ext cx="1093611" cy="295644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0000"/>
                  <a:lumOff val="40000"/>
                  <a:tint val="66000"/>
                  <a:satMod val="160000"/>
                </a:schemeClr>
              </a:gs>
              <a:gs pos="50000">
                <a:schemeClr val="accent1">
                  <a:lumMod val="60000"/>
                  <a:lumOff val="40000"/>
                  <a:tint val="44500"/>
                  <a:satMod val="160000"/>
                </a:schemeClr>
              </a:gs>
              <a:gs pos="100000">
                <a:schemeClr val="accent1">
                  <a:lumMod val="60000"/>
                  <a:lumOff val="40000"/>
                  <a:tint val="23500"/>
                  <a:satMod val="160000"/>
                </a:schemeClr>
              </a:gs>
            </a:gsLst>
            <a:lin ang="2700000" scaled="1"/>
            <a:tileRect/>
          </a:gradFill>
          <a:ln w="9525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>
              <a:lnSpc>
                <a:spcPts val="1080"/>
              </a:lnSpc>
            </a:pPr>
            <a:endParaRPr lang="ko-KR" altLang="en-US" sz="900" b="1" spc="-100" baseline="0">
              <a:solidFill>
                <a:schemeClr val="tx1"/>
              </a:solidFill>
            </a:endParaRP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217833" y="3690054"/>
            <a:ext cx="1051278" cy="31438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ko-KR" altLang="en-US" sz="900" b="1"/>
              <a:t>경제통계시스템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684387</xdr:rowOff>
    </xdr:from>
    <xdr:to>
      <xdr:col>10</xdr:col>
      <xdr:colOff>627945</xdr:colOff>
      <xdr:row>0</xdr:row>
      <xdr:rowOff>1508837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0" y="684387"/>
          <a:ext cx="9402587" cy="824450"/>
          <a:chOff x="0" y="684387"/>
          <a:chExt cx="9891889" cy="824450"/>
        </a:xfrm>
      </xdr:grpSpPr>
      <xdr:pic>
        <xdr:nvPicPr>
          <xdr:cNvPr id="7" name="Picture 727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lum bright="-2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684387"/>
            <a:ext cx="9891889" cy="824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미리보기">
        <xdr:nvPicPr>
          <xdr:cNvPr id="8" name="Picture 8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8692444" y="747888"/>
            <a:ext cx="499795" cy="663223"/>
          </a:xfrm>
          <a:prstGeom prst="rect">
            <a:avLst/>
          </a:prstGeom>
        </xdr:spPr>
      </xdr:pic>
      <xdr:pic macro="[0]!출력하기">
        <xdr:nvPicPr>
          <xdr:cNvPr id="9" name="Picture 9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253128" y="754487"/>
            <a:ext cx="515027" cy="6470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7068</xdr:colOff>
      <xdr:row>0</xdr:row>
      <xdr:rowOff>0</xdr:rowOff>
    </xdr:from>
    <xdr:to>
      <xdr:col>10</xdr:col>
      <xdr:colOff>642055</xdr:colOff>
      <xdr:row>0</xdr:row>
      <xdr:rowOff>691444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7068" y="0"/>
          <a:ext cx="9400104" cy="691444"/>
          <a:chOff x="7068" y="0"/>
          <a:chExt cx="9898931" cy="691444"/>
        </a:xfrm>
      </xdr:grpSpPr>
      <xdr:sp macro="[0]!goto매출액매출원가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/>
        </xdr:nvSpPr>
        <xdr:spPr>
          <a:xfrm>
            <a:off x="7068" y="1"/>
            <a:ext cx="9884821" cy="585463"/>
          </a:xfrm>
          <a:prstGeom prst="rect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[0]!gotoFCFF" textlink="">
        <xdr:nvSpPr>
          <xdr:cNvPr id="13" name="Rectangle 724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6863367" y="3879"/>
            <a:ext cx="815102" cy="579821"/>
          </a:xfrm>
          <a:prstGeom prst="rect">
            <a:avLst/>
          </a:prstGeom>
          <a:noFill/>
          <a:ln w="9525" algn="ctr">
            <a:solidFill>
              <a:sysClr val="windowText" lastClr="000000">
                <a:lumMod val="50000"/>
                <a:lumOff val="50000"/>
              </a:sysClr>
            </a:solidFill>
            <a:miter lim="800000"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99CC00" mc:Ignorable="a14" a14:legacySpreadsheetColorIndex="50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FCFF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영업권계산</a:t>
            </a:r>
          </a:p>
        </xdr:txBody>
      </xdr:sp>
      <xdr:sp macro="[0]!goto재무정보입력" textlink="">
        <xdr:nvSpPr>
          <xdr:cNvPr id="14" name="Rectangle 72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2798373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재무정보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입력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SpPr txBox="1"/>
        </xdr:nvSpPr>
        <xdr:spPr>
          <a:xfrm>
            <a:off x="803925" y="157396"/>
            <a:ext cx="1933123" cy="34553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rPr>
              <a:t>영업권 모의 감정평가 </a:t>
            </a:r>
          </a:p>
        </xdr:txBody>
      </xdr:sp>
      <xdr:pic>
        <xdr:nvPicPr>
          <xdr:cNvPr id="16" name="Picture 737">
            <a:extLst>
              <a:ext uri="{FF2B5EF4-FFF2-40B4-BE49-F238E27FC236}">
                <a16:creationId xmlns:a16="http://schemas.microsoft.com/office/drawing/2014/main" id="{00000000-0008-0000-0600-000010000000}"/>
              </a:ext>
            </a:extLst>
          </xdr:cNvPr>
          <xdr:cNvPicPr>
            <a:picLocks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70" y="579616"/>
            <a:ext cx="9895529" cy="1118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7" name="그림 16">
            <a:extLst>
              <a:ext uri="{FF2B5EF4-FFF2-40B4-BE49-F238E27FC236}">
                <a16:creationId xmlns:a16="http://schemas.microsoft.com/office/drawing/2014/main" id="{00000000-0008-0000-06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030" b="10605"/>
          <a:stretch/>
        </xdr:blipFill>
        <xdr:spPr>
          <a:xfrm>
            <a:off x="77609" y="7056"/>
            <a:ext cx="838947" cy="619123"/>
          </a:xfrm>
          <a:prstGeom prst="rect">
            <a:avLst/>
          </a:prstGeom>
          <a:ln w="6350">
            <a:noFill/>
          </a:ln>
        </xdr:spPr>
      </xdr:pic>
      <xdr:pic macro="[0]!화면종료">
        <xdr:nvPicPr>
          <xdr:cNvPr id="18" name="그림 17">
            <a:extLst>
              <a:ext uri="{FF2B5EF4-FFF2-40B4-BE49-F238E27FC236}">
                <a16:creationId xmlns:a16="http://schemas.microsoft.com/office/drawing/2014/main" id="{00000000-0008-0000-0600-00001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30769"/>
          <a:stretch/>
        </xdr:blipFill>
        <xdr:spPr>
          <a:xfrm>
            <a:off x="9263065" y="104074"/>
            <a:ext cx="579706" cy="357188"/>
          </a:xfrm>
          <a:prstGeom prst="rect">
            <a:avLst/>
          </a:prstGeom>
        </xdr:spPr>
      </xdr:pic>
      <xdr:pic macro="[0]!전체화면">
        <xdr:nvPicPr>
          <xdr:cNvPr id="19" name="그림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6790"/>
          <a:stretch/>
        </xdr:blipFill>
        <xdr:spPr>
          <a:xfrm>
            <a:off x="8857182" y="96136"/>
            <a:ext cx="572570" cy="373063"/>
          </a:xfrm>
          <a:prstGeom prst="rect">
            <a:avLst/>
          </a:prstGeom>
        </xdr:spPr>
      </xdr:pic>
      <xdr:pic macro="[0]!goto재무정보입력">
        <xdr:nvPicPr>
          <xdr:cNvPr id="20" name="그림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6901"/>
          <a:stretch/>
        </xdr:blipFill>
        <xdr:spPr>
          <a:xfrm>
            <a:off x="8445502" y="56448"/>
            <a:ext cx="484188" cy="585391"/>
          </a:xfrm>
          <a:prstGeom prst="rect">
            <a:avLst/>
          </a:prstGeom>
        </xdr:spPr>
      </xdr:pic>
      <xdr:sp macro="[0]!goto감정평가보고서" textlink="">
        <xdr:nvSpPr>
          <xdr:cNvPr id="21" name="Rectangle 72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616788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감정평가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모의보고서</a:t>
            </a:r>
          </a:p>
        </xdr:txBody>
      </xdr:sp>
      <xdr:sp macro="[0]!goto매출액매출원가" textlink="">
        <xdr:nvSpPr>
          <xdr:cNvPr id="23" name="Rectangle 72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4428177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매출액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매출원가</a:t>
            </a:r>
          </a:p>
        </xdr:txBody>
      </xdr:sp>
      <xdr:sp macro="[0]!goto판매관리비" textlink="">
        <xdr:nvSpPr>
          <xdr:cNvPr id="24" name="Rectangle 724"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5232508" y="0"/>
            <a:ext cx="815103" cy="579821"/>
          </a:xfrm>
          <a:prstGeom prst="rect">
            <a:avLst/>
          </a:prstGeom>
          <a:noFill/>
          <a:ln w="9525" algn="ctr">
            <a:solidFill>
              <a:schemeClr val="bg1">
                <a:lumMod val="50000"/>
              </a:schemeClr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판매관리비</a:t>
            </a:r>
            <a:endParaRPr kumimoji="0" lang="en-US" altLang="ko-KR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endParaRP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chemeClr val="bg1">
                    <a:lumMod val="65000"/>
                  </a:schemeClr>
                </a:solidFill>
                <a:effectLst/>
                <a:uLnTx/>
                <a:uFillTx/>
                <a:latin typeface="맑은 고딕"/>
                <a:ea typeface="맑은 고딕"/>
              </a:rPr>
              <a:t>비현금손익외</a:t>
            </a:r>
          </a:p>
        </xdr:txBody>
      </xdr:sp>
      <xdr:sp macro="[0]!Rectangle724_Click" textlink="">
        <xdr:nvSpPr>
          <xdr:cNvPr id="25" name="Rectangle 72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050952" y="0"/>
            <a:ext cx="815103" cy="57982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99CC00" mc:Ignorable="a14" a14:legacySpreadsheetColorIndex="50"/>
          </a:solidFill>
          <a:ln w="9525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7432" rIns="27432" bIns="27432" anchor="ctr" upright="1"/>
          <a:lstStyle/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en-US" altLang="ko-KR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WACC</a:t>
            </a:r>
          </a:p>
          <a:p>
            <a:pPr marL="0" marR="0" lvl="0" indent="0" algn="ctr" defTabSz="914400" rtl="0" eaLnBrk="1" fontAlgn="auto" latinLnBrk="0" hangingPunct="1">
              <a:lnSpc>
                <a:spcPts val="15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ko-KR" altLang="en-US" sz="1000" b="1" i="0" u="none" strike="noStrike" kern="0" cap="none" spc="-10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맑은 고딕"/>
                <a:ea typeface="맑은 고딕"/>
              </a:rPr>
              <a:t>추정데이터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684387</xdr:rowOff>
    </xdr:from>
    <xdr:to>
      <xdr:col>11</xdr:col>
      <xdr:colOff>246945</xdr:colOff>
      <xdr:row>2</xdr:row>
      <xdr:rowOff>6004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684387"/>
          <a:ext cx="9422695" cy="824450"/>
          <a:chOff x="0" y="684387"/>
          <a:chExt cx="9891889" cy="824450"/>
        </a:xfrm>
      </xdr:grpSpPr>
      <xdr:pic>
        <xdr:nvPicPr>
          <xdr:cNvPr id="3" name="Picture 727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lum bright="-2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684387"/>
            <a:ext cx="9891889" cy="824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 macro="[0]!미리보기">
        <xdr:nvPicPr>
          <xdr:cNvPr id="4" name="Picture 8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692444" y="747888"/>
            <a:ext cx="499795" cy="663223"/>
          </a:xfrm>
          <a:prstGeom prst="rect">
            <a:avLst/>
          </a:prstGeom>
        </xdr:spPr>
      </xdr:pic>
      <xdr:pic macro="[0]!출력하기">
        <xdr:nvPicPr>
          <xdr:cNvPr id="5" name="Picture 9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253128" y="754487"/>
            <a:ext cx="515027" cy="64702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7068</xdr:colOff>
      <xdr:row>0</xdr:row>
      <xdr:rowOff>1</xdr:rowOff>
    </xdr:from>
    <xdr:to>
      <xdr:col>11</xdr:col>
      <xdr:colOff>246945</xdr:colOff>
      <xdr:row>0</xdr:row>
      <xdr:rowOff>585464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7068" y="1"/>
          <a:ext cx="9884821" cy="58546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942762</xdr:colOff>
      <xdr:row>0</xdr:row>
      <xdr:rowOff>0</xdr:rowOff>
    </xdr:from>
    <xdr:to>
      <xdr:col>4</xdr:col>
      <xdr:colOff>600754</xdr:colOff>
      <xdr:row>0</xdr:row>
      <xdr:rowOff>579821</xdr:rowOff>
    </xdr:to>
    <xdr:sp macro="[0]!goto재무정보입력" textlink="">
      <xdr:nvSpPr>
        <xdr:cNvPr id="9" name="Rectangle 724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2798373" y="0"/>
          <a:ext cx="815103" cy="579821"/>
        </a:xfrm>
        <a:prstGeom prst="rect">
          <a:avLst/>
        </a:prstGeom>
        <a:noFill/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재무정보</a:t>
          </a:r>
          <a:endParaRPr kumimoji="0" lang="en-US" altLang="ko-KR" sz="1000" b="1" i="0" u="none" strike="noStrike" kern="0" cap="none" spc="-100" normalizeH="0" baseline="0" noProof="0">
            <a:ln>
              <a:noFill/>
            </a:ln>
            <a:solidFill>
              <a:schemeClr val="bg1">
                <a:lumMod val="65000"/>
              </a:schemeClr>
            </a:solidFill>
            <a:effectLst/>
            <a:uLnTx/>
            <a:uFillTx/>
            <a:latin typeface="맑은 고딕"/>
            <a:ea typeface="맑은 고딕"/>
          </a:endParaRPr>
        </a:p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입력</a:t>
          </a:r>
        </a:p>
      </xdr:txBody>
    </xdr:sp>
    <xdr:clientData/>
  </xdr:twoCellAnchor>
  <xdr:twoCellAnchor>
    <xdr:from>
      <xdr:col>2</xdr:col>
      <xdr:colOff>274758</xdr:colOff>
      <xdr:row>0</xdr:row>
      <xdr:rowOff>157396</xdr:rowOff>
    </xdr:from>
    <xdr:to>
      <xdr:col>3</xdr:col>
      <xdr:colOff>881437</xdr:colOff>
      <xdr:row>0</xdr:row>
      <xdr:rowOff>502929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803925" y="157396"/>
          <a:ext cx="1933123" cy="34553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HY중고딕" panose="02030600000101010101" pitchFamily="18" charset="-127"/>
              <a:ea typeface="HY중고딕" panose="02030600000101010101" pitchFamily="18" charset="-127"/>
              <a:cs typeface="+mn-cs"/>
            </a:rPr>
            <a:t>영업권 모의 감정평가 </a:t>
          </a:r>
        </a:p>
      </xdr:txBody>
    </xdr:sp>
    <xdr:clientData/>
  </xdr:twoCellAnchor>
  <xdr:twoCellAnchor>
    <xdr:from>
      <xdr:col>0</xdr:col>
      <xdr:colOff>10470</xdr:colOff>
      <xdr:row>0</xdr:row>
      <xdr:rowOff>579616</xdr:rowOff>
    </xdr:from>
    <xdr:to>
      <xdr:col>11</xdr:col>
      <xdr:colOff>261055</xdr:colOff>
      <xdr:row>0</xdr:row>
      <xdr:rowOff>691444</xdr:rowOff>
    </xdr:to>
    <xdr:pic>
      <xdr:nvPicPr>
        <xdr:cNvPr id="11" name="Picture 737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0" y="579616"/>
          <a:ext cx="9895529" cy="1118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77609</xdr:colOff>
      <xdr:row>0</xdr:row>
      <xdr:rowOff>7056</xdr:rowOff>
    </xdr:from>
    <xdr:to>
      <xdr:col>2</xdr:col>
      <xdr:colOff>387389</xdr:colOff>
      <xdr:row>0</xdr:row>
      <xdr:rowOff>626179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030" b="10605"/>
        <a:stretch/>
      </xdr:blipFill>
      <xdr:spPr>
        <a:xfrm>
          <a:off x="77609" y="7056"/>
          <a:ext cx="838947" cy="619123"/>
        </a:xfrm>
        <a:prstGeom prst="rect">
          <a:avLst/>
        </a:prstGeom>
        <a:ln w="6350">
          <a:noFill/>
        </a:ln>
      </xdr:spPr>
    </xdr:pic>
    <xdr:clientData/>
  </xdr:twoCellAnchor>
  <xdr:twoCellAnchor>
    <xdr:from>
      <xdr:col>9</xdr:col>
      <xdr:colOff>464787</xdr:colOff>
      <xdr:row>0</xdr:row>
      <xdr:rowOff>104074</xdr:rowOff>
    </xdr:from>
    <xdr:to>
      <xdr:col>11</xdr:col>
      <xdr:colOff>197827</xdr:colOff>
      <xdr:row>0</xdr:row>
      <xdr:rowOff>461262</xdr:rowOff>
    </xdr:to>
    <xdr:pic macro="[0]!화면종료"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0769"/>
        <a:stretch/>
      </xdr:blipFill>
      <xdr:spPr>
        <a:xfrm>
          <a:off x="9263065" y="104074"/>
          <a:ext cx="579706" cy="357188"/>
        </a:xfrm>
        <a:prstGeom prst="rect">
          <a:avLst/>
        </a:prstGeom>
      </xdr:spPr>
    </xdr:pic>
    <xdr:clientData/>
  </xdr:twoCellAnchor>
  <xdr:twoCellAnchor>
    <xdr:from>
      <xdr:col>9</xdr:col>
      <xdr:colOff>58904</xdr:colOff>
      <xdr:row>0</xdr:row>
      <xdr:rowOff>96136</xdr:rowOff>
    </xdr:from>
    <xdr:to>
      <xdr:col>10</xdr:col>
      <xdr:colOff>123474</xdr:colOff>
      <xdr:row>0</xdr:row>
      <xdr:rowOff>469199</xdr:rowOff>
    </xdr:to>
    <xdr:pic macro="[0]!전체화면">
      <xdr:nvPicPr>
        <xdr:cNvPr id="14" name="그림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6790"/>
        <a:stretch/>
      </xdr:blipFill>
      <xdr:spPr>
        <a:xfrm>
          <a:off x="8857182" y="96136"/>
          <a:ext cx="572570" cy="373063"/>
        </a:xfrm>
        <a:prstGeom prst="rect">
          <a:avLst/>
        </a:prstGeom>
      </xdr:spPr>
    </xdr:pic>
    <xdr:clientData/>
  </xdr:twoCellAnchor>
  <xdr:twoCellAnchor>
    <xdr:from>
      <xdr:col>8</xdr:col>
      <xdr:colOff>804335</xdr:colOff>
      <xdr:row>0</xdr:row>
      <xdr:rowOff>56448</xdr:rowOff>
    </xdr:from>
    <xdr:to>
      <xdr:col>9</xdr:col>
      <xdr:colOff>131412</xdr:colOff>
      <xdr:row>0</xdr:row>
      <xdr:rowOff>641839</xdr:rowOff>
    </xdr:to>
    <xdr:pic macro="[0]!goto재무정보입력"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901"/>
        <a:stretch/>
      </xdr:blipFill>
      <xdr:spPr>
        <a:xfrm>
          <a:off x="8445502" y="56448"/>
          <a:ext cx="484188" cy="585391"/>
        </a:xfrm>
        <a:prstGeom prst="rect">
          <a:avLst/>
        </a:prstGeom>
      </xdr:spPr>
    </xdr:pic>
    <xdr:clientData/>
  </xdr:twoCellAnchor>
  <xdr:twoCellAnchor>
    <xdr:from>
      <xdr:col>4</xdr:col>
      <xdr:colOff>604066</xdr:colOff>
      <xdr:row>0</xdr:row>
      <xdr:rowOff>0</xdr:rowOff>
    </xdr:from>
    <xdr:to>
      <xdr:col>5</xdr:col>
      <xdr:colOff>262058</xdr:colOff>
      <xdr:row>0</xdr:row>
      <xdr:rowOff>579821</xdr:rowOff>
    </xdr:to>
    <xdr:sp macro="[0]!goto감정평가보고서" textlink="">
      <xdr:nvSpPr>
        <xdr:cNvPr id="16" name="Rectangle 724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3616788" y="0"/>
          <a:ext cx="815103" cy="579821"/>
        </a:xfrm>
        <a:prstGeom prst="rect">
          <a:avLst/>
        </a:prstGeom>
        <a:noFill/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감정평가</a:t>
          </a:r>
          <a:endParaRPr kumimoji="0" lang="en-US" altLang="ko-KR" sz="1000" b="1" i="0" u="none" strike="noStrike" kern="0" cap="none" spc="-100" normalizeH="0" baseline="0" noProof="0">
            <a:ln>
              <a:noFill/>
            </a:ln>
            <a:solidFill>
              <a:schemeClr val="bg1">
                <a:lumMod val="65000"/>
              </a:schemeClr>
            </a:solidFill>
            <a:effectLst/>
            <a:uLnTx/>
            <a:uFillTx/>
            <a:latin typeface="맑은 고딕"/>
            <a:ea typeface="맑은 고딕"/>
          </a:endParaRPr>
        </a:p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모의보고서</a:t>
          </a:r>
        </a:p>
      </xdr:txBody>
    </xdr:sp>
    <xdr:clientData/>
  </xdr:twoCellAnchor>
  <xdr:twoCellAnchor>
    <xdr:from>
      <xdr:col>5</xdr:col>
      <xdr:colOff>265400</xdr:colOff>
      <xdr:row>0</xdr:row>
      <xdr:rowOff>0</xdr:rowOff>
    </xdr:from>
    <xdr:to>
      <xdr:col>5</xdr:col>
      <xdr:colOff>1080503</xdr:colOff>
      <xdr:row>0</xdr:row>
      <xdr:rowOff>579821</xdr:rowOff>
    </xdr:to>
    <xdr:sp macro="[0]!goto매출액매출원가" textlink="">
      <xdr:nvSpPr>
        <xdr:cNvPr id="17" name="Rectangle 724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4435233" y="0"/>
          <a:ext cx="815103" cy="579821"/>
        </a:xfrm>
        <a:prstGeom prst="rect">
          <a:avLst/>
        </a:prstGeom>
        <a:noFill/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매출액</a:t>
          </a:r>
          <a:endParaRPr kumimoji="0" lang="en-US" altLang="ko-KR" sz="1000" b="1" i="0" u="none" strike="noStrike" kern="0" cap="none" spc="-100" normalizeH="0" baseline="0" noProof="0">
            <a:ln>
              <a:noFill/>
            </a:ln>
            <a:solidFill>
              <a:schemeClr val="bg1">
                <a:lumMod val="65000"/>
              </a:schemeClr>
            </a:solidFill>
            <a:effectLst/>
            <a:uLnTx/>
            <a:uFillTx/>
            <a:latin typeface="맑은 고딕"/>
            <a:ea typeface="맑은 고딕"/>
          </a:endParaRPr>
        </a:p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매출원가</a:t>
          </a:r>
        </a:p>
      </xdr:txBody>
    </xdr:sp>
    <xdr:clientData/>
  </xdr:twoCellAnchor>
  <xdr:twoCellAnchor>
    <xdr:from>
      <xdr:col>5</xdr:col>
      <xdr:colOff>1076787</xdr:colOff>
      <xdr:row>0</xdr:row>
      <xdr:rowOff>0</xdr:rowOff>
    </xdr:from>
    <xdr:to>
      <xdr:col>6</xdr:col>
      <xdr:colOff>734779</xdr:colOff>
      <xdr:row>0</xdr:row>
      <xdr:rowOff>579821</xdr:rowOff>
    </xdr:to>
    <xdr:sp macro="[0]!goto판매관리비" textlink="">
      <xdr:nvSpPr>
        <xdr:cNvPr id="18" name="Rectangle 724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5246620" y="0"/>
          <a:ext cx="815103" cy="579821"/>
        </a:xfrm>
        <a:prstGeom prst="rect">
          <a:avLst/>
        </a:prstGeom>
        <a:noFill/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판매관리비</a:t>
          </a:r>
          <a:endParaRPr kumimoji="0" lang="en-US" altLang="ko-KR" sz="1000" b="1" i="0" u="none" strike="noStrike" kern="0" cap="none" spc="-100" normalizeH="0" baseline="0" noProof="0">
            <a:ln>
              <a:noFill/>
            </a:ln>
            <a:solidFill>
              <a:schemeClr val="bg1">
                <a:lumMod val="65000"/>
              </a:schemeClr>
            </a:solidFill>
            <a:effectLst/>
            <a:uLnTx/>
            <a:uFillTx/>
            <a:latin typeface="맑은 고딕"/>
            <a:ea typeface="맑은 고딕"/>
          </a:endParaRPr>
        </a:p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비현금손익외</a:t>
          </a:r>
        </a:p>
      </xdr:txBody>
    </xdr:sp>
    <xdr:clientData/>
  </xdr:twoCellAnchor>
  <xdr:twoCellAnchor>
    <xdr:from>
      <xdr:col>6</xdr:col>
      <xdr:colOff>724008</xdr:colOff>
      <xdr:row>0</xdr:row>
      <xdr:rowOff>0</xdr:rowOff>
    </xdr:from>
    <xdr:to>
      <xdr:col>7</xdr:col>
      <xdr:colOff>381999</xdr:colOff>
      <xdr:row>0</xdr:row>
      <xdr:rowOff>579821</xdr:rowOff>
    </xdr:to>
    <xdr:sp macro="[0]!gotoWACC" textlink="">
      <xdr:nvSpPr>
        <xdr:cNvPr id="19" name="Rectangle 724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6050952" y="0"/>
          <a:ext cx="815103" cy="579821"/>
        </a:xfrm>
        <a:prstGeom prst="rect">
          <a:avLst/>
        </a:prstGeom>
        <a:noFill/>
        <a:ln w="9525" algn="ctr">
          <a:solidFill>
            <a:schemeClr val="bg1">
              <a:lumMod val="50000"/>
            </a:schemeClr>
          </a:solidFill>
          <a:miter lim="800000"/>
          <a:headEnd/>
          <a:tailEnd/>
        </a:ln>
        <a:effectLst/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altLang="ko-KR" sz="1000" b="1" i="0" u="none" strike="noStrike" kern="0" cap="none" spc="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WACC</a:t>
          </a:r>
        </a:p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chemeClr val="bg1">
                  <a:lumMod val="65000"/>
                </a:schemeClr>
              </a:solidFill>
              <a:effectLst/>
              <a:uLnTx/>
              <a:uFillTx/>
              <a:latin typeface="맑은 고딕"/>
              <a:ea typeface="맑은 고딕"/>
            </a:rPr>
            <a:t>추정데이터</a:t>
          </a:r>
        </a:p>
      </xdr:txBody>
    </xdr:sp>
    <xdr:clientData/>
  </xdr:twoCellAnchor>
  <xdr:twoCellAnchor>
    <xdr:from>
      <xdr:col>7</xdr:col>
      <xdr:colOff>378285</xdr:colOff>
      <xdr:row>0</xdr:row>
      <xdr:rowOff>0</xdr:rowOff>
    </xdr:from>
    <xdr:to>
      <xdr:col>8</xdr:col>
      <xdr:colOff>36277</xdr:colOff>
      <xdr:row>0</xdr:row>
      <xdr:rowOff>579821</xdr:rowOff>
    </xdr:to>
    <xdr:sp macro="[0]!Rectangle724_Click" textlink="">
      <xdr:nvSpPr>
        <xdr:cNvPr id="20" name="Rectangle 724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6862341" y="0"/>
          <a:ext cx="815103" cy="5798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00" mc:Ignorable="a14" a14:legacySpreadsheetColorIndex="50"/>
        </a:solidFill>
        <a:ln w="9525" algn="ctr">
          <a:noFill/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7432" rIns="27432" bIns="27432" anchor="ctr" upright="1"/>
        <a:lstStyle/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altLang="ko-K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rPr>
            <a:t>FCFF</a:t>
          </a:r>
        </a:p>
        <a:p>
          <a:pPr marL="0" marR="0" lvl="0" indent="0" algn="ctr" defTabSz="914400" rtl="0" eaLnBrk="1" fontAlgn="auto" latinLnBrk="0" hangingPunct="1">
            <a:lnSpc>
              <a:spcPts val="15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ko-KR" altLang="en-US" sz="1000" b="1" i="0" u="none" strike="noStrike" kern="0" cap="none" spc="-10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맑은 고딕"/>
              <a:ea typeface="맑은 고딕"/>
            </a:rPr>
            <a:t>영업권계산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6:B8"/>
  <sheetViews>
    <sheetView showRowColHeaders="0" tabSelected="1" workbookViewId="0">
      <selection activeCell="A4" sqref="A4"/>
    </sheetView>
  </sheetViews>
  <sheetFormatPr defaultColWidth="8.7109375" defaultRowHeight="13.5" x14ac:dyDescent="0.25"/>
  <cols>
    <col min="1" max="16384" width="8.7109375" style="1"/>
  </cols>
  <sheetData>
    <row r="6" spans="2:2" x14ac:dyDescent="0.25">
      <c r="B6" s="1" t="s">
        <v>117</v>
      </c>
    </row>
    <row r="8" spans="2:2" x14ac:dyDescent="0.25">
      <c r="B8" s="1" t="s">
        <v>118</v>
      </c>
    </row>
  </sheetData>
  <sheetProtection password="CCFD" sheet="1" objects="1" scenarios="1" selectLockedCell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B1:AX48"/>
  <sheetViews>
    <sheetView showRowColHeaders="0" zoomScaleNormal="100" workbookViewId="0">
      <pane ySplit="5" topLeftCell="A6" activePane="bottomLeft" state="frozen"/>
      <selection activeCell="V7" sqref="V7"/>
      <selection pane="bottomLeft" activeCell="D11" sqref="D11:E11"/>
    </sheetView>
  </sheetViews>
  <sheetFormatPr defaultColWidth="9.28515625" defaultRowHeight="13.5" x14ac:dyDescent="0.25"/>
  <cols>
    <col min="1" max="1" width="4.7109375" style="29" customWidth="1"/>
    <col min="2" max="2" width="8.5703125" style="29" customWidth="1"/>
    <col min="3" max="3" width="14.7109375" style="29" customWidth="1"/>
    <col min="4" max="8" width="14.5703125" style="29" customWidth="1"/>
    <col min="9" max="9" width="10.28515625" style="29" customWidth="1"/>
    <col min="10" max="10" width="2.28515625" style="29" customWidth="1"/>
    <col min="11" max="11" width="9.28515625" style="59" customWidth="1"/>
    <col min="12" max="19" width="0" style="29" hidden="1" customWidth="1"/>
    <col min="20" max="21" width="9.28515625" style="29"/>
    <col min="22" max="22" width="9.28515625" style="29" hidden="1" customWidth="1"/>
    <col min="23" max="16384" width="9.28515625" style="29"/>
  </cols>
  <sheetData>
    <row r="1" spans="2:50" ht="56.65" customHeight="1" x14ac:dyDescent="0.25"/>
    <row r="2" spans="2:50" ht="23.25" customHeight="1" x14ac:dyDescent="0.25">
      <c r="F2" s="30"/>
      <c r="V2" s="29" t="b">
        <v>0</v>
      </c>
    </row>
    <row r="3" spans="2:50" ht="42" customHeight="1" x14ac:dyDescent="0.25"/>
    <row r="4" spans="2:50" ht="10.5" customHeight="1" x14ac:dyDescent="0.25"/>
    <row r="5" spans="2:50" ht="19.5" customHeight="1" x14ac:dyDescent="0.25">
      <c r="B5" s="195" t="s">
        <v>89</v>
      </c>
      <c r="C5" s="195"/>
      <c r="D5" s="196" t="s">
        <v>156</v>
      </c>
      <c r="E5" s="196"/>
      <c r="F5" s="31" t="s">
        <v>90</v>
      </c>
      <c r="G5" s="197">
        <v>44887.498564814814</v>
      </c>
      <c r="H5" s="198"/>
      <c r="I5" s="31" t="s">
        <v>152</v>
      </c>
      <c r="J5" s="32"/>
      <c r="K5" s="172" t="str">
        <f>V5</f>
        <v>엄태오</v>
      </c>
      <c r="V5" s="173" t="s">
        <v>161</v>
      </c>
    </row>
    <row r="6" spans="2:50" ht="9.6" customHeight="1" thickBot="1" x14ac:dyDescent="0.3"/>
    <row r="7" spans="2:50" ht="58.5" customHeight="1" thickBot="1" x14ac:dyDescent="0.3">
      <c r="B7" s="188" t="s">
        <v>106</v>
      </c>
      <c r="C7" s="189"/>
      <c r="D7" s="189"/>
      <c r="E7" s="189"/>
      <c r="F7" s="189"/>
      <c r="G7" s="189"/>
      <c r="H7" s="189"/>
      <c r="I7" s="190"/>
      <c r="J7" s="33"/>
      <c r="K7" s="29"/>
      <c r="V7" s="29">
        <v>1</v>
      </c>
    </row>
    <row r="8" spans="2:50" ht="23.25" customHeight="1" x14ac:dyDescent="0.25">
      <c r="K8" s="29"/>
    </row>
    <row r="9" spans="2:50" ht="22.15" customHeight="1" thickBot="1" x14ac:dyDescent="0.3">
      <c r="B9" s="34"/>
      <c r="C9" s="34"/>
      <c r="D9" s="34"/>
      <c r="E9" s="34"/>
      <c r="F9" s="34"/>
      <c r="G9" s="34"/>
      <c r="H9" s="34"/>
      <c r="I9" s="34"/>
      <c r="K9" s="29"/>
    </row>
    <row r="10" spans="2:50" ht="25.5" customHeight="1" x14ac:dyDescent="0.25">
      <c r="B10" s="34"/>
      <c r="C10" s="71" t="s">
        <v>52</v>
      </c>
      <c r="D10" s="191" t="s">
        <v>159</v>
      </c>
      <c r="E10" s="192"/>
      <c r="F10" s="34"/>
      <c r="G10" s="34"/>
      <c r="H10" s="34"/>
      <c r="I10" s="34"/>
      <c r="K10" s="70">
        <f>DATE(YEAR(평가기준일)-1,12,31)</f>
        <v>44196</v>
      </c>
      <c r="L10" s="176"/>
      <c r="M10" s="176"/>
      <c r="N10" s="176"/>
      <c r="O10" s="176"/>
      <c r="P10" s="176"/>
      <c r="Q10" s="176"/>
      <c r="R10" s="176"/>
      <c r="S10" s="176"/>
      <c r="T10" s="176">
        <f ca="1">YEAR(TODAY())-2</f>
        <v>2021</v>
      </c>
      <c r="U10" s="176">
        <f ca="1">YEAR(TODAY())-1</f>
        <v>2022</v>
      </c>
    </row>
    <row r="11" spans="2:50" ht="28.5" customHeight="1" thickBot="1" x14ac:dyDescent="0.3">
      <c r="B11" s="34"/>
      <c r="C11" s="71" t="s">
        <v>55</v>
      </c>
      <c r="D11" s="193">
        <v>44561</v>
      </c>
      <c r="E11" s="194"/>
      <c r="F11" s="34"/>
      <c r="G11" s="34"/>
      <c r="H11" s="34"/>
      <c r="I11" s="34"/>
      <c r="K11" s="176">
        <f>IF(평가기준일=K10,12,12-MONTH(평가기준일))</f>
        <v>0</v>
      </c>
      <c r="L11" s="176"/>
      <c r="M11" s="176"/>
      <c r="N11" s="176"/>
      <c r="O11" s="176"/>
      <c r="P11" s="176"/>
      <c r="Q11" s="176"/>
      <c r="R11" s="176"/>
      <c r="S11" s="176"/>
      <c r="T11" s="176"/>
      <c r="U11" s="176"/>
    </row>
    <row r="12" spans="2:50" ht="20.65" customHeight="1" x14ac:dyDescent="0.25">
      <c r="B12" s="34"/>
      <c r="C12" s="35"/>
      <c r="D12" s="36"/>
      <c r="E12" s="37"/>
      <c r="F12" s="34"/>
      <c r="G12" s="34"/>
      <c r="H12" s="34"/>
      <c r="I12" s="34"/>
      <c r="K12" s="70">
        <f>DATE(YEAR(평가기준일),12,31)</f>
        <v>44561</v>
      </c>
      <c r="L12" s="177"/>
      <c r="M12" s="177"/>
      <c r="N12" s="177"/>
      <c r="O12" s="177"/>
      <c r="P12" s="177"/>
      <c r="Q12" s="177"/>
      <c r="R12" s="177"/>
      <c r="S12" s="176"/>
      <c r="T12" s="176"/>
      <c r="U12" s="176"/>
      <c r="AM12" s="38"/>
      <c r="AN12" s="38"/>
      <c r="AO12" s="38"/>
      <c r="AP12" s="38"/>
      <c r="AQ12" s="38"/>
      <c r="AT12" s="38"/>
      <c r="AU12" s="38"/>
      <c r="AV12" s="38"/>
      <c r="AW12" s="38"/>
      <c r="AX12" s="38"/>
    </row>
    <row r="13" spans="2:50" ht="10.5" customHeight="1" x14ac:dyDescent="0.25">
      <c r="K13" s="29"/>
      <c r="L13" s="38"/>
      <c r="M13" s="38"/>
      <c r="N13" s="38"/>
      <c r="O13" s="38"/>
      <c r="P13" s="38"/>
      <c r="Q13" s="38"/>
      <c r="R13" s="38"/>
      <c r="AM13" s="38"/>
      <c r="AN13" s="38"/>
      <c r="AO13" s="38"/>
      <c r="AP13" s="38"/>
      <c r="AQ13" s="38"/>
      <c r="AT13" s="38"/>
      <c r="AU13" s="38"/>
      <c r="AV13" s="38"/>
      <c r="AW13" s="38"/>
      <c r="AX13" s="38"/>
    </row>
    <row r="14" spans="2:50" ht="11.25" customHeight="1" x14ac:dyDescent="0.25">
      <c r="B14" s="34"/>
      <c r="C14" s="34"/>
      <c r="D14" s="34"/>
      <c r="E14" s="34"/>
      <c r="F14" s="34"/>
      <c r="G14" s="34"/>
      <c r="H14" s="34"/>
      <c r="I14" s="34"/>
      <c r="K14" s="29"/>
      <c r="AM14" s="38"/>
      <c r="AN14" s="38"/>
      <c r="AO14" s="38"/>
      <c r="AP14" s="38"/>
      <c r="AQ14" s="38"/>
      <c r="AT14" s="38"/>
      <c r="AU14" s="38"/>
      <c r="AV14" s="38"/>
      <c r="AW14" s="38"/>
      <c r="AX14" s="38"/>
    </row>
    <row r="15" spans="2:50" ht="16.5" customHeight="1" x14ac:dyDescent="0.25">
      <c r="B15" s="34"/>
      <c r="C15" s="34"/>
      <c r="D15" s="34"/>
      <c r="E15" s="34"/>
      <c r="F15" s="34"/>
      <c r="G15" s="34"/>
      <c r="H15" s="72" t="s">
        <v>50</v>
      </c>
      <c r="I15" s="34"/>
      <c r="K15" s="29"/>
      <c r="AM15" s="38"/>
      <c r="AN15" s="38"/>
      <c r="AO15" s="38"/>
      <c r="AP15" s="38"/>
      <c r="AQ15" s="38"/>
      <c r="AT15" s="38"/>
      <c r="AU15" s="38"/>
      <c r="AV15" s="38"/>
      <c r="AW15" s="38"/>
      <c r="AX15" s="38"/>
    </row>
    <row r="16" spans="2:50" ht="28.5" customHeight="1" x14ac:dyDescent="0.25">
      <c r="B16" s="34"/>
      <c r="C16" s="73" t="s">
        <v>11</v>
      </c>
      <c r="D16" s="73">
        <f>IF(H16=0,0,H16-4)</f>
        <v>2017</v>
      </c>
      <c r="E16" s="73">
        <f>IF(H16=0,0,H16-3)</f>
        <v>2018</v>
      </c>
      <c r="F16" s="73">
        <f>IF(H16=0,0,H16-2)</f>
        <v>2019</v>
      </c>
      <c r="G16" s="73">
        <f>IF($H$16=0,0,H16-1)</f>
        <v>2020</v>
      </c>
      <c r="H16" s="73">
        <f>IF(평가기준일&lt;K12,YEAR(평가기준일)-1,YEAR(평가기준일))</f>
        <v>2021</v>
      </c>
      <c r="I16" s="34"/>
      <c r="AM16" s="38"/>
      <c r="AN16" s="38"/>
      <c r="AO16" s="38"/>
      <c r="AP16" s="38"/>
      <c r="AQ16" s="38"/>
      <c r="AT16" s="38"/>
      <c r="AU16" s="38"/>
      <c r="AV16" s="38"/>
      <c r="AW16" s="38"/>
      <c r="AX16" s="38"/>
    </row>
    <row r="17" spans="2:50" ht="33.75" customHeight="1" x14ac:dyDescent="0.25">
      <c r="B17" s="34"/>
      <c r="C17" s="74" t="s">
        <v>78</v>
      </c>
      <c r="D17" s="75">
        <v>61686</v>
      </c>
      <c r="E17" s="75">
        <v>751829.23899999994</v>
      </c>
      <c r="F17" s="75">
        <v>1321540.155</v>
      </c>
      <c r="G17" s="75">
        <v>1414522.0160000001</v>
      </c>
      <c r="H17" s="75">
        <v>1824116.287</v>
      </c>
      <c r="I17" s="34"/>
      <c r="AM17" s="38"/>
      <c r="AN17" s="38"/>
      <c r="AO17" s="38"/>
      <c r="AP17" s="38"/>
      <c r="AQ17" s="38"/>
      <c r="AT17" s="38"/>
      <c r="AU17" s="38"/>
      <c r="AV17" s="38"/>
      <c r="AW17" s="38"/>
      <c r="AX17" s="38"/>
    </row>
    <row r="18" spans="2:50" ht="33.75" customHeight="1" x14ac:dyDescent="0.25">
      <c r="B18" s="34"/>
      <c r="C18" s="74" t="s">
        <v>76</v>
      </c>
      <c r="D18" s="76">
        <v>32095.635999999999</v>
      </c>
      <c r="E18" s="76">
        <v>430182.36900000001</v>
      </c>
      <c r="F18" s="75">
        <v>1146044.1310000001</v>
      </c>
      <c r="G18" s="75">
        <v>1394465.5349999999</v>
      </c>
      <c r="H18" s="75">
        <v>1133719.8799999999</v>
      </c>
      <c r="I18" s="34"/>
      <c r="AM18" s="38"/>
      <c r="AN18" s="38"/>
      <c r="AO18" s="38"/>
      <c r="AP18" s="38"/>
      <c r="AQ18" s="38"/>
      <c r="AT18" s="38"/>
      <c r="AU18" s="38"/>
      <c r="AV18" s="38"/>
      <c r="AW18" s="38"/>
      <c r="AX18" s="38"/>
    </row>
    <row r="19" spans="2:50" ht="33.75" customHeight="1" x14ac:dyDescent="0.25">
      <c r="B19" s="34"/>
      <c r="C19" s="74" t="s">
        <v>77</v>
      </c>
      <c r="D19" s="76">
        <v>22091.66</v>
      </c>
      <c r="E19" s="76">
        <v>265042.57</v>
      </c>
      <c r="F19" s="75">
        <v>368497.967</v>
      </c>
      <c r="G19" s="75">
        <v>207041.495</v>
      </c>
      <c r="H19" s="75">
        <v>187706.894</v>
      </c>
      <c r="I19" s="34"/>
      <c r="AM19" s="38"/>
      <c r="AN19" s="38"/>
      <c r="AO19" s="38"/>
      <c r="AP19" s="38"/>
      <c r="AQ19" s="38"/>
      <c r="AT19" s="38"/>
      <c r="AU19" s="38"/>
      <c r="AV19" s="38"/>
      <c r="AW19" s="38"/>
      <c r="AX19" s="38"/>
    </row>
    <row r="20" spans="2:50" ht="33.75" customHeight="1" x14ac:dyDescent="0.25">
      <c r="B20" s="34"/>
      <c r="C20" s="74" t="s">
        <v>56</v>
      </c>
      <c r="D20" s="76"/>
      <c r="E20" s="76">
        <v>6189.9750000000004</v>
      </c>
      <c r="F20" s="75">
        <v>3398.2959999999998</v>
      </c>
      <c r="G20" s="75">
        <v>3364.3910000000001</v>
      </c>
      <c r="H20" s="75">
        <v>4938.2889999999998</v>
      </c>
      <c r="I20" s="34"/>
      <c r="AM20" s="38"/>
      <c r="AN20" s="38"/>
      <c r="AO20" s="38"/>
      <c r="AP20" s="38"/>
      <c r="AQ20" s="38"/>
      <c r="AT20" s="38"/>
      <c r="AU20" s="38"/>
      <c r="AV20" s="38"/>
      <c r="AW20" s="38"/>
      <c r="AX20" s="38"/>
    </row>
    <row r="21" spans="2:50" ht="33.75" customHeight="1" x14ac:dyDescent="0.25">
      <c r="B21" s="34"/>
      <c r="C21" s="77" t="s">
        <v>99</v>
      </c>
      <c r="D21" s="76"/>
      <c r="E21" s="76">
        <v>56604.3</v>
      </c>
      <c r="F21" s="76">
        <v>136998.057</v>
      </c>
      <c r="G21" s="76">
        <v>173014.986</v>
      </c>
      <c r="H21" s="76">
        <v>202689.51300000001</v>
      </c>
      <c r="I21" s="34"/>
      <c r="AM21" s="38"/>
      <c r="AN21" s="38"/>
      <c r="AO21" s="38"/>
      <c r="AP21" s="38"/>
      <c r="AQ21" s="38"/>
      <c r="AT21" s="38"/>
      <c r="AU21" s="38"/>
      <c r="AV21" s="38"/>
      <c r="AW21" s="38"/>
      <c r="AX21" s="38"/>
    </row>
    <row r="22" spans="2:50" ht="20.25" customHeight="1" x14ac:dyDescent="0.25">
      <c r="B22" s="34"/>
      <c r="C22" s="34"/>
      <c r="D22" s="34"/>
      <c r="E22" s="34"/>
      <c r="F22" s="34"/>
      <c r="G22" s="34"/>
      <c r="H22" s="34"/>
      <c r="I22" s="34"/>
      <c r="AM22" s="38"/>
      <c r="AN22" s="38"/>
      <c r="AO22" s="38"/>
      <c r="AP22" s="38"/>
      <c r="AQ22" s="38"/>
      <c r="AT22" s="38"/>
      <c r="AU22" s="38"/>
      <c r="AV22" s="38"/>
      <c r="AW22" s="38"/>
      <c r="AX22" s="38"/>
    </row>
    <row r="23" spans="2:50" ht="27.6" customHeight="1" x14ac:dyDescent="0.25">
      <c r="B23" s="34"/>
      <c r="C23" s="73" t="s">
        <v>11</v>
      </c>
      <c r="D23" s="199">
        <f>H16</f>
        <v>2021</v>
      </c>
      <c r="E23" s="199"/>
      <c r="F23" s="37"/>
      <c r="G23" s="37"/>
      <c r="H23" s="34"/>
      <c r="I23" s="34"/>
      <c r="AM23" s="38"/>
      <c r="AN23" s="38"/>
      <c r="AO23" s="38"/>
      <c r="AP23" s="38"/>
      <c r="AQ23" s="38"/>
      <c r="AT23" s="38"/>
      <c r="AU23" s="38"/>
      <c r="AV23" s="38"/>
      <c r="AW23" s="38"/>
      <c r="AX23" s="38"/>
    </row>
    <row r="24" spans="2:50" ht="32.1" customHeight="1" x14ac:dyDescent="0.25">
      <c r="B24" s="34"/>
      <c r="C24" s="74" t="s">
        <v>103</v>
      </c>
      <c r="D24" s="200">
        <v>369850.51899999997</v>
      </c>
      <c r="E24" s="200"/>
      <c r="F24" s="39"/>
      <c r="G24" s="39"/>
      <c r="H24" s="34"/>
      <c r="I24" s="34"/>
      <c r="AM24" s="38"/>
      <c r="AN24" s="38"/>
      <c r="AO24" s="38"/>
      <c r="AP24" s="38"/>
      <c r="AQ24" s="38"/>
      <c r="AT24" s="38"/>
      <c r="AU24" s="38"/>
      <c r="AV24" s="38"/>
      <c r="AW24" s="38"/>
      <c r="AX24" s="38"/>
    </row>
    <row r="25" spans="2:50" ht="32.1" customHeight="1" x14ac:dyDescent="0.25">
      <c r="B25" s="34"/>
      <c r="C25" s="74" t="s">
        <v>105</v>
      </c>
      <c r="D25" s="200">
        <v>10283.41</v>
      </c>
      <c r="E25" s="200"/>
      <c r="F25" s="39"/>
      <c r="G25" s="39"/>
      <c r="H25" s="34"/>
      <c r="I25" s="34"/>
      <c r="AM25" s="38"/>
      <c r="AN25" s="38"/>
      <c r="AO25" s="38"/>
      <c r="AP25" s="38"/>
      <c r="AQ25" s="38"/>
      <c r="AT25" s="38"/>
      <c r="AU25" s="38"/>
      <c r="AV25" s="38"/>
      <c r="AW25" s="38"/>
      <c r="AX25" s="38"/>
    </row>
    <row r="26" spans="2:50" ht="32.1" hidden="1" customHeight="1" x14ac:dyDescent="0.25">
      <c r="B26" s="34"/>
      <c r="C26" s="77" t="s">
        <v>107</v>
      </c>
      <c r="D26" s="201"/>
      <c r="E26" s="202"/>
      <c r="F26" s="39"/>
      <c r="G26" s="39"/>
      <c r="H26" s="34"/>
      <c r="I26" s="34"/>
      <c r="AM26" s="38"/>
      <c r="AN26" s="38"/>
      <c r="AO26" s="38"/>
      <c r="AP26" s="38"/>
      <c r="AQ26" s="38"/>
      <c r="AT26" s="38"/>
      <c r="AU26" s="38"/>
      <c r="AV26" s="38"/>
      <c r="AW26" s="38"/>
      <c r="AX26" s="38"/>
    </row>
    <row r="27" spans="2:50" ht="32.1" customHeight="1" x14ac:dyDescent="0.25">
      <c r="B27" s="34"/>
      <c r="C27" s="74" t="s">
        <v>160</v>
      </c>
      <c r="D27" s="200"/>
      <c r="E27" s="200"/>
      <c r="F27" s="39"/>
      <c r="G27" s="39"/>
      <c r="H27" s="34"/>
      <c r="I27" s="34"/>
      <c r="AM27" s="38"/>
      <c r="AN27" s="38"/>
      <c r="AO27" s="38"/>
      <c r="AP27" s="38"/>
      <c r="AQ27" s="38"/>
      <c r="AT27" s="38"/>
      <c r="AU27" s="38"/>
      <c r="AV27" s="38"/>
      <c r="AW27" s="38"/>
      <c r="AX27" s="38"/>
    </row>
    <row r="28" spans="2:50" ht="20.25" customHeight="1" thickBot="1" x14ac:dyDescent="0.3">
      <c r="B28" s="34"/>
      <c r="C28" s="34"/>
      <c r="D28" s="34"/>
      <c r="E28" s="34"/>
      <c r="F28" s="34"/>
      <c r="G28" s="34"/>
      <c r="H28" s="34"/>
      <c r="I28" s="34"/>
      <c r="AM28" s="38"/>
      <c r="AN28" s="38"/>
      <c r="AO28" s="38"/>
      <c r="AP28" s="38"/>
      <c r="AQ28" s="38"/>
      <c r="AT28" s="38"/>
      <c r="AU28" s="38"/>
      <c r="AV28" s="38"/>
      <c r="AW28" s="38"/>
      <c r="AX28" s="38"/>
    </row>
    <row r="29" spans="2:50" ht="31.15" customHeight="1" thickBot="1" x14ac:dyDescent="0.3">
      <c r="B29" s="34"/>
      <c r="C29" s="186" t="s">
        <v>97</v>
      </c>
      <c r="D29" s="187"/>
      <c r="E29" s="78">
        <v>3</v>
      </c>
      <c r="F29" s="40" t="s">
        <v>96</v>
      </c>
      <c r="G29" s="34"/>
      <c r="H29" s="34"/>
      <c r="I29" s="34"/>
      <c r="AM29" s="38"/>
      <c r="AN29" s="38"/>
      <c r="AO29" s="38"/>
      <c r="AP29" s="38"/>
      <c r="AQ29" s="38"/>
      <c r="AT29" s="38"/>
      <c r="AU29" s="38"/>
      <c r="AV29" s="38"/>
      <c r="AW29" s="38"/>
      <c r="AX29" s="38"/>
    </row>
    <row r="30" spans="2:50" ht="20.25" customHeight="1" x14ac:dyDescent="0.25">
      <c r="B30" s="34"/>
      <c r="C30" s="41"/>
      <c r="D30" s="42"/>
      <c r="E30" s="34"/>
      <c r="F30" s="34"/>
      <c r="G30" s="34"/>
      <c r="H30" s="34"/>
      <c r="I30" s="34"/>
      <c r="AM30" s="38"/>
      <c r="AN30" s="38"/>
      <c r="AO30" s="38"/>
      <c r="AP30" s="38"/>
      <c r="AQ30" s="38"/>
      <c r="AT30" s="38"/>
      <c r="AU30" s="38"/>
      <c r="AV30" s="38"/>
      <c r="AW30" s="38"/>
      <c r="AX30" s="38"/>
    </row>
    <row r="31" spans="2:50" ht="20.25" customHeight="1" x14ac:dyDescent="0.25">
      <c r="B31" s="34"/>
      <c r="C31" s="73" t="s">
        <v>11</v>
      </c>
      <c r="D31" s="73">
        <f>D16</f>
        <v>2017</v>
      </c>
      <c r="E31" s="73">
        <f t="shared" ref="E31:H31" si="0">E16</f>
        <v>2018</v>
      </c>
      <c r="F31" s="73">
        <f t="shared" si="0"/>
        <v>2019</v>
      </c>
      <c r="G31" s="73">
        <f t="shared" si="0"/>
        <v>2020</v>
      </c>
      <c r="H31" s="73">
        <f t="shared" si="0"/>
        <v>2021</v>
      </c>
      <c r="I31" s="34"/>
      <c r="AM31" s="38"/>
      <c r="AN31" s="38"/>
      <c r="AO31" s="38"/>
      <c r="AP31" s="38"/>
      <c r="AQ31" s="38"/>
      <c r="AT31" s="38"/>
      <c r="AU31" s="38"/>
      <c r="AV31" s="38"/>
      <c r="AW31" s="38"/>
      <c r="AX31" s="38"/>
    </row>
    <row r="32" spans="2:50" ht="20.25" customHeight="1" x14ac:dyDescent="0.25">
      <c r="B32" s="34"/>
      <c r="C32" s="79" t="s">
        <v>101</v>
      </c>
      <c r="D32" s="80"/>
      <c r="E32" s="80">
        <f>IF(D17=0,0,E17/D17-1)</f>
        <v>11.188004393217261</v>
      </c>
      <c r="F32" s="80">
        <f t="shared" ref="F32:H32" si="1">IF(E17=0,0,F17/E17-1)</f>
        <v>0.75776637359537458</v>
      </c>
      <c r="G32" s="80">
        <f t="shared" si="1"/>
        <v>7.0358710363969346E-2</v>
      </c>
      <c r="H32" s="80">
        <f t="shared" si="1"/>
        <v>0.28956372991510926</v>
      </c>
      <c r="I32" s="34"/>
      <c r="AM32" s="38"/>
      <c r="AN32" s="38"/>
      <c r="AO32" s="38"/>
      <c r="AP32" s="38"/>
      <c r="AQ32" s="38"/>
      <c r="AT32" s="38"/>
      <c r="AU32" s="38"/>
      <c r="AV32" s="38"/>
      <c r="AW32" s="38"/>
      <c r="AX32" s="38"/>
    </row>
    <row r="33" spans="2:50" ht="20.25" customHeight="1" x14ac:dyDescent="0.25">
      <c r="B33" s="34"/>
      <c r="C33" s="79" t="s">
        <v>100</v>
      </c>
      <c r="D33" s="80">
        <f>IFERROR(data7/data3,0)</f>
        <v>0</v>
      </c>
      <c r="E33" s="80">
        <f>IFERROR(data12/data8,0)</f>
        <v>7.5288771789839906E-2</v>
      </c>
      <c r="F33" s="80">
        <f>IFERROR(data17/data13,0)</f>
        <v>0.1036654516184565</v>
      </c>
      <c r="G33" s="80">
        <f>IFERROR(data22/data18,0)</f>
        <v>0.12231339211619595</v>
      </c>
      <c r="H33" s="80">
        <f>IFERROR(data27/data23,0)</f>
        <v>0.11111655240650785</v>
      </c>
      <c r="I33" s="34"/>
      <c r="AM33" s="38"/>
      <c r="AN33" s="38"/>
      <c r="AO33" s="38"/>
      <c r="AP33" s="38"/>
      <c r="AQ33" s="38"/>
      <c r="AT33" s="38"/>
      <c r="AU33" s="38"/>
      <c r="AV33" s="38"/>
      <c r="AW33" s="38"/>
      <c r="AX33" s="38"/>
    </row>
    <row r="34" spans="2:50" ht="37.5" customHeight="1" x14ac:dyDescent="0.25">
      <c r="B34" s="34"/>
      <c r="C34" s="34"/>
      <c r="D34" s="34"/>
      <c r="E34" s="34"/>
      <c r="F34" s="34"/>
      <c r="G34" s="34"/>
      <c r="H34" s="34"/>
      <c r="I34" s="34"/>
      <c r="AM34" s="38"/>
      <c r="AN34" s="38"/>
      <c r="AO34" s="38"/>
      <c r="AP34" s="38"/>
      <c r="AQ34" s="38"/>
      <c r="AT34" s="38"/>
      <c r="AU34" s="38"/>
      <c r="AV34" s="38"/>
      <c r="AW34" s="38"/>
      <c r="AX34" s="38"/>
    </row>
    <row r="35" spans="2:50" ht="20.25" customHeight="1" x14ac:dyDescent="0.25">
      <c r="B35" s="43" t="s">
        <v>108</v>
      </c>
      <c r="AM35" s="38"/>
      <c r="AN35" s="38"/>
      <c r="AO35" s="38"/>
      <c r="AP35" s="38"/>
      <c r="AQ35" s="38"/>
      <c r="AT35" s="38"/>
      <c r="AU35" s="38"/>
      <c r="AV35" s="38"/>
      <c r="AW35" s="38"/>
      <c r="AX35" s="38"/>
    </row>
    <row r="36" spans="2:50" x14ac:dyDescent="0.25">
      <c r="AM36" s="38"/>
      <c r="AN36" s="38"/>
      <c r="AO36" s="38"/>
      <c r="AP36" s="38"/>
      <c r="AQ36" s="38"/>
      <c r="AT36" s="38"/>
      <c r="AU36" s="38"/>
      <c r="AV36" s="38"/>
      <c r="AW36" s="38"/>
      <c r="AX36" s="38"/>
    </row>
    <row r="37" spans="2:50" x14ac:dyDescent="0.25">
      <c r="AM37" s="38"/>
      <c r="AN37" s="38"/>
      <c r="AO37" s="38"/>
      <c r="AP37" s="38"/>
      <c r="AQ37" s="38"/>
      <c r="AT37" s="38"/>
      <c r="AU37" s="38"/>
      <c r="AV37" s="38"/>
      <c r="AW37" s="38"/>
      <c r="AX37" s="38"/>
    </row>
    <row r="38" spans="2:50" x14ac:dyDescent="0.25">
      <c r="AM38" s="38"/>
      <c r="AN38" s="38"/>
      <c r="AO38" s="38"/>
      <c r="AP38" s="38"/>
      <c r="AQ38" s="38"/>
      <c r="AT38" s="38"/>
      <c r="AU38" s="38"/>
      <c r="AV38" s="38"/>
      <c r="AW38" s="38"/>
      <c r="AX38" s="38"/>
    </row>
    <row r="39" spans="2:50" x14ac:dyDescent="0.25">
      <c r="AM39" s="38"/>
      <c r="AN39" s="38"/>
      <c r="AO39" s="38"/>
      <c r="AP39" s="38"/>
      <c r="AQ39" s="38"/>
      <c r="AT39" s="38"/>
      <c r="AU39" s="38"/>
      <c r="AV39" s="38"/>
      <c r="AW39" s="38"/>
      <c r="AX39" s="38"/>
    </row>
    <row r="40" spans="2:50" x14ac:dyDescent="0.25">
      <c r="AM40" s="38"/>
      <c r="AN40" s="38"/>
      <c r="AO40" s="38"/>
      <c r="AP40" s="38"/>
      <c r="AQ40" s="38"/>
      <c r="AT40" s="38"/>
      <c r="AU40" s="38"/>
      <c r="AV40" s="38"/>
      <c r="AW40" s="38"/>
      <c r="AX40" s="38"/>
    </row>
    <row r="41" spans="2:50" x14ac:dyDescent="0.25">
      <c r="AM41" s="38"/>
      <c r="AN41" s="38"/>
      <c r="AO41" s="38"/>
      <c r="AP41" s="38"/>
      <c r="AQ41" s="38"/>
      <c r="AT41" s="38"/>
      <c r="AU41" s="38"/>
      <c r="AV41" s="38"/>
      <c r="AW41" s="38"/>
      <c r="AX41" s="38"/>
    </row>
    <row r="42" spans="2:50" x14ac:dyDescent="0.25">
      <c r="AM42" s="38"/>
      <c r="AN42" s="38"/>
      <c r="AO42" s="38"/>
      <c r="AP42" s="38"/>
      <c r="AQ42" s="38"/>
      <c r="AT42" s="38"/>
      <c r="AU42" s="38"/>
      <c r="AV42" s="38"/>
      <c r="AW42" s="38"/>
      <c r="AX42" s="38"/>
    </row>
    <row r="43" spans="2:50" x14ac:dyDescent="0.25">
      <c r="AM43" s="38"/>
      <c r="AN43" s="38"/>
      <c r="AO43" s="38"/>
      <c r="AP43" s="38"/>
      <c r="AQ43" s="38"/>
    </row>
    <row r="44" spans="2:50" x14ac:dyDescent="0.25">
      <c r="AM44" s="38"/>
      <c r="AN44" s="38"/>
      <c r="AO44" s="38"/>
      <c r="AP44" s="38"/>
      <c r="AQ44" s="38"/>
    </row>
    <row r="45" spans="2:50" x14ac:dyDescent="0.25">
      <c r="AM45" s="38"/>
      <c r="AN45" s="38"/>
      <c r="AO45" s="38"/>
      <c r="AP45" s="38"/>
      <c r="AQ45" s="38"/>
    </row>
    <row r="46" spans="2:50" x14ac:dyDescent="0.25">
      <c r="AM46" s="38"/>
      <c r="AN46" s="38"/>
      <c r="AO46" s="38"/>
      <c r="AP46" s="38"/>
      <c r="AQ46" s="38"/>
    </row>
    <row r="47" spans="2:50" x14ac:dyDescent="0.25">
      <c r="AM47" s="38"/>
      <c r="AN47" s="38"/>
      <c r="AO47" s="38"/>
      <c r="AP47" s="38"/>
      <c r="AQ47" s="38"/>
    </row>
    <row r="48" spans="2:50" x14ac:dyDescent="0.25">
      <c r="AM48" s="38"/>
      <c r="AN48" s="38"/>
      <c r="AO48" s="38"/>
      <c r="AP48" s="38"/>
      <c r="AQ48" s="38"/>
    </row>
  </sheetData>
  <sheetProtection algorithmName="SHA-512" hashValue="mesYPzQL3dlCw05V9YD7jxe1EHk6492R6fToFQ0CYYcuaTPs8nc7WogpluefRUbtf0yQOmlTwP6D/pgLHnGU9w==" saltValue="17yrgC3IuMGmjJZveCJFhw==" spinCount="100000" sheet="1" objects="1" scenarios="1" selectLockedCells="1"/>
  <mergeCells count="12">
    <mergeCell ref="C29:D29"/>
    <mergeCell ref="B7:I7"/>
    <mergeCell ref="D10:E10"/>
    <mergeCell ref="D11:E11"/>
    <mergeCell ref="B5:C5"/>
    <mergeCell ref="D5:E5"/>
    <mergeCell ref="G5:H5"/>
    <mergeCell ref="D23:E23"/>
    <mergeCell ref="D24:E24"/>
    <mergeCell ref="D25:E25"/>
    <mergeCell ref="D27:E27"/>
    <mergeCell ref="D26:E26"/>
  </mergeCells>
  <phoneticPr fontId="2" type="noConversion"/>
  <conditionalFormatting sqref="E32:H33">
    <cfRule type="cellIs" dxfId="26" priority="7" operator="equal">
      <formula>0</formula>
    </cfRule>
  </conditionalFormatting>
  <conditionalFormatting sqref="D32:H33">
    <cfRule type="cellIs" dxfId="25" priority="5" operator="equal">
      <formula>0</formula>
    </cfRule>
    <cfRule type="cellIs" dxfId="24" priority="6" operator="equal">
      <formula>0</formula>
    </cfRule>
  </conditionalFormatting>
  <conditionalFormatting sqref="D16:H16">
    <cfRule type="cellIs" dxfId="23" priority="4" operator="equal">
      <formula>0</formula>
    </cfRule>
  </conditionalFormatting>
  <conditionalFormatting sqref="D23:E23">
    <cfRule type="cellIs" dxfId="22" priority="3" operator="equal">
      <formula>0</formula>
    </cfRule>
  </conditionalFormatting>
  <conditionalFormatting sqref="D31:H31">
    <cfRule type="cellIs" dxfId="21" priority="2" operator="equal">
      <formula>0</formula>
    </cfRule>
  </conditionalFormatting>
  <conditionalFormatting sqref="K5">
    <cfRule type="cellIs" dxfId="20" priority="1" operator="equal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83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H9"/>
  <sheetViews>
    <sheetView showRowColHeaders="0" zoomScale="85" zoomScaleNormal="85" workbookViewId="0">
      <selection activeCell="B6" sqref="B6"/>
    </sheetView>
  </sheetViews>
  <sheetFormatPr defaultColWidth="8.7109375" defaultRowHeight="13.5" x14ac:dyDescent="0.25"/>
  <cols>
    <col min="1" max="1" width="8.7109375" style="184"/>
    <col min="2" max="2" width="11.7109375" style="184" customWidth="1"/>
    <col min="3" max="3" width="23.7109375" style="183" bestFit="1" customWidth="1"/>
    <col min="4" max="4" width="8.7109375" style="184"/>
    <col min="5" max="5" width="11.7109375" style="184" bestFit="1" customWidth="1"/>
    <col min="6" max="16384" width="8.7109375" style="184"/>
  </cols>
  <sheetData>
    <row r="1" spans="2:34" s="57" customFormat="1" x14ac:dyDescent="0.25">
      <c r="B1" s="64" t="s">
        <v>102</v>
      </c>
      <c r="C1" s="60"/>
    </row>
    <row r="2" spans="2:34" s="57" customFormat="1" x14ac:dyDescent="0.25">
      <c r="B2" s="61">
        <v>33</v>
      </c>
      <c r="C2" s="60"/>
    </row>
    <row r="3" spans="2:34" s="57" customFormat="1" x14ac:dyDescent="0.25">
      <c r="C3" s="60"/>
    </row>
    <row r="4" spans="2:34" s="57" customFormat="1" x14ac:dyDescent="0.25">
      <c r="B4" s="61">
        <v>1</v>
      </c>
      <c r="C4" s="62">
        <v>2</v>
      </c>
      <c r="D4" s="61">
        <v>3</v>
      </c>
      <c r="E4" s="62">
        <v>4</v>
      </c>
      <c r="F4" s="61">
        <v>5</v>
      </c>
      <c r="G4" s="62">
        <v>6</v>
      </c>
      <c r="H4" s="61">
        <v>7</v>
      </c>
      <c r="I4" s="62">
        <v>8</v>
      </c>
      <c r="J4" s="61">
        <v>9</v>
      </c>
      <c r="K4" s="62">
        <v>10</v>
      </c>
      <c r="L4" s="61">
        <v>11</v>
      </c>
      <c r="M4" s="62">
        <v>12</v>
      </c>
      <c r="N4" s="61">
        <v>13</v>
      </c>
      <c r="O4" s="62">
        <v>14</v>
      </c>
      <c r="P4" s="61">
        <v>15</v>
      </c>
      <c r="Q4" s="62">
        <v>16</v>
      </c>
      <c r="R4" s="61">
        <v>17</v>
      </c>
      <c r="S4" s="62">
        <v>18</v>
      </c>
      <c r="T4" s="61">
        <v>19</v>
      </c>
      <c r="U4" s="62">
        <v>20</v>
      </c>
      <c r="V4" s="61">
        <v>21</v>
      </c>
      <c r="W4" s="62">
        <v>22</v>
      </c>
      <c r="X4" s="61">
        <v>23</v>
      </c>
      <c r="Y4" s="62">
        <v>24</v>
      </c>
      <c r="Z4" s="61">
        <v>25</v>
      </c>
      <c r="AA4" s="62">
        <v>26</v>
      </c>
      <c r="AB4" s="61">
        <v>27</v>
      </c>
      <c r="AC4" s="62">
        <v>28</v>
      </c>
      <c r="AD4" s="61">
        <v>29</v>
      </c>
      <c r="AE4" s="62">
        <v>30</v>
      </c>
      <c r="AF4" s="61">
        <v>31</v>
      </c>
      <c r="AG4" s="62">
        <v>32</v>
      </c>
      <c r="AH4" s="61">
        <v>33</v>
      </c>
    </row>
    <row r="5" spans="2:34" s="57" customFormat="1" x14ac:dyDescent="0.25">
      <c r="B5" s="57" t="s">
        <v>126</v>
      </c>
      <c r="C5" s="60">
        <v>42447.87060185185</v>
      </c>
      <c r="D5" s="57" t="s">
        <v>127</v>
      </c>
      <c r="E5" s="63">
        <v>42308</v>
      </c>
      <c r="K5" s="57">
        <v>3889736</v>
      </c>
      <c r="L5" s="57">
        <v>1749899</v>
      </c>
      <c r="M5" s="57">
        <v>1332510</v>
      </c>
      <c r="N5" s="57">
        <v>48196</v>
      </c>
      <c r="O5" s="57">
        <v>807000</v>
      </c>
      <c r="P5" s="57">
        <v>4619289</v>
      </c>
      <c r="Q5" s="57">
        <v>2451585</v>
      </c>
      <c r="R5" s="57">
        <v>1336693</v>
      </c>
      <c r="S5" s="57">
        <v>45273</v>
      </c>
      <c r="T5" s="57">
        <v>831000</v>
      </c>
      <c r="U5" s="57">
        <v>6092995</v>
      </c>
      <c r="V5" s="57">
        <v>3421064</v>
      </c>
      <c r="W5" s="57">
        <v>1589266</v>
      </c>
      <c r="X5" s="57">
        <v>68406</v>
      </c>
      <c r="Y5" s="57">
        <v>1083000</v>
      </c>
      <c r="Z5" s="57">
        <v>5045596</v>
      </c>
      <c r="AA5" s="57">
        <v>3255487</v>
      </c>
      <c r="AB5" s="57">
        <v>1248103</v>
      </c>
      <c r="AC5" s="57">
        <v>74430</v>
      </c>
      <c r="AD5" s="57">
        <v>542000</v>
      </c>
      <c r="AE5" s="57">
        <v>2096000</v>
      </c>
      <c r="AF5" s="57">
        <v>249000</v>
      </c>
      <c r="AH5" s="57">
        <v>3</v>
      </c>
    </row>
    <row r="6" spans="2:34" s="57" customFormat="1" x14ac:dyDescent="0.25">
      <c r="B6" s="57" t="s">
        <v>156</v>
      </c>
      <c r="C6" s="60">
        <v>44887.498564814814</v>
      </c>
      <c r="D6" s="57" t="s">
        <v>159</v>
      </c>
      <c r="E6" s="63">
        <v>44561</v>
      </c>
      <c r="F6" s="57">
        <v>61686</v>
      </c>
      <c r="G6" s="57">
        <v>32095.635999999999</v>
      </c>
      <c r="H6" s="57">
        <v>22091.66</v>
      </c>
      <c r="K6" s="57">
        <v>751829.23899999994</v>
      </c>
      <c r="L6" s="57">
        <v>430182.36900000001</v>
      </c>
      <c r="M6" s="57">
        <v>265042.57</v>
      </c>
      <c r="N6" s="57">
        <v>6189.9750000000004</v>
      </c>
      <c r="O6" s="57">
        <v>56604.3</v>
      </c>
      <c r="P6" s="57">
        <v>1321540.155</v>
      </c>
      <c r="Q6" s="57">
        <v>1146044.1310000001</v>
      </c>
      <c r="R6" s="57">
        <v>368497.967</v>
      </c>
      <c r="S6" s="57">
        <v>3398.2959999999998</v>
      </c>
      <c r="T6" s="57">
        <v>136998.057</v>
      </c>
      <c r="U6" s="57">
        <v>1414522.0160000001</v>
      </c>
      <c r="V6" s="57">
        <v>1394465.5349999999</v>
      </c>
      <c r="W6" s="57">
        <v>207041.495</v>
      </c>
      <c r="X6" s="57">
        <v>3364.3910000000001</v>
      </c>
      <c r="Y6" s="57">
        <v>173014.986</v>
      </c>
      <c r="Z6" s="57">
        <v>1824116.287</v>
      </c>
      <c r="AA6" s="57">
        <v>1133719.8799999999</v>
      </c>
      <c r="AB6" s="57">
        <v>187706.894</v>
      </c>
      <c r="AC6" s="57">
        <v>4938.2889999999998</v>
      </c>
      <c r="AD6" s="57">
        <v>202689.51300000001</v>
      </c>
      <c r="AE6" s="57">
        <v>369850.51899999997</v>
      </c>
      <c r="AF6" s="57">
        <v>10283.41</v>
      </c>
      <c r="AH6" s="57">
        <v>3</v>
      </c>
    </row>
    <row r="7" spans="2:34" x14ac:dyDescent="0.25">
      <c r="E7" s="185"/>
    </row>
    <row r="8" spans="2:34" x14ac:dyDescent="0.25">
      <c r="E8" s="185"/>
    </row>
    <row r="9" spans="2:34" x14ac:dyDescent="0.25">
      <c r="E9" s="185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B1:AX44"/>
  <sheetViews>
    <sheetView showRowColHeaders="0" zoomScale="90" zoomScaleNormal="90" workbookViewId="0">
      <pane ySplit="5" topLeftCell="A21" activePane="bottomLeft" state="frozen"/>
      <selection activeCell="D10" sqref="D10:E10"/>
      <selection pane="bottomLeft" activeCell="B5" sqref="B5:I5"/>
    </sheetView>
  </sheetViews>
  <sheetFormatPr defaultColWidth="9.28515625" defaultRowHeight="13.5" x14ac:dyDescent="0.25"/>
  <cols>
    <col min="1" max="1" width="4.28515625" style="29" customWidth="1"/>
    <col min="2" max="2" width="3.28515625" style="29" customWidth="1"/>
    <col min="3" max="8" width="18.7109375" style="29" customWidth="1"/>
    <col min="9" max="9" width="4.28515625" style="29" customWidth="1"/>
    <col min="10" max="10" width="3.7109375" style="29" customWidth="1"/>
    <col min="11" max="11" width="9.28515625" style="29" customWidth="1"/>
    <col min="12" max="13" width="9.28515625" style="29" hidden="1" customWidth="1"/>
    <col min="14" max="14" width="2" style="29" hidden="1" customWidth="1"/>
    <col min="15" max="18" width="0" style="29" hidden="1" customWidth="1"/>
    <col min="19" max="16384" width="9.28515625" style="29"/>
  </cols>
  <sheetData>
    <row r="1" spans="2:50" ht="31.5" customHeight="1" x14ac:dyDescent="0.25"/>
    <row r="2" spans="2:50" ht="31.5" customHeight="1" x14ac:dyDescent="0.25"/>
    <row r="3" spans="2:50" ht="55.15" customHeight="1" x14ac:dyDescent="0.25"/>
    <row r="4" spans="2:50" ht="18" customHeight="1" thickBot="1" x14ac:dyDescent="0.3"/>
    <row r="5" spans="2:50" ht="90" customHeight="1" thickBot="1" x14ac:dyDescent="0.3">
      <c r="B5" s="203" t="s">
        <v>98</v>
      </c>
      <c r="C5" s="204"/>
      <c r="D5" s="204"/>
      <c r="E5" s="204"/>
      <c r="F5" s="204"/>
      <c r="G5" s="204"/>
      <c r="H5" s="204"/>
      <c r="I5" s="205"/>
    </row>
    <row r="6" spans="2:50" ht="43.5" customHeight="1" thickBot="1" x14ac:dyDescent="0.3">
      <c r="C6" s="44"/>
      <c r="D6" s="45"/>
      <c r="E6" s="45"/>
      <c r="F6" s="45"/>
      <c r="G6" s="45"/>
      <c r="H6" s="45"/>
    </row>
    <row r="7" spans="2:50" ht="35.1" customHeight="1" x14ac:dyDescent="0.25">
      <c r="B7" s="221" t="s">
        <v>52</v>
      </c>
      <c r="C7" s="222"/>
      <c r="D7" s="223" t="str">
        <f>평가대상</f>
        <v>㈜ABC컴퍼니</v>
      </c>
      <c r="E7" s="223"/>
      <c r="F7" s="223"/>
      <c r="G7" s="223"/>
      <c r="H7" s="223"/>
      <c r="I7" s="224"/>
    </row>
    <row r="8" spans="2:50" ht="35.1" customHeight="1" x14ac:dyDescent="0.25">
      <c r="B8" s="231" t="s">
        <v>53</v>
      </c>
      <c r="C8" s="232"/>
      <c r="D8" s="225" t="s">
        <v>91</v>
      </c>
      <c r="E8" s="225"/>
      <c r="F8" s="225"/>
      <c r="G8" s="225"/>
      <c r="H8" s="225"/>
      <c r="I8" s="226"/>
    </row>
    <row r="9" spans="2:50" ht="35.1" customHeight="1" x14ac:dyDescent="0.25">
      <c r="B9" s="231" t="s">
        <v>55</v>
      </c>
      <c r="C9" s="232"/>
      <c r="D9" s="227">
        <f>IF(D7=0,"",평가기준일)</f>
        <v>44561</v>
      </c>
      <c r="E9" s="227"/>
      <c r="F9" s="227"/>
      <c r="G9" s="227"/>
      <c r="H9" s="227"/>
      <c r="I9" s="228"/>
    </row>
    <row r="10" spans="2:50" ht="35.1" customHeight="1" thickBot="1" x14ac:dyDescent="0.3">
      <c r="B10" s="233" t="s">
        <v>54</v>
      </c>
      <c r="C10" s="234"/>
      <c r="D10" s="229" t="s">
        <v>0</v>
      </c>
      <c r="E10" s="229"/>
      <c r="F10" s="229"/>
      <c r="G10" s="229"/>
      <c r="H10" s="229"/>
      <c r="I10" s="230"/>
    </row>
    <row r="11" spans="2:50" ht="33.6" customHeight="1" x14ac:dyDescent="0.25">
      <c r="L11" s="38"/>
      <c r="M11" s="38"/>
      <c r="N11" s="38"/>
      <c r="O11" s="38"/>
      <c r="P11" s="38"/>
      <c r="Q11" s="38"/>
      <c r="R11" s="38"/>
      <c r="AT11" s="38"/>
      <c r="AU11" s="38"/>
      <c r="AV11" s="38"/>
      <c r="AW11" s="38"/>
      <c r="AX11" s="38"/>
    </row>
    <row r="12" spans="2:50" ht="16.5" customHeight="1" x14ac:dyDescent="0.25">
      <c r="C12" s="206" t="s">
        <v>109</v>
      </c>
      <c r="D12" s="206"/>
      <c r="E12" s="81"/>
      <c r="F12" s="81"/>
      <c r="G12" s="81"/>
      <c r="H12" s="81"/>
      <c r="L12" s="38"/>
      <c r="M12" s="38"/>
      <c r="N12" s="38"/>
      <c r="O12" s="38"/>
      <c r="P12" s="38"/>
      <c r="Q12" s="38"/>
      <c r="R12" s="38"/>
      <c r="AT12" s="38"/>
      <c r="AU12" s="38"/>
      <c r="AV12" s="38"/>
      <c r="AW12" s="38"/>
      <c r="AX12" s="38"/>
    </row>
    <row r="13" spans="2:50" ht="16.5" customHeight="1" thickBot="1" x14ac:dyDescent="0.3">
      <c r="C13" s="207"/>
      <c r="D13" s="207"/>
      <c r="E13" s="82"/>
      <c r="F13" s="82"/>
      <c r="G13" s="82"/>
      <c r="H13" s="83" t="s">
        <v>50</v>
      </c>
      <c r="AT13" s="38"/>
      <c r="AU13" s="38"/>
      <c r="AV13" s="38"/>
      <c r="AW13" s="38"/>
      <c r="AX13" s="38"/>
    </row>
    <row r="14" spans="2:50" ht="51" customHeight="1" x14ac:dyDescent="0.25">
      <c r="C14" s="208" t="s">
        <v>1</v>
      </c>
      <c r="D14" s="209"/>
      <c r="E14" s="209" t="s">
        <v>2</v>
      </c>
      <c r="F14" s="209"/>
      <c r="G14" s="209" t="s">
        <v>3</v>
      </c>
      <c r="H14" s="215"/>
      <c r="AT14" s="38"/>
      <c r="AU14" s="38"/>
      <c r="AV14" s="38"/>
      <c r="AW14" s="38"/>
      <c r="AX14" s="38"/>
    </row>
    <row r="15" spans="2:50" ht="51" customHeight="1" thickBot="1" x14ac:dyDescent="0.3">
      <c r="C15" s="213">
        <f>IFERROR(MAX('FCFF&amp;영업권계산'!H35,'FCFF&amp;영업권계산'!I35),"")</f>
        <v>486313.50242677995</v>
      </c>
      <c r="D15" s="214"/>
      <c r="E15" s="214">
        <f>IFERROR(MAX('FCFF&amp;영업권계산'!H36,'FCFF&amp;영업권계산'!I36),"")</f>
        <v>531441.92104314396</v>
      </c>
      <c r="F15" s="214"/>
      <c r="G15" s="214">
        <f>IFERROR(MAX('FCFF&amp;영업권계산'!H37,'FCFF&amp;영업권계산'!I37),"")</f>
        <v>1017755.4234699239</v>
      </c>
      <c r="H15" s="216"/>
      <c r="AT15" s="38"/>
      <c r="AU15" s="38"/>
      <c r="AV15" s="38"/>
      <c r="AW15" s="38"/>
      <c r="AX15" s="38"/>
    </row>
    <row r="16" spans="2:50" ht="28.15" customHeight="1" x14ac:dyDescent="0.25">
      <c r="AT16" s="38"/>
      <c r="AU16" s="38"/>
      <c r="AV16" s="38"/>
      <c r="AW16" s="38"/>
      <c r="AX16" s="38"/>
    </row>
    <row r="17" spans="3:50" ht="20.25" customHeight="1" x14ac:dyDescent="0.25">
      <c r="C17" s="206" t="s">
        <v>110</v>
      </c>
      <c r="D17" s="206"/>
      <c r="E17" s="81"/>
      <c r="F17" s="81"/>
      <c r="G17" s="81"/>
      <c r="H17" s="81"/>
      <c r="AT17" s="38"/>
      <c r="AU17" s="38"/>
      <c r="AV17" s="38"/>
      <c r="AW17" s="38"/>
      <c r="AX17" s="38"/>
    </row>
    <row r="18" spans="3:50" ht="16.5" customHeight="1" thickBot="1" x14ac:dyDescent="0.3">
      <c r="C18" s="207"/>
      <c r="D18" s="207"/>
      <c r="E18" s="82"/>
      <c r="F18" s="82"/>
      <c r="G18" s="82"/>
      <c r="H18" s="83"/>
      <c r="AT18" s="38"/>
      <c r="AU18" s="38"/>
      <c r="AV18" s="38"/>
      <c r="AW18" s="38"/>
      <c r="AX18" s="38"/>
    </row>
    <row r="19" spans="3:50" ht="53.1" customHeight="1" x14ac:dyDescent="0.25">
      <c r="C19" s="208" t="s">
        <v>51</v>
      </c>
      <c r="D19" s="209"/>
      <c r="E19" s="210" t="s">
        <v>133</v>
      </c>
      <c r="F19" s="209"/>
      <c r="G19" s="211" t="s">
        <v>88</v>
      </c>
      <c r="H19" s="212"/>
      <c r="AT19" s="38"/>
      <c r="AU19" s="38"/>
      <c r="AV19" s="38"/>
      <c r="AW19" s="38"/>
      <c r="AX19" s="38"/>
    </row>
    <row r="20" spans="3:50" ht="42.6" customHeight="1" thickBot="1" x14ac:dyDescent="0.3">
      <c r="C20" s="217">
        <f>IFERROR(MAX('FCFF&amp;영업권계산'!H37,'FCFF&amp;영업권계산'!I37),"")/100000</f>
        <v>10.177554234699238</v>
      </c>
      <c r="D20" s="218"/>
      <c r="E20" s="218">
        <f>IF(C20="","",MAX('FCFF&amp;영업권계산'!H38,'FCFF&amp;영업권계산'!I38))/100000</f>
        <v>3.5956710900000002</v>
      </c>
      <c r="F20" s="218"/>
      <c r="G20" s="219">
        <f>IF(C20="","",C20-E20)</f>
        <v>6.5818831446992387</v>
      </c>
      <c r="H20" s="220"/>
      <c r="AT20" s="38"/>
      <c r="AU20" s="38"/>
      <c r="AV20" s="38"/>
      <c r="AW20" s="38"/>
      <c r="AX20" s="38"/>
    </row>
    <row r="21" spans="3:50" ht="33" customHeight="1" x14ac:dyDescent="0.25">
      <c r="C21" s="46"/>
      <c r="D21" s="46"/>
      <c r="E21" s="46"/>
      <c r="F21" s="46"/>
      <c r="G21" s="47"/>
      <c r="H21" s="47"/>
      <c r="AT21" s="38"/>
      <c r="AU21" s="38"/>
      <c r="AV21" s="38"/>
      <c r="AW21" s="38"/>
      <c r="AX21" s="38"/>
    </row>
    <row r="22" spans="3:50" ht="34.5" customHeight="1" x14ac:dyDescent="0.25">
      <c r="AT22" s="38"/>
      <c r="AU22" s="38"/>
      <c r="AV22" s="38"/>
      <c r="AW22" s="38"/>
      <c r="AX22" s="38"/>
    </row>
    <row r="23" spans="3:50" ht="28.5" customHeight="1" x14ac:dyDescent="0.25">
      <c r="C23" s="48"/>
      <c r="AT23" s="38"/>
      <c r="AU23" s="38"/>
      <c r="AV23" s="38"/>
      <c r="AW23" s="38"/>
      <c r="AX23" s="38"/>
    </row>
    <row r="24" spans="3:50" x14ac:dyDescent="0.25">
      <c r="C24" s="49"/>
      <c r="AT24" s="38"/>
      <c r="AU24" s="38"/>
      <c r="AV24" s="38"/>
      <c r="AW24" s="38"/>
      <c r="AX24" s="38"/>
    </row>
    <row r="25" spans="3:50" ht="39" customHeight="1" x14ac:dyDescent="0.25">
      <c r="AT25" s="38"/>
      <c r="AU25" s="38"/>
      <c r="AV25" s="38"/>
      <c r="AW25" s="38"/>
      <c r="AX25" s="38"/>
    </row>
    <row r="26" spans="3:50" x14ac:dyDescent="0.25">
      <c r="AT26" s="38"/>
      <c r="AU26" s="38"/>
      <c r="AV26" s="38"/>
      <c r="AW26" s="38"/>
      <c r="AX26" s="38"/>
    </row>
    <row r="27" spans="3:50" x14ac:dyDescent="0.25">
      <c r="AT27" s="38"/>
      <c r="AU27" s="38"/>
      <c r="AV27" s="38"/>
      <c r="AW27" s="38"/>
      <c r="AX27" s="38"/>
    </row>
    <row r="28" spans="3:50" ht="25.5" customHeight="1" x14ac:dyDescent="0.25">
      <c r="C28" s="84" t="s">
        <v>7</v>
      </c>
      <c r="D28" s="85"/>
      <c r="E28" s="85"/>
      <c r="F28" s="43"/>
      <c r="G28" s="43"/>
      <c r="AT28" s="38"/>
      <c r="AU28" s="38"/>
      <c r="AV28" s="38"/>
      <c r="AW28" s="38"/>
      <c r="AX28" s="38"/>
    </row>
    <row r="29" spans="3:50" ht="25.5" customHeight="1" x14ac:dyDescent="0.25">
      <c r="C29" s="84" t="s">
        <v>8</v>
      </c>
      <c r="D29" s="85"/>
      <c r="E29" s="85"/>
      <c r="F29" s="43"/>
      <c r="G29" s="43"/>
      <c r="AT29" s="38"/>
      <c r="AU29" s="38"/>
      <c r="AV29" s="38"/>
      <c r="AW29" s="38"/>
      <c r="AX29" s="38"/>
    </row>
    <row r="30" spans="3:50" ht="25.5" customHeight="1" x14ac:dyDescent="0.25">
      <c r="C30" s="84" t="s">
        <v>9</v>
      </c>
      <c r="D30" s="85"/>
      <c r="E30" s="85"/>
      <c r="F30" s="43"/>
      <c r="G30" s="43"/>
      <c r="AT30" s="38"/>
      <c r="AU30" s="38"/>
      <c r="AV30" s="38"/>
      <c r="AW30" s="38"/>
      <c r="AX30" s="38"/>
    </row>
    <row r="31" spans="3:50" ht="25.5" customHeight="1" x14ac:dyDescent="0.25">
      <c r="C31" s="84" t="s">
        <v>153</v>
      </c>
      <c r="D31" s="85"/>
      <c r="E31" s="85"/>
      <c r="F31" s="43"/>
      <c r="G31" s="43"/>
      <c r="AT31" s="38"/>
      <c r="AU31" s="38"/>
      <c r="AV31" s="38"/>
      <c r="AW31" s="38"/>
      <c r="AX31" s="38"/>
    </row>
    <row r="32" spans="3:50" ht="21.6" customHeight="1" x14ac:dyDescent="0.25">
      <c r="C32" s="81"/>
      <c r="D32" s="81"/>
      <c r="E32" s="81"/>
      <c r="AT32" s="38"/>
      <c r="AU32" s="38"/>
      <c r="AV32" s="38"/>
      <c r="AW32" s="38"/>
      <c r="AX32" s="38"/>
    </row>
    <row r="33" spans="3:50" s="49" customFormat="1" x14ac:dyDescent="0.25">
      <c r="C33" s="81" t="s">
        <v>4</v>
      </c>
      <c r="D33" s="81"/>
      <c r="E33" s="81"/>
      <c r="F33" s="29"/>
      <c r="AT33" s="50"/>
      <c r="AU33" s="50"/>
      <c r="AV33" s="50"/>
      <c r="AW33" s="50"/>
      <c r="AX33" s="50"/>
    </row>
    <row r="34" spans="3:50" s="49" customFormat="1" x14ac:dyDescent="0.25">
      <c r="C34" s="81" t="s">
        <v>63</v>
      </c>
      <c r="D34" s="81"/>
      <c r="E34" s="81"/>
      <c r="F34" s="29"/>
      <c r="AT34" s="50"/>
      <c r="AU34" s="50"/>
      <c r="AV34" s="50"/>
      <c r="AW34" s="50"/>
      <c r="AX34" s="50"/>
    </row>
    <row r="35" spans="3:50" s="49" customFormat="1" x14ac:dyDescent="0.25">
      <c r="C35" s="81" t="s">
        <v>5</v>
      </c>
      <c r="D35" s="81"/>
      <c r="E35" s="81"/>
      <c r="F35" s="29"/>
    </row>
    <row r="36" spans="3:50" s="49" customFormat="1" x14ac:dyDescent="0.25">
      <c r="C36" s="81" t="s">
        <v>6</v>
      </c>
      <c r="D36" s="81"/>
      <c r="E36" s="81"/>
      <c r="F36" s="29"/>
    </row>
    <row r="37" spans="3:50" s="49" customFormat="1" ht="4.5" customHeight="1" x14ac:dyDescent="0.25">
      <c r="C37" s="81"/>
      <c r="D37" s="81"/>
      <c r="E37" s="81"/>
      <c r="F37" s="29"/>
    </row>
    <row r="38" spans="3:50" s="49" customFormat="1" x14ac:dyDescent="0.25">
      <c r="C38" s="81" t="s">
        <v>64</v>
      </c>
      <c r="D38" s="81"/>
      <c r="E38" s="81"/>
      <c r="F38" s="29"/>
    </row>
    <row r="39" spans="3:50" x14ac:dyDescent="0.25">
      <c r="C39" s="81"/>
      <c r="D39" s="81"/>
      <c r="E39" s="81"/>
    </row>
    <row r="40" spans="3:50" ht="37.15" customHeight="1" x14ac:dyDescent="0.25"/>
    <row r="44" spans="3:50" x14ac:dyDescent="0.25">
      <c r="D44" s="86"/>
    </row>
  </sheetData>
  <sheetProtection password="CCFD" sheet="1" objects="1" scenarios="1" selectLockedCells="1"/>
  <mergeCells count="23">
    <mergeCell ref="C20:D20"/>
    <mergeCell ref="E20:F20"/>
    <mergeCell ref="G20:H20"/>
    <mergeCell ref="B7:C7"/>
    <mergeCell ref="D7:I7"/>
    <mergeCell ref="D8:I8"/>
    <mergeCell ref="D9:I9"/>
    <mergeCell ref="D10:I10"/>
    <mergeCell ref="B8:C8"/>
    <mergeCell ref="B9:C9"/>
    <mergeCell ref="B10:C10"/>
    <mergeCell ref="B5:I5"/>
    <mergeCell ref="C12:D13"/>
    <mergeCell ref="C17:D18"/>
    <mergeCell ref="C19:D19"/>
    <mergeCell ref="E19:F19"/>
    <mergeCell ref="G19:H19"/>
    <mergeCell ref="C14:D14"/>
    <mergeCell ref="C15:D15"/>
    <mergeCell ref="E15:F15"/>
    <mergeCell ref="G14:H14"/>
    <mergeCell ref="G15:H15"/>
    <mergeCell ref="E14:F14"/>
  </mergeCells>
  <phoneticPr fontId="2" type="noConversion"/>
  <conditionalFormatting sqref="D7:I7">
    <cfRule type="cellIs" dxfId="19" priority="4" operator="equal">
      <formula>0</formula>
    </cfRule>
  </conditionalFormatting>
  <conditionalFormatting sqref="C15:H15">
    <cfRule type="cellIs" dxfId="18" priority="3" operator="equal">
      <formula>0</formula>
    </cfRule>
  </conditionalFormatting>
  <conditionalFormatting sqref="C20:F20">
    <cfRule type="cellIs" dxfId="17" priority="2" operator="equal">
      <formula>0</formula>
    </cfRule>
  </conditionalFormatting>
  <conditionalFormatting sqref="G20:H20">
    <cfRule type="cellIs" dxfId="16" priority="1" operator="equal">
      <formula>0</formula>
    </cfRule>
  </conditionalFormatting>
  <pageMargins left="0.70866141732283472" right="0.70866141732283472" top="0.94488188976377963" bottom="0.74803149606299213" header="0.31496062992125984" footer="0.31496062992125984"/>
  <pageSetup paperSize="9" scale="7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B2:AL42"/>
  <sheetViews>
    <sheetView showRowColHeaders="0" zoomScale="90" zoomScaleNormal="90" workbookViewId="0">
      <pane ySplit="4" topLeftCell="A5" activePane="bottomLeft" state="frozen"/>
      <selection activeCell="B5" sqref="B5:I5"/>
      <selection pane="bottomLeft" activeCell="F14" sqref="F14"/>
    </sheetView>
  </sheetViews>
  <sheetFormatPr defaultColWidth="9.28515625" defaultRowHeight="13.5" x14ac:dyDescent="0.25"/>
  <cols>
    <col min="1" max="1" width="5.7109375" style="1" customWidth="1"/>
    <col min="2" max="7" width="18.7109375" style="1" customWidth="1"/>
    <col min="8" max="8" width="15.5703125" style="1" customWidth="1"/>
    <col min="9" max="10" width="9.28515625" style="1"/>
    <col min="11" max="11" width="9.28515625" style="58" hidden="1" customWidth="1"/>
    <col min="12" max="16384" width="9.28515625" style="1"/>
  </cols>
  <sheetData>
    <row r="2" spans="2:38" ht="40.5" customHeight="1" x14ac:dyDescent="0.25"/>
    <row r="3" spans="2:38" ht="43.5" customHeight="1" x14ac:dyDescent="0.25"/>
    <row r="4" spans="2:38" ht="27" customHeight="1" x14ac:dyDescent="0.25"/>
    <row r="5" spans="2:38" ht="10.15" customHeight="1" x14ac:dyDescent="0.25"/>
    <row r="6" spans="2:38" ht="55.15" customHeight="1" x14ac:dyDescent="0.25">
      <c r="B6" s="239" t="s">
        <v>79</v>
      </c>
      <c r="C6" s="239"/>
      <c r="D6" s="239"/>
      <c r="E6" s="239"/>
      <c r="F6" s="239"/>
      <c r="G6" s="239"/>
      <c r="H6" s="239"/>
    </row>
    <row r="7" spans="2:38" ht="17.25" customHeight="1" x14ac:dyDescent="0.25"/>
    <row r="8" spans="2:38" ht="30" customHeight="1" x14ac:dyDescent="0.25">
      <c r="B8" s="100" t="s">
        <v>10</v>
      </c>
      <c r="C8" s="81"/>
      <c r="D8" s="88"/>
      <c r="E8" s="88"/>
      <c r="F8" s="88"/>
      <c r="G8" s="81"/>
      <c r="H8" s="93" t="s">
        <v>12</v>
      </c>
    </row>
    <row r="9" spans="2:38" ht="20.25" customHeight="1" x14ac:dyDescent="0.25">
      <c r="B9" s="73" t="s">
        <v>11</v>
      </c>
      <c r="C9" s="73">
        <f>데이터입력!E16</f>
        <v>2018</v>
      </c>
      <c r="D9" s="73">
        <f>데이터입력!F16</f>
        <v>2019</v>
      </c>
      <c r="E9" s="73">
        <f>데이터입력!G16</f>
        <v>2020</v>
      </c>
      <c r="F9" s="162">
        <f>데이터입력!H16</f>
        <v>2021</v>
      </c>
      <c r="G9" s="162" t="s">
        <v>148</v>
      </c>
      <c r="H9" s="162" t="s">
        <v>116</v>
      </c>
    </row>
    <row r="10" spans="2:38" ht="20.25" customHeight="1" x14ac:dyDescent="0.25">
      <c r="B10" s="89" t="s">
        <v>120</v>
      </c>
      <c r="C10" s="90">
        <f>data8</f>
        <v>751829.23899999994</v>
      </c>
      <c r="D10" s="90">
        <f>data13</f>
        <v>1321540.155</v>
      </c>
      <c r="E10" s="90">
        <f>data18</f>
        <v>1414522.0160000001</v>
      </c>
      <c r="F10" s="168">
        <f>data23</f>
        <v>1824116.287</v>
      </c>
      <c r="G10" s="168">
        <f>(E10+F10)/2</f>
        <v>1619319.1515000002</v>
      </c>
      <c r="H10" s="168">
        <f>(D10+E10+F10)/3</f>
        <v>1520059.4860000003</v>
      </c>
    </row>
    <row r="11" spans="2:38" ht="20.25" customHeight="1" x14ac:dyDescent="0.25">
      <c r="B11" s="89" t="s">
        <v>92</v>
      </c>
      <c r="C11" s="91">
        <f>IF(C10=0,0,C10/data3-1)</f>
        <v>11.188004393217261</v>
      </c>
      <c r="D11" s="91">
        <f>IF(C10=0,0,D10/C10-1)</f>
        <v>0.75776637359537458</v>
      </c>
      <c r="E11" s="91">
        <f>IFERROR(E10/D10-1,0)</f>
        <v>7.0358710363969346E-2</v>
      </c>
      <c r="F11" s="167">
        <f>IFERROR(F10/E10-1,0)</f>
        <v>0.28956372991510926</v>
      </c>
      <c r="G11" s="167">
        <f>(E11+F11)/2</f>
        <v>0.1799612201395393</v>
      </c>
      <c r="H11" s="167">
        <f>(D11+E11+F11)/3</f>
        <v>0.37256293795815104</v>
      </c>
    </row>
    <row r="12" spans="2:38" ht="17.25" x14ac:dyDescent="0.25">
      <c r="B12" s="12"/>
      <c r="C12" s="12"/>
      <c r="D12" s="12"/>
      <c r="E12" s="12"/>
      <c r="F12" s="12"/>
      <c r="G12" s="12"/>
      <c r="AH12" s="26"/>
      <c r="AI12" s="26"/>
      <c r="AJ12" s="26"/>
      <c r="AK12" s="26"/>
      <c r="AL12" s="26"/>
    </row>
    <row r="13" spans="2:38" ht="30" customHeight="1" x14ac:dyDescent="0.25">
      <c r="B13" s="100" t="s">
        <v>13</v>
      </c>
      <c r="C13" s="88"/>
      <c r="D13" s="88"/>
      <c r="E13" s="88"/>
      <c r="F13" s="88"/>
      <c r="G13" s="12"/>
      <c r="K13" s="161">
        <f>F10</f>
        <v>1824116.287</v>
      </c>
      <c r="AH13" s="26"/>
      <c r="AI13" s="26"/>
      <c r="AJ13" s="26"/>
      <c r="AK13" s="26"/>
      <c r="AL13" s="26"/>
    </row>
    <row r="14" spans="2:38" ht="27.75" customHeight="1" x14ac:dyDescent="0.25">
      <c r="B14" s="235" t="s">
        <v>149</v>
      </c>
      <c r="C14" s="236"/>
      <c r="D14" s="236"/>
      <c r="E14" s="237"/>
      <c r="F14" s="159">
        <v>1824116.287</v>
      </c>
      <c r="G14" s="12"/>
      <c r="K14" s="161">
        <f>G10</f>
        <v>1619319.1515000002</v>
      </c>
      <c r="AH14" s="26"/>
      <c r="AI14" s="26"/>
      <c r="AJ14" s="26"/>
      <c r="AK14" s="26"/>
      <c r="AL14" s="26"/>
    </row>
    <row r="15" spans="2:38" ht="27.75" customHeight="1" x14ac:dyDescent="0.25">
      <c r="B15" s="235" t="s">
        <v>87</v>
      </c>
      <c r="C15" s="236"/>
      <c r="D15" s="236"/>
      <c r="E15" s="236"/>
      <c r="F15" s="92">
        <f>데이터입력!E29/100</f>
        <v>0.03</v>
      </c>
      <c r="G15" s="12"/>
      <c r="K15" s="161">
        <f>H10</f>
        <v>1520059.4860000003</v>
      </c>
      <c r="AH15" s="26"/>
      <c r="AI15" s="26"/>
      <c r="AJ15" s="26"/>
      <c r="AK15" s="26"/>
      <c r="AL15" s="26"/>
    </row>
    <row r="16" spans="2:38" ht="14.25" customHeight="1" x14ac:dyDescent="0.25">
      <c r="B16" s="13"/>
      <c r="C16" s="13"/>
      <c r="D16" s="13"/>
      <c r="E16" s="13"/>
      <c r="F16" s="14"/>
      <c r="G16" s="15"/>
      <c r="AH16" s="26"/>
      <c r="AI16" s="26"/>
      <c r="AJ16" s="26"/>
      <c r="AK16" s="26"/>
      <c r="AL16" s="26"/>
    </row>
    <row r="17" spans="2:38" ht="15.75" x14ac:dyDescent="0.25">
      <c r="B17" s="88"/>
      <c r="C17" s="88"/>
      <c r="D17" s="88"/>
      <c r="E17" s="88"/>
      <c r="F17" s="88"/>
      <c r="G17" s="81"/>
      <c r="H17" s="93" t="s">
        <v>12</v>
      </c>
      <c r="AH17" s="26"/>
      <c r="AI17" s="26"/>
      <c r="AJ17" s="26"/>
      <c r="AK17" s="26"/>
      <c r="AL17" s="26"/>
    </row>
    <row r="18" spans="2:38" ht="21" customHeight="1" x14ac:dyDescent="0.25">
      <c r="B18" s="73" t="s">
        <v>11</v>
      </c>
      <c r="C18" s="94">
        <f>F9+1</f>
        <v>2022</v>
      </c>
      <c r="D18" s="73">
        <f>C18+1</f>
        <v>2023</v>
      </c>
      <c r="E18" s="73">
        <f>D18+1</f>
        <v>2024</v>
      </c>
      <c r="F18" s="73">
        <f>E18+1</f>
        <v>2025</v>
      </c>
      <c r="G18" s="73">
        <f>F18+1</f>
        <v>2026</v>
      </c>
      <c r="H18" s="94">
        <f>G18+1</f>
        <v>2027</v>
      </c>
      <c r="AH18" s="26"/>
      <c r="AI18" s="26"/>
      <c r="AJ18" s="26"/>
      <c r="AK18" s="26"/>
      <c r="AL18" s="26"/>
    </row>
    <row r="19" spans="2:38" ht="21" customHeight="1" x14ac:dyDescent="0.25">
      <c r="B19" s="89" t="s">
        <v>142</v>
      </c>
      <c r="C19" s="90">
        <f>IF(잔존월수=0,기준매출액*(1+$C$20),기준매출액*(1+$C$20)*잔존월수/12)</f>
        <v>1878839.7756100001</v>
      </c>
      <c r="D19" s="90">
        <f>기준매출액*(1+$C$20)^2</f>
        <v>1935204.9688782999</v>
      </c>
      <c r="E19" s="90">
        <f t="shared" ref="E19:G19" si="0">D19*(1+$C$20)</f>
        <v>1993261.117944649</v>
      </c>
      <c r="F19" s="90">
        <f t="shared" si="0"/>
        <v>2053058.9514829884</v>
      </c>
      <c r="G19" s="90">
        <f t="shared" si="0"/>
        <v>2114650.7200274779</v>
      </c>
      <c r="H19" s="90">
        <f>IF(잔존월수=0,0,G19*(1+$C$20)*(12-잔존월수)/12)</f>
        <v>0</v>
      </c>
      <c r="AH19" s="26"/>
      <c r="AI19" s="26"/>
      <c r="AJ19" s="26"/>
      <c r="AK19" s="26"/>
      <c r="AL19" s="26"/>
    </row>
    <row r="20" spans="2:38" ht="21" customHeight="1" x14ac:dyDescent="0.25">
      <c r="B20" s="89" t="s">
        <v>92</v>
      </c>
      <c r="C20" s="95">
        <f t="shared" ref="C20:G20" si="1">매출액성장률</f>
        <v>0.03</v>
      </c>
      <c r="D20" s="95">
        <f t="shared" si="1"/>
        <v>0.03</v>
      </c>
      <c r="E20" s="95">
        <f t="shared" si="1"/>
        <v>0.03</v>
      </c>
      <c r="F20" s="95">
        <f t="shared" si="1"/>
        <v>0.03</v>
      </c>
      <c r="G20" s="95">
        <f t="shared" si="1"/>
        <v>0.03</v>
      </c>
      <c r="H20" s="95">
        <f>IF(H19=0,0,매출액성장률)</f>
        <v>0</v>
      </c>
      <c r="AH20" s="26"/>
      <c r="AI20" s="26"/>
      <c r="AJ20" s="26"/>
      <c r="AK20" s="26"/>
      <c r="AL20" s="26"/>
    </row>
    <row r="21" spans="2:38" x14ac:dyDescent="0.25">
      <c r="AH21" s="26"/>
      <c r="AI21" s="26"/>
      <c r="AJ21" s="26"/>
      <c r="AK21" s="26"/>
      <c r="AL21" s="26"/>
    </row>
    <row r="22" spans="2:38" x14ac:dyDescent="0.25">
      <c r="B22" s="81" t="s">
        <v>112</v>
      </c>
      <c r="C22" s="81"/>
      <c r="D22" s="81"/>
      <c r="E22" s="81"/>
      <c r="F22" s="81"/>
      <c r="G22" s="81"/>
      <c r="AH22" s="26"/>
      <c r="AI22" s="26"/>
      <c r="AJ22" s="26"/>
      <c r="AK22" s="26"/>
      <c r="AL22" s="26"/>
    </row>
    <row r="23" spans="2:38" x14ac:dyDescent="0.25">
      <c r="B23" s="81" t="s">
        <v>130</v>
      </c>
      <c r="C23" s="81"/>
      <c r="D23" s="81"/>
      <c r="E23" s="81"/>
      <c r="F23" s="81"/>
      <c r="G23" s="81"/>
      <c r="AH23" s="26"/>
      <c r="AI23" s="26"/>
      <c r="AJ23" s="26"/>
      <c r="AK23" s="26"/>
      <c r="AL23" s="26"/>
    </row>
    <row r="24" spans="2:38" x14ac:dyDescent="0.25">
      <c r="B24" s="81" t="s">
        <v>131</v>
      </c>
      <c r="C24" s="81"/>
      <c r="D24" s="81"/>
      <c r="E24" s="81"/>
      <c r="F24" s="81"/>
      <c r="G24" s="81"/>
      <c r="AH24" s="26"/>
      <c r="AI24" s="26"/>
      <c r="AJ24" s="26"/>
      <c r="AK24" s="26"/>
      <c r="AL24" s="26"/>
    </row>
    <row r="25" spans="2:38" ht="73.5" customHeight="1" x14ac:dyDescent="0.25">
      <c r="AH25" s="26"/>
      <c r="AI25" s="26"/>
      <c r="AJ25" s="26"/>
      <c r="AK25" s="26"/>
      <c r="AL25" s="26"/>
    </row>
    <row r="26" spans="2:38" ht="55.15" customHeight="1" x14ac:dyDescent="0.25">
      <c r="B26" s="99" t="s">
        <v>14</v>
      </c>
      <c r="C26" s="3"/>
      <c r="D26" s="3"/>
      <c r="E26" s="3"/>
      <c r="F26" s="3"/>
      <c r="G26" s="3"/>
      <c r="H26" s="3"/>
      <c r="AH26" s="26"/>
      <c r="AI26" s="26"/>
      <c r="AJ26" s="26"/>
      <c r="AK26" s="26"/>
      <c r="AL26" s="26"/>
    </row>
    <row r="27" spans="2:38" ht="24" customHeight="1" x14ac:dyDescent="0.25">
      <c r="AH27" s="26"/>
      <c r="AI27" s="26"/>
      <c r="AJ27" s="26"/>
      <c r="AK27" s="26"/>
      <c r="AL27" s="26"/>
    </row>
    <row r="28" spans="2:38" ht="30" customHeight="1" x14ac:dyDescent="0.25">
      <c r="B28" s="100" t="s">
        <v>15</v>
      </c>
      <c r="C28" s="81"/>
      <c r="D28" s="84"/>
      <c r="E28" s="81"/>
      <c r="F28" s="81"/>
      <c r="G28" s="81"/>
      <c r="H28" s="93" t="s">
        <v>12</v>
      </c>
      <c r="AH28" s="26"/>
      <c r="AI28" s="26"/>
      <c r="AJ28" s="26"/>
      <c r="AK28" s="26"/>
      <c r="AL28" s="26"/>
    </row>
    <row r="29" spans="2:38" ht="23.25" customHeight="1" x14ac:dyDescent="0.25">
      <c r="B29" s="73" t="s">
        <v>11</v>
      </c>
      <c r="C29" s="73">
        <f>D29-1</f>
        <v>2018</v>
      </c>
      <c r="D29" s="73">
        <f>E29-1</f>
        <v>2019</v>
      </c>
      <c r="E29" s="73">
        <f>F29-1</f>
        <v>2020</v>
      </c>
      <c r="F29" s="162">
        <f>F9</f>
        <v>2021</v>
      </c>
      <c r="G29" s="162" t="s">
        <v>148</v>
      </c>
      <c r="H29" s="162" t="s">
        <v>150</v>
      </c>
      <c r="AH29" s="26"/>
      <c r="AI29" s="26"/>
      <c r="AJ29" s="26"/>
      <c r="AK29" s="26"/>
      <c r="AL29" s="26"/>
    </row>
    <row r="30" spans="2:38" ht="23.25" customHeight="1" x14ac:dyDescent="0.25">
      <c r="B30" s="89" t="s">
        <v>119</v>
      </c>
      <c r="C30" s="97">
        <f>'매출액&amp;매출원가'!C10</f>
        <v>751829.23899999994</v>
      </c>
      <c r="D30" s="97">
        <f>'매출액&amp;매출원가'!D10</f>
        <v>1321540.155</v>
      </c>
      <c r="E30" s="97">
        <f>'매출액&amp;매출원가'!E10</f>
        <v>1414522.0160000001</v>
      </c>
      <c r="F30" s="97">
        <f>'매출액&amp;매출원가'!F10</f>
        <v>1824116.287</v>
      </c>
      <c r="G30" s="160">
        <f>(E30+F30)/2</f>
        <v>1619319.1515000002</v>
      </c>
      <c r="H30" s="160">
        <f>(D30+E30+F30)/3</f>
        <v>1520059.4860000003</v>
      </c>
      <c r="AH30" s="26"/>
      <c r="AI30" s="26"/>
      <c r="AJ30" s="26"/>
      <c r="AK30" s="26"/>
      <c r="AL30" s="26"/>
    </row>
    <row r="31" spans="2:38" ht="23.25" customHeight="1" x14ac:dyDescent="0.25">
      <c r="B31" s="89" t="s">
        <v>81</v>
      </c>
      <c r="C31" s="97">
        <f>데이터입력!E18</f>
        <v>430182.36900000001</v>
      </c>
      <c r="D31" s="97">
        <f>데이터입력!F18</f>
        <v>1146044.1310000001</v>
      </c>
      <c r="E31" s="97">
        <f>데이터입력!G18</f>
        <v>1394465.5349999999</v>
      </c>
      <c r="F31" s="169">
        <f>데이터입력!H18</f>
        <v>1133719.8799999999</v>
      </c>
      <c r="G31" s="170">
        <f>(E31+F31)/2</f>
        <v>1264092.7075</v>
      </c>
      <c r="H31" s="170">
        <f>(D31+E31+F31)/3</f>
        <v>1224743.182</v>
      </c>
      <c r="AH31" s="26"/>
      <c r="AI31" s="26"/>
      <c r="AJ31" s="26"/>
      <c r="AK31" s="26"/>
      <c r="AL31" s="26"/>
    </row>
    <row r="32" spans="2:38" ht="23.25" customHeight="1" x14ac:dyDescent="0.25">
      <c r="B32" s="89" t="s">
        <v>82</v>
      </c>
      <c r="C32" s="91">
        <f>IFERROR(C31/C30,0)</f>
        <v>0.57218095105237066</v>
      </c>
      <c r="D32" s="91">
        <f>IFERROR(D31/D30,0)</f>
        <v>0.86720341161332326</v>
      </c>
      <c r="E32" s="91">
        <f t="shared" ref="E32:F32" si="2">IFERROR(E31/E30,0)</f>
        <v>0.98582101885079454</v>
      </c>
      <c r="F32" s="167">
        <f t="shared" si="2"/>
        <v>0.62151732763953982</v>
      </c>
      <c r="G32" s="163">
        <f>IFERROR(G31/G30,0)</f>
        <v>0.78063222208485061</v>
      </c>
      <c r="H32" s="163">
        <f>IFERROR(H31/H30,0)</f>
        <v>0.80572056112282953</v>
      </c>
      <c r="AH32" s="26"/>
      <c r="AI32" s="26"/>
      <c r="AJ32" s="26"/>
      <c r="AK32" s="26"/>
      <c r="AL32" s="26"/>
    </row>
    <row r="33" spans="2:38" x14ac:dyDescent="0.25">
      <c r="B33" s="81" t="s">
        <v>111</v>
      </c>
      <c r="AH33" s="26"/>
      <c r="AI33" s="26"/>
      <c r="AJ33" s="26"/>
      <c r="AK33" s="26"/>
      <c r="AL33" s="26"/>
    </row>
    <row r="34" spans="2:38" ht="25.15" customHeight="1" x14ac:dyDescent="0.25">
      <c r="AH34" s="26"/>
      <c r="AI34" s="26"/>
      <c r="AJ34" s="26"/>
      <c r="AK34" s="26"/>
      <c r="AL34" s="26"/>
    </row>
    <row r="35" spans="2:38" ht="30" customHeight="1" x14ac:dyDescent="0.25">
      <c r="B35" s="100" t="s">
        <v>16</v>
      </c>
      <c r="C35" s="81"/>
      <c r="D35" s="81"/>
      <c r="K35" s="164">
        <f>F32</f>
        <v>0.62151732763953982</v>
      </c>
      <c r="AH35" s="26"/>
      <c r="AI35" s="26"/>
      <c r="AJ35" s="26"/>
      <c r="AK35" s="26"/>
      <c r="AL35" s="26"/>
    </row>
    <row r="36" spans="2:38" ht="24" customHeight="1" x14ac:dyDescent="0.25">
      <c r="B36" s="238" t="s">
        <v>80</v>
      </c>
      <c r="C36" s="238"/>
      <c r="D36" s="171">
        <v>0.80946571500026221</v>
      </c>
      <c r="E36" s="4"/>
      <c r="K36" s="164">
        <f>G32</f>
        <v>0.78063222208485061</v>
      </c>
    </row>
    <row r="37" spans="2:38" ht="18.75" customHeight="1" x14ac:dyDescent="0.25">
      <c r="B37" s="81"/>
      <c r="C37" s="81"/>
      <c r="D37" s="81"/>
      <c r="E37" s="81"/>
      <c r="F37" s="81"/>
      <c r="G37" s="81"/>
      <c r="H37" s="93" t="s">
        <v>12</v>
      </c>
      <c r="K37" s="164">
        <f>H32</f>
        <v>0.80572056112282953</v>
      </c>
    </row>
    <row r="38" spans="2:38" ht="20.25" customHeight="1" x14ac:dyDescent="0.25">
      <c r="B38" s="73" t="s">
        <v>11</v>
      </c>
      <c r="C38" s="94">
        <f>F29+1</f>
        <v>2022</v>
      </c>
      <c r="D38" s="73">
        <f>C38+1</f>
        <v>2023</v>
      </c>
      <c r="E38" s="73">
        <f>D38+1</f>
        <v>2024</v>
      </c>
      <c r="F38" s="73">
        <f>E38+1</f>
        <v>2025</v>
      </c>
      <c r="G38" s="73">
        <f>F38+1</f>
        <v>2026</v>
      </c>
      <c r="H38" s="94">
        <f>G38+1</f>
        <v>2027</v>
      </c>
    </row>
    <row r="39" spans="2:38" ht="20.25" customHeight="1" x14ac:dyDescent="0.25">
      <c r="B39" s="89" t="s">
        <v>142</v>
      </c>
      <c r="C39" s="97">
        <f>'매출액&amp;매출원가'!C19</f>
        <v>1878839.7756100001</v>
      </c>
      <c r="D39" s="97">
        <f>'매출액&amp;매출원가'!D19</f>
        <v>1935204.9688782999</v>
      </c>
      <c r="E39" s="97">
        <f>'매출액&amp;매출원가'!E19</f>
        <v>1993261.117944649</v>
      </c>
      <c r="F39" s="97">
        <f>'매출액&amp;매출원가'!F19</f>
        <v>2053058.9514829884</v>
      </c>
      <c r="G39" s="97">
        <f>'매출액&amp;매출원가'!G19</f>
        <v>2114650.7200274779</v>
      </c>
      <c r="H39" s="97">
        <f>'매출액&amp;매출원가'!H19</f>
        <v>0</v>
      </c>
    </row>
    <row r="40" spans="2:38" ht="20.25" customHeight="1" x14ac:dyDescent="0.25">
      <c r="B40" s="89" t="s">
        <v>82</v>
      </c>
      <c r="C40" s="98">
        <f t="shared" ref="C40:G40" si="3">매출원가율</f>
        <v>0.80946571500026221</v>
      </c>
      <c r="D40" s="98">
        <f t="shared" si="3"/>
        <v>0.80946571500026221</v>
      </c>
      <c r="E40" s="98">
        <f t="shared" si="3"/>
        <v>0.80946571500026221</v>
      </c>
      <c r="F40" s="98">
        <f t="shared" si="3"/>
        <v>0.80946571500026221</v>
      </c>
      <c r="G40" s="98">
        <f t="shared" si="3"/>
        <v>0.80946571500026221</v>
      </c>
      <c r="H40" s="98">
        <f>IF(H39=0,0,매출원가율)</f>
        <v>0</v>
      </c>
    </row>
    <row r="41" spans="2:38" ht="20.25" customHeight="1" x14ac:dyDescent="0.25">
      <c r="B41" s="89" t="s">
        <v>146</v>
      </c>
      <c r="C41" s="97">
        <f t="shared" ref="C41:H41" si="4">C39*C40</f>
        <v>1520856.382335081</v>
      </c>
      <c r="D41" s="97">
        <f t="shared" si="4"/>
        <v>1566482.0738051331</v>
      </c>
      <c r="E41" s="97">
        <f t="shared" si="4"/>
        <v>1613476.5360192873</v>
      </c>
      <c r="F41" s="97">
        <f t="shared" si="4"/>
        <v>1661880.8320998659</v>
      </c>
      <c r="G41" s="97">
        <f t="shared" si="4"/>
        <v>1711737.2570628617</v>
      </c>
      <c r="H41" s="97">
        <f t="shared" si="4"/>
        <v>0</v>
      </c>
    </row>
    <row r="42" spans="2:38" x14ac:dyDescent="0.25">
      <c r="B42" s="81" t="s">
        <v>113</v>
      </c>
      <c r="C42" s="81"/>
      <c r="D42" s="81"/>
      <c r="E42" s="81"/>
      <c r="F42" s="81"/>
      <c r="G42" s="81"/>
      <c r="H42" s="81"/>
    </row>
  </sheetData>
  <sheetProtection algorithmName="SHA-512" hashValue="xEyj+/xGMIDd/XPeojnm1QLe82TsHUz5H56jya8BQ9kVxfjwZR3rD0wvd107u1HGg1+Yt/7ydPfE9ZEWF6AtiQ==" saltValue="+IFu2caX5ZK+8lSNLfU9vw==" spinCount="100000" sheet="1" objects="1" scenarios="1" selectLockedCells="1"/>
  <mergeCells count="4">
    <mergeCell ref="B14:E14"/>
    <mergeCell ref="B15:E15"/>
    <mergeCell ref="B36:C36"/>
    <mergeCell ref="B6:H6"/>
  </mergeCells>
  <phoneticPr fontId="2" type="noConversion"/>
  <conditionalFormatting sqref="H10:H11 C10:F11 D30:F32 H30:H32">
    <cfRule type="cellIs" dxfId="15" priority="8" operator="equal">
      <formula>0</formula>
    </cfRule>
  </conditionalFormatting>
  <conditionalFormatting sqref="F14:F15 C19:G20 D36 C39:G41">
    <cfRule type="cellIs" dxfId="14" priority="7" operator="equal">
      <formula>0</formula>
    </cfRule>
  </conditionalFormatting>
  <conditionalFormatting sqref="H19:H20">
    <cfRule type="cellIs" dxfId="13" priority="6" operator="equal">
      <formula>0</formula>
    </cfRule>
  </conditionalFormatting>
  <conditionalFormatting sqref="H39:H41">
    <cfRule type="cellIs" dxfId="12" priority="3" operator="equal">
      <formula>0</formula>
    </cfRule>
  </conditionalFormatting>
  <conditionalFormatting sqref="C30:C32">
    <cfRule type="cellIs" dxfId="11" priority="4" operator="equal">
      <formula>0</formula>
    </cfRule>
  </conditionalFormatting>
  <conditionalFormatting sqref="G10:G11">
    <cfRule type="cellIs" dxfId="10" priority="2" operator="equal">
      <formula>0</formula>
    </cfRule>
  </conditionalFormatting>
  <conditionalFormatting sqref="G30:G32">
    <cfRule type="cellIs" dxfId="9" priority="1" operator="equal">
      <formula>0</formula>
    </cfRule>
  </conditionalFormatting>
  <dataValidations count="2">
    <dataValidation type="list" allowBlank="1" showInputMessage="1" showErrorMessage="1" sqref="F14" xr:uid="{00000000-0002-0000-0400-000000000000}">
      <formula1>$K$13:$K$15</formula1>
    </dataValidation>
    <dataValidation type="list" allowBlank="1" showInputMessage="1" showErrorMessage="1" sqref="D36" xr:uid="{00000000-0002-0000-0400-000001000000}">
      <formula1>$K$35:$K$37</formula1>
    </dataValidation>
  </dataValidations>
  <pageMargins left="0.70866141732283472" right="0.70866141732283472" top="0.94488188976377963" bottom="0.74803149606299213" header="0.31496062992125984" footer="0.31496062992125984"/>
  <pageSetup paperSize="9" scale="6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AX49"/>
  <sheetViews>
    <sheetView showRowColHeaders="0" zoomScale="90" zoomScaleNormal="90" workbookViewId="0">
      <pane ySplit="4" topLeftCell="A25" activePane="bottomLeft" state="frozen"/>
      <selection activeCell="B5" sqref="B5:I5"/>
      <selection pane="bottomLeft" activeCell="D16" sqref="D16"/>
    </sheetView>
  </sheetViews>
  <sheetFormatPr defaultColWidth="9.28515625" defaultRowHeight="13.5" x14ac:dyDescent="0.25"/>
  <cols>
    <col min="1" max="1" width="5.7109375" style="1" customWidth="1"/>
    <col min="2" max="7" width="18.7109375" style="1" customWidth="1"/>
    <col min="8" max="8" width="17.28515625" style="1" customWidth="1"/>
    <col min="9" max="9" width="9.7109375" style="1" bestFit="1" customWidth="1"/>
    <col min="10" max="10" width="0" style="1" hidden="1" customWidth="1"/>
    <col min="11" max="11" width="9.28515625" style="1"/>
    <col min="12" max="18" width="0" style="1" hidden="1" customWidth="1"/>
    <col min="19" max="16384" width="9.28515625" style="1"/>
  </cols>
  <sheetData>
    <row r="2" spans="2:50" ht="35.1" customHeight="1" x14ac:dyDescent="0.25"/>
    <row r="3" spans="2:50" ht="45" customHeight="1" x14ac:dyDescent="0.25"/>
    <row r="4" spans="2:50" ht="31.5" customHeight="1" x14ac:dyDescent="0.25"/>
    <row r="5" spans="2:50" ht="10.15" customHeight="1" x14ac:dyDescent="0.25"/>
    <row r="6" spans="2:50" ht="55.15" customHeight="1" x14ac:dyDescent="0.25">
      <c r="B6" s="240" t="s">
        <v>17</v>
      </c>
      <c r="C6" s="240"/>
      <c r="D6" s="240"/>
      <c r="E6" s="240"/>
      <c r="F6" s="240"/>
      <c r="G6" s="240"/>
      <c r="H6" s="240"/>
    </row>
    <row r="7" spans="2:50" ht="17.25" customHeight="1" x14ac:dyDescent="0.25"/>
    <row r="8" spans="2:50" ht="30" customHeight="1" x14ac:dyDescent="0.2">
      <c r="B8" s="28" t="s">
        <v>18</v>
      </c>
      <c r="H8" s="27" t="s">
        <v>12</v>
      </c>
    </row>
    <row r="9" spans="2:50" ht="21" customHeight="1" x14ac:dyDescent="0.25">
      <c r="B9" s="73" t="s">
        <v>11</v>
      </c>
      <c r="C9" s="73">
        <f>D9-1</f>
        <v>2018</v>
      </c>
      <c r="D9" s="73">
        <f>E9-1</f>
        <v>2019</v>
      </c>
      <c r="E9" s="73">
        <f>F9-1</f>
        <v>2020</v>
      </c>
      <c r="F9" s="162">
        <f>데이터입력!H16</f>
        <v>2021</v>
      </c>
      <c r="G9" s="162" t="s">
        <v>148</v>
      </c>
      <c r="H9" s="162" t="s">
        <v>121</v>
      </c>
    </row>
    <row r="10" spans="2:50" ht="21" customHeight="1" x14ac:dyDescent="0.25">
      <c r="B10" s="89" t="s">
        <v>134</v>
      </c>
      <c r="C10" s="165">
        <f>'매출액&amp;매출원가'!C10</f>
        <v>751829.23899999994</v>
      </c>
      <c r="D10" s="165">
        <f>'매출액&amp;매출원가'!D10</f>
        <v>1321540.155</v>
      </c>
      <c r="E10" s="165">
        <f>'매출액&amp;매출원가'!E10</f>
        <v>1414522.0160000001</v>
      </c>
      <c r="F10" s="165">
        <f>'매출액&amp;매출원가'!F10</f>
        <v>1824116.287</v>
      </c>
      <c r="G10" s="160">
        <f>(E10+F10)/2</f>
        <v>1619319.1515000002</v>
      </c>
      <c r="H10" s="160">
        <f>(D10+E10+F10)/3</f>
        <v>1520059.4860000003</v>
      </c>
      <c r="I10" s="158">
        <f>'매출액&amp;매출원가'!기준매출액</f>
        <v>1824116.287</v>
      </c>
    </row>
    <row r="11" spans="2:50" ht="21" customHeight="1" x14ac:dyDescent="0.25">
      <c r="B11" s="89" t="s">
        <v>135</v>
      </c>
      <c r="C11" s="165">
        <f>데이터입력!E19</f>
        <v>265042.57</v>
      </c>
      <c r="D11" s="165">
        <f>데이터입력!F19</f>
        <v>368497.967</v>
      </c>
      <c r="E11" s="165">
        <f>데이터입력!G19</f>
        <v>207041.495</v>
      </c>
      <c r="F11" s="165">
        <f>데이터입력!H19</f>
        <v>187706.894</v>
      </c>
      <c r="G11" s="160">
        <f>(E11+F11)/2</f>
        <v>197374.19449999998</v>
      </c>
      <c r="H11" s="160">
        <f>(D11+E11+F11)/3</f>
        <v>254415.45200000002</v>
      </c>
    </row>
    <row r="12" spans="2:50" ht="21" customHeight="1" x14ac:dyDescent="0.25">
      <c r="B12" s="89" t="s">
        <v>141</v>
      </c>
      <c r="C12" s="91">
        <f>ROUND(IFERROR(C11/C10,0),4)</f>
        <v>0.35249999999999998</v>
      </c>
      <c r="D12" s="91">
        <f t="shared" ref="D12:F12" si="0">ROUND(IFERROR(D11/D10,0),4)</f>
        <v>0.27879999999999999</v>
      </c>
      <c r="E12" s="91">
        <f t="shared" si="0"/>
        <v>0.1464</v>
      </c>
      <c r="F12" s="167">
        <f t="shared" si="0"/>
        <v>0.10290000000000001</v>
      </c>
      <c r="G12" s="166">
        <f>ROUND((E12+F12)/2,3)</f>
        <v>0.125</v>
      </c>
      <c r="H12" s="166">
        <f>ROUND((D12+E12+F12)/3,3)</f>
        <v>0.17599999999999999</v>
      </c>
      <c r="L12" s="26"/>
      <c r="M12" s="26"/>
      <c r="N12" s="26"/>
      <c r="O12" s="26"/>
      <c r="P12" s="26"/>
      <c r="Q12" s="26"/>
      <c r="R12" s="26"/>
      <c r="AT12" s="26"/>
      <c r="AU12" s="26"/>
      <c r="AV12" s="26"/>
      <c r="AW12" s="26"/>
      <c r="AX12" s="26"/>
    </row>
    <row r="13" spans="2:50" ht="6.6" customHeight="1" x14ac:dyDescent="0.25">
      <c r="L13" s="26"/>
      <c r="M13" s="26"/>
      <c r="N13" s="26"/>
      <c r="O13" s="26"/>
      <c r="P13" s="26"/>
      <c r="Q13" s="26"/>
      <c r="R13" s="26"/>
      <c r="AT13" s="26"/>
      <c r="AU13" s="26"/>
      <c r="AV13" s="26"/>
      <c r="AW13" s="26"/>
      <c r="AX13" s="26"/>
    </row>
    <row r="14" spans="2:50" ht="17.649999999999999" customHeight="1" x14ac:dyDescent="0.25">
      <c r="J14" s="164">
        <f>F12</f>
        <v>0.10290000000000001</v>
      </c>
      <c r="AT14" s="26"/>
      <c r="AU14" s="26"/>
      <c r="AV14" s="26"/>
      <c r="AW14" s="26"/>
      <c r="AX14" s="26"/>
    </row>
    <row r="15" spans="2:50" ht="30" customHeight="1" x14ac:dyDescent="0.25">
      <c r="B15" s="100" t="s">
        <v>19</v>
      </c>
      <c r="J15" s="164">
        <f>G12</f>
        <v>0.125</v>
      </c>
      <c r="AT15" s="26"/>
      <c r="AU15" s="26"/>
      <c r="AV15" s="26"/>
      <c r="AW15" s="26"/>
      <c r="AX15" s="26"/>
    </row>
    <row r="16" spans="2:50" ht="26.25" customHeight="1" x14ac:dyDescent="0.25">
      <c r="B16" s="238" t="s">
        <v>141</v>
      </c>
      <c r="C16" s="238"/>
      <c r="D16" s="171">
        <v>0.10290000000000001</v>
      </c>
      <c r="E16" s="4"/>
      <c r="J16" s="164">
        <f>H12</f>
        <v>0.17599999999999999</v>
      </c>
      <c r="AT16" s="26"/>
      <c r="AU16" s="26"/>
      <c r="AV16" s="26"/>
      <c r="AW16" s="26"/>
      <c r="AX16" s="26"/>
    </row>
    <row r="17" spans="2:50" ht="18.75" customHeight="1" x14ac:dyDescent="0.25">
      <c r="H17" s="2" t="s">
        <v>12</v>
      </c>
      <c r="AT17" s="26"/>
      <c r="AU17" s="26"/>
      <c r="AV17" s="26"/>
      <c r="AW17" s="26"/>
      <c r="AX17" s="26"/>
    </row>
    <row r="18" spans="2:50" ht="21" customHeight="1" x14ac:dyDescent="0.25">
      <c r="B18" s="10" t="s">
        <v>11</v>
      </c>
      <c r="C18" s="53">
        <f>F9+1</f>
        <v>2022</v>
      </c>
      <c r="D18" s="10">
        <f>C18+1</f>
        <v>2023</v>
      </c>
      <c r="E18" s="10">
        <f>D18+1</f>
        <v>2024</v>
      </c>
      <c r="F18" s="10">
        <f>E18+1</f>
        <v>2025</v>
      </c>
      <c r="G18" s="10">
        <f>F18+1</f>
        <v>2026</v>
      </c>
      <c r="H18" s="53">
        <f>G18+1</f>
        <v>2027</v>
      </c>
      <c r="AT18" s="26"/>
      <c r="AU18" s="26"/>
      <c r="AV18" s="26"/>
      <c r="AW18" s="26"/>
      <c r="AX18" s="26"/>
    </row>
    <row r="19" spans="2:50" ht="21" customHeight="1" x14ac:dyDescent="0.25">
      <c r="B19" s="9" t="s">
        <v>142</v>
      </c>
      <c r="C19" s="54">
        <f>'매출액&amp;매출원가'!C19</f>
        <v>1878839.7756100001</v>
      </c>
      <c r="D19" s="54">
        <f>'매출액&amp;매출원가'!D19</f>
        <v>1935204.9688782999</v>
      </c>
      <c r="E19" s="54">
        <f>'매출액&amp;매출원가'!E19</f>
        <v>1993261.117944649</v>
      </c>
      <c r="F19" s="54">
        <f>'매출액&amp;매출원가'!F19</f>
        <v>2053058.9514829884</v>
      </c>
      <c r="G19" s="54">
        <f>'매출액&amp;매출원가'!G19</f>
        <v>2114650.7200274779</v>
      </c>
      <c r="H19" s="54">
        <f>'매출액&amp;매출원가'!H19</f>
        <v>0</v>
      </c>
      <c r="AT19" s="26"/>
      <c r="AU19" s="26"/>
      <c r="AV19" s="26"/>
      <c r="AW19" s="26"/>
      <c r="AX19" s="26"/>
    </row>
    <row r="20" spans="2:50" ht="21" customHeight="1" x14ac:dyDescent="0.25">
      <c r="B20" s="9" t="s">
        <v>136</v>
      </c>
      <c r="C20" s="55">
        <f t="shared" ref="C20:G20" si="1">판매관리비율</f>
        <v>0.10290000000000001</v>
      </c>
      <c r="D20" s="55">
        <f t="shared" si="1"/>
        <v>0.10290000000000001</v>
      </c>
      <c r="E20" s="55">
        <f t="shared" si="1"/>
        <v>0.10290000000000001</v>
      </c>
      <c r="F20" s="55">
        <f t="shared" si="1"/>
        <v>0.10290000000000001</v>
      </c>
      <c r="G20" s="55">
        <f t="shared" si="1"/>
        <v>0.10290000000000001</v>
      </c>
      <c r="H20" s="55">
        <f>IF(H19=0,0,판매관리비율)</f>
        <v>0</v>
      </c>
      <c r="AT20" s="26"/>
      <c r="AU20" s="26"/>
      <c r="AV20" s="26"/>
      <c r="AW20" s="26"/>
      <c r="AX20" s="26"/>
    </row>
    <row r="21" spans="2:50" ht="21" customHeight="1" x14ac:dyDescent="0.25">
      <c r="B21" s="9" t="s">
        <v>145</v>
      </c>
      <c r="C21" s="54">
        <f>C19*C20</f>
        <v>193332.61291026903</v>
      </c>
      <c r="D21" s="54">
        <f t="shared" ref="D21:G21" si="2">D19*D20</f>
        <v>199132.59129757708</v>
      </c>
      <c r="E21" s="54">
        <f t="shared" si="2"/>
        <v>205106.5690365044</v>
      </c>
      <c r="F21" s="54">
        <f t="shared" si="2"/>
        <v>211259.76610759951</v>
      </c>
      <c r="G21" s="54">
        <f t="shared" si="2"/>
        <v>217597.5590908275</v>
      </c>
      <c r="H21" s="54">
        <f t="shared" ref="H21" si="3">H19*H20</f>
        <v>0</v>
      </c>
      <c r="AT21" s="26"/>
      <c r="AU21" s="26"/>
      <c r="AV21" s="26"/>
      <c r="AW21" s="26"/>
      <c r="AX21" s="26"/>
    </row>
    <row r="22" spans="2:50" ht="35.1" customHeight="1" x14ac:dyDescent="0.25">
      <c r="AT22" s="26"/>
      <c r="AU22" s="26"/>
      <c r="AV22" s="26"/>
      <c r="AW22" s="26"/>
      <c r="AX22" s="26"/>
    </row>
    <row r="23" spans="2:50" ht="55.15" customHeight="1" x14ac:dyDescent="0.25">
      <c r="B23" s="99" t="s">
        <v>69</v>
      </c>
      <c r="C23" s="3"/>
      <c r="D23" s="3"/>
      <c r="E23" s="3"/>
      <c r="F23" s="3"/>
      <c r="G23" s="3"/>
      <c r="H23" s="3"/>
      <c r="AT23" s="26"/>
      <c r="AU23" s="26"/>
      <c r="AV23" s="26"/>
      <c r="AW23" s="26"/>
      <c r="AX23" s="26"/>
    </row>
    <row r="24" spans="2:50" ht="25.15" customHeight="1" x14ac:dyDescent="0.25">
      <c r="AT24" s="26"/>
      <c r="AU24" s="26"/>
      <c r="AV24" s="26"/>
      <c r="AW24" s="26"/>
      <c r="AX24" s="26"/>
    </row>
    <row r="25" spans="2:50" ht="16.5" x14ac:dyDescent="0.25">
      <c r="B25" s="100" t="s">
        <v>20</v>
      </c>
      <c r="AT25" s="26"/>
      <c r="AU25" s="26"/>
      <c r="AV25" s="26"/>
      <c r="AW25" s="26"/>
      <c r="AX25" s="26"/>
    </row>
    <row r="26" spans="2:50" ht="12.75" customHeight="1" x14ac:dyDescent="0.25">
      <c r="F26" s="2" t="s">
        <v>12</v>
      </c>
      <c r="AT26" s="26"/>
      <c r="AU26" s="26"/>
      <c r="AV26" s="26"/>
      <c r="AW26" s="26"/>
      <c r="AX26" s="26"/>
    </row>
    <row r="27" spans="2:50" ht="20.100000000000001" customHeight="1" x14ac:dyDescent="0.25">
      <c r="B27" s="73" t="s">
        <v>11</v>
      </c>
      <c r="C27" s="73">
        <f>D27-1</f>
        <v>2018</v>
      </c>
      <c r="D27" s="73">
        <f>E27-1</f>
        <v>2019</v>
      </c>
      <c r="E27" s="73">
        <f>F27-1</f>
        <v>2020</v>
      </c>
      <c r="F27" s="73">
        <f>데이터입력!H16</f>
        <v>2021</v>
      </c>
      <c r="AT27" s="26"/>
      <c r="AU27" s="26"/>
      <c r="AV27" s="26"/>
      <c r="AW27" s="26"/>
      <c r="AX27" s="26"/>
    </row>
    <row r="28" spans="2:50" ht="20.100000000000001" customHeight="1" x14ac:dyDescent="0.25">
      <c r="B28" s="89" t="s">
        <v>83</v>
      </c>
      <c r="C28" s="97">
        <f>data11</f>
        <v>6189.9750000000004</v>
      </c>
      <c r="D28" s="97">
        <f>data16</f>
        <v>3398.2959999999998</v>
      </c>
      <c r="E28" s="97">
        <f>data21</f>
        <v>3364.3910000000001</v>
      </c>
      <c r="F28" s="97">
        <f>data26</f>
        <v>4938.2889999999998</v>
      </c>
      <c r="AT28" s="26"/>
      <c r="AU28" s="26"/>
      <c r="AV28" s="26"/>
      <c r="AW28" s="26"/>
      <c r="AX28" s="26"/>
    </row>
    <row r="29" spans="2:50" ht="25.5" customHeight="1" x14ac:dyDescent="0.25">
      <c r="B29" s="81" t="s">
        <v>151</v>
      </c>
      <c r="AT29" s="26"/>
      <c r="AU29" s="26"/>
      <c r="AV29" s="26"/>
      <c r="AW29" s="26"/>
      <c r="AX29" s="26"/>
    </row>
    <row r="30" spans="2:50" ht="17.25" customHeight="1" x14ac:dyDescent="0.25">
      <c r="H30" s="2" t="s">
        <v>12</v>
      </c>
      <c r="AT30" s="26"/>
      <c r="AU30" s="26"/>
      <c r="AV30" s="26"/>
      <c r="AW30" s="26"/>
      <c r="AX30" s="26"/>
    </row>
    <row r="31" spans="2:50" ht="20.100000000000001" customHeight="1" x14ac:dyDescent="0.25">
      <c r="B31" s="73" t="s">
        <v>11</v>
      </c>
      <c r="C31" s="94">
        <f>F27+1</f>
        <v>2022</v>
      </c>
      <c r="D31" s="73">
        <f>C31+1</f>
        <v>2023</v>
      </c>
      <c r="E31" s="73">
        <f>D31+1</f>
        <v>2024</v>
      </c>
      <c r="F31" s="73">
        <f>E31+1</f>
        <v>2025</v>
      </c>
      <c r="G31" s="73">
        <f t="shared" ref="G31:H31" si="4">F31+1</f>
        <v>2026</v>
      </c>
      <c r="H31" s="94">
        <f t="shared" si="4"/>
        <v>2027</v>
      </c>
      <c r="AT31" s="26"/>
      <c r="AU31" s="26"/>
      <c r="AV31" s="26"/>
      <c r="AW31" s="26"/>
      <c r="AX31" s="26"/>
    </row>
    <row r="32" spans="2:50" ht="20.100000000000001" customHeight="1" x14ac:dyDescent="0.25">
      <c r="B32" s="89" t="s">
        <v>144</v>
      </c>
      <c r="C32" s="97">
        <f>IF(잔존월수=0,F28,$F$28*잔존월수/12)</f>
        <v>4938.2889999999998</v>
      </c>
      <c r="D32" s="97">
        <f t="shared" ref="D32:G32" si="5">$F$28</f>
        <v>4938.2889999999998</v>
      </c>
      <c r="E32" s="97">
        <f t="shared" si="5"/>
        <v>4938.2889999999998</v>
      </c>
      <c r="F32" s="97">
        <f t="shared" si="5"/>
        <v>4938.2889999999998</v>
      </c>
      <c r="G32" s="97">
        <f t="shared" si="5"/>
        <v>4938.2889999999998</v>
      </c>
      <c r="H32" s="97">
        <f>IF(잔존월수=0,0,$F$28*(12-잔존월수)/12)</f>
        <v>0</v>
      </c>
      <c r="AT32" s="26"/>
      <c r="AU32" s="26"/>
      <c r="AV32" s="26"/>
      <c r="AW32" s="26"/>
      <c r="AX32" s="26"/>
    </row>
    <row r="33" spans="2:50" ht="22.5" customHeight="1" x14ac:dyDescent="0.25">
      <c r="AT33" s="26"/>
      <c r="AU33" s="26"/>
      <c r="AV33" s="26"/>
      <c r="AW33" s="26"/>
      <c r="AX33" s="26"/>
    </row>
    <row r="34" spans="2:50" ht="19.5" x14ac:dyDescent="0.25">
      <c r="B34" s="28" t="s">
        <v>21</v>
      </c>
    </row>
    <row r="35" spans="2:50" ht="5.65" customHeight="1" x14ac:dyDescent="0.25">
      <c r="B35" s="16"/>
    </row>
    <row r="36" spans="2:50" ht="15" customHeight="1" x14ac:dyDescent="0.25">
      <c r="B36" s="81" t="s">
        <v>22</v>
      </c>
      <c r="H36" s="2" t="s">
        <v>12</v>
      </c>
    </row>
    <row r="37" spans="2:50" ht="8.1" customHeight="1" x14ac:dyDescent="0.25"/>
    <row r="38" spans="2:50" ht="17.25" customHeight="1" x14ac:dyDescent="0.25">
      <c r="B38" s="73" t="s">
        <v>11</v>
      </c>
      <c r="C38" s="94">
        <f>F27+1</f>
        <v>2022</v>
      </c>
      <c r="D38" s="73">
        <f>C38+1</f>
        <v>2023</v>
      </c>
      <c r="E38" s="73">
        <f>D38+1</f>
        <v>2024</v>
      </c>
      <c r="F38" s="73">
        <f>E38+1</f>
        <v>2025</v>
      </c>
      <c r="G38" s="73">
        <f t="shared" ref="G38:H38" si="6">F38+1</f>
        <v>2026</v>
      </c>
      <c r="H38" s="94">
        <f t="shared" si="6"/>
        <v>2027</v>
      </c>
    </row>
    <row r="39" spans="2:50" ht="17.25" customHeight="1" x14ac:dyDescent="0.25">
      <c r="B39" s="89" t="s">
        <v>143</v>
      </c>
      <c r="C39" s="97">
        <f t="shared" ref="C39:H39" si="7">C32</f>
        <v>4938.2889999999998</v>
      </c>
      <c r="D39" s="97">
        <f t="shared" si="7"/>
        <v>4938.2889999999998</v>
      </c>
      <c r="E39" s="97">
        <f t="shared" si="7"/>
        <v>4938.2889999999998</v>
      </c>
      <c r="F39" s="97">
        <f t="shared" si="7"/>
        <v>4938.2889999999998</v>
      </c>
      <c r="G39" s="97">
        <f t="shared" si="7"/>
        <v>4938.2889999999998</v>
      </c>
      <c r="H39" s="97">
        <f t="shared" si="7"/>
        <v>0</v>
      </c>
    </row>
    <row r="40" spans="2:50" ht="18.600000000000001" customHeight="1" x14ac:dyDescent="0.25"/>
    <row r="41" spans="2:50" ht="19.5" x14ac:dyDescent="0.25">
      <c r="B41" s="28" t="s">
        <v>23</v>
      </c>
    </row>
    <row r="42" spans="2:50" ht="10.5" customHeight="1" x14ac:dyDescent="0.25">
      <c r="B42" s="16"/>
    </row>
    <row r="43" spans="2:50" ht="15" customHeight="1" x14ac:dyDescent="0.25">
      <c r="B43" s="81" t="s">
        <v>24</v>
      </c>
      <c r="H43" s="2" t="s">
        <v>12</v>
      </c>
    </row>
    <row r="44" spans="2:50" ht="5.65" customHeight="1" x14ac:dyDescent="0.25"/>
    <row r="45" spans="2:50" ht="17.25" customHeight="1" x14ac:dyDescent="0.25">
      <c r="B45" s="96" t="s">
        <v>11</v>
      </c>
      <c r="C45" s="101">
        <f>F27+1</f>
        <v>2022</v>
      </c>
      <c r="D45" s="102">
        <f>C45+1</f>
        <v>2023</v>
      </c>
      <c r="E45" s="102">
        <f>D45+1</f>
        <v>2024</v>
      </c>
      <c r="F45" s="102">
        <f>E45+1</f>
        <v>2025</v>
      </c>
      <c r="G45" s="102">
        <f t="shared" ref="G45:H45" si="8">F45+1</f>
        <v>2026</v>
      </c>
      <c r="H45" s="101">
        <f t="shared" si="8"/>
        <v>2027</v>
      </c>
    </row>
    <row r="46" spans="2:50" ht="17.25" customHeight="1" x14ac:dyDescent="0.25">
      <c r="B46" s="103" t="s">
        <v>142</v>
      </c>
      <c r="C46" s="104">
        <f>'매출액&amp;매출원가'!C19</f>
        <v>1878839.7756100001</v>
      </c>
      <c r="D46" s="104">
        <f>'매출액&amp;매출원가'!D19</f>
        <v>1935204.9688782999</v>
      </c>
      <c r="E46" s="104">
        <f>'매출액&amp;매출원가'!E19</f>
        <v>1993261.117944649</v>
      </c>
      <c r="F46" s="104">
        <f>'매출액&amp;매출원가'!F19</f>
        <v>2053058.9514829884</v>
      </c>
      <c r="G46" s="104">
        <f>'매출액&amp;매출원가'!G19</f>
        <v>2114650.7200274779</v>
      </c>
      <c r="H46" s="104">
        <f>'매출액&amp;매출원가'!H19</f>
        <v>0</v>
      </c>
      <c r="I46" s="56" t="e">
        <f>C46*12/잔존월수</f>
        <v>#DIV/0!</v>
      </c>
    </row>
    <row r="47" spans="2:50" ht="17.25" customHeight="1" x14ac:dyDescent="0.25">
      <c r="B47" s="103" t="s">
        <v>84</v>
      </c>
      <c r="C47" s="104">
        <f>IF(잔존월수=0,C46-F10,(C46*12/잔존월수-F10)*데이터입력!K11/12)</f>
        <v>54723.488610000117</v>
      </c>
      <c r="D47" s="104">
        <f>IF(잔존월수=0,D46-C46,D46-C46*12/잔존월수)</f>
        <v>56365.193268299801</v>
      </c>
      <c r="E47" s="104">
        <f>E46-D46</f>
        <v>58056.149066349026</v>
      </c>
      <c r="F47" s="104">
        <f>F46-E46</f>
        <v>59797.833538339473</v>
      </c>
      <c r="G47" s="104">
        <f t="shared" ref="G47" si="9">G46-F46</f>
        <v>61591.768544489518</v>
      </c>
      <c r="H47" s="104">
        <f>IF(잔존월수=12,0,(I47-G46)*(12-데이터입력!K11)/12)</f>
        <v>-2114650.7200274779</v>
      </c>
      <c r="I47" s="57">
        <f>H46*12/(12-데이터입력!K11)</f>
        <v>0</v>
      </c>
    </row>
    <row r="48" spans="2:50" ht="17.25" customHeight="1" x14ac:dyDescent="0.25">
      <c r="B48" s="103" t="s">
        <v>85</v>
      </c>
      <c r="C48" s="105">
        <f>'매출액&amp;매출원가'!매출액성장률</f>
        <v>0.03</v>
      </c>
      <c r="D48" s="105">
        <f>'매출액&amp;매출원가'!매출액성장률</f>
        <v>0.03</v>
      </c>
      <c r="E48" s="105">
        <f>'매출액&amp;매출원가'!매출액성장률</f>
        <v>0.03</v>
      </c>
      <c r="F48" s="105">
        <f>'매출액&amp;매출원가'!매출액성장률</f>
        <v>0.03</v>
      </c>
      <c r="G48" s="105">
        <f>'매출액&amp;매출원가'!매출액성장률</f>
        <v>0.03</v>
      </c>
      <c r="H48" s="105">
        <f>IF(H46=0,0,'매출액&amp;매출원가'!매출액성장률)</f>
        <v>0</v>
      </c>
    </row>
    <row r="49" spans="2:8" ht="17.25" customHeight="1" x14ac:dyDescent="0.25">
      <c r="B49" s="106" t="s">
        <v>86</v>
      </c>
      <c r="C49" s="107">
        <f>C47*C48</f>
        <v>1641.7046583000035</v>
      </c>
      <c r="D49" s="107">
        <f>D47*D48</f>
        <v>1690.955798048994</v>
      </c>
      <c r="E49" s="107">
        <f t="shared" ref="E49:H49" si="10">E47*E48</f>
        <v>1741.6844719904707</v>
      </c>
      <c r="F49" s="107">
        <f t="shared" si="10"/>
        <v>1793.9350061501841</v>
      </c>
      <c r="G49" s="107">
        <f t="shared" si="10"/>
        <v>1847.7530563346854</v>
      </c>
      <c r="H49" s="107">
        <f t="shared" si="10"/>
        <v>0</v>
      </c>
    </row>
  </sheetData>
  <sheetProtection algorithmName="SHA-512" hashValue="9+OVlwai6eXv5449pmDsHaUNxxJntB7EMKTn1yqQtQ59gEZ0CyrqZXXRuKt+WrYYy/XrNUDuPOM5RgQcp2P3Ew==" saltValue="Fswht9n1APRKhQjGOK3hnQ==" spinCount="100000" sheet="1" objects="1" scenarios="1" selectLockedCells="1"/>
  <mergeCells count="2">
    <mergeCell ref="B6:H6"/>
    <mergeCell ref="B16:C16"/>
  </mergeCells>
  <phoneticPr fontId="2" type="noConversion"/>
  <conditionalFormatting sqref="D16 C19:G21 C28:E28 W45 C32:H32 C39:H39 D47:H47 C46:I46 C48:H49 D10:F11 H10:H12">
    <cfRule type="cellIs" dxfId="8" priority="5" operator="equal">
      <formula>0</formula>
    </cfRule>
  </conditionalFormatting>
  <conditionalFormatting sqref="C10:C12 D12:F12">
    <cfRule type="cellIs" dxfId="7" priority="4" operator="equal">
      <formula>0</formula>
    </cfRule>
  </conditionalFormatting>
  <conditionalFormatting sqref="H19:H21">
    <cfRule type="cellIs" dxfId="6" priority="3" operator="equal">
      <formula>0</formula>
    </cfRule>
  </conditionalFormatting>
  <conditionalFormatting sqref="F28">
    <cfRule type="cellIs" dxfId="5" priority="2" operator="equal">
      <formula>0</formula>
    </cfRule>
  </conditionalFormatting>
  <conditionalFormatting sqref="G10:G12">
    <cfRule type="cellIs" dxfId="4" priority="1" operator="equal">
      <formula>0</formula>
    </cfRule>
  </conditionalFormatting>
  <dataValidations count="1">
    <dataValidation type="list" allowBlank="1" showInputMessage="1" showErrorMessage="1" sqref="D16" xr:uid="{00000000-0002-0000-0500-000000000000}">
      <formula1>$J$14:$J$16</formula1>
    </dataValidation>
  </dataValidations>
  <printOptions horizontalCentered="1"/>
  <pageMargins left="0.70866141732283472" right="0.70866141732283472" top="0.94488188976377963" bottom="0.74803149606299213" header="0.31496062992125984" footer="0.31496062992125984"/>
  <pageSetup paperSize="9" scale="78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B1:AX38"/>
  <sheetViews>
    <sheetView showRowColHeaders="0" zoomScale="90" zoomScaleNormal="90" workbookViewId="0">
      <pane ySplit="1" topLeftCell="A2" activePane="bottomLeft" state="frozen"/>
      <selection activeCell="B5" sqref="B5:I5"/>
      <selection pane="bottomLeft" activeCell="C14" sqref="C14"/>
    </sheetView>
  </sheetViews>
  <sheetFormatPr defaultColWidth="9.28515625" defaultRowHeight="13.5" x14ac:dyDescent="0.25"/>
  <cols>
    <col min="1" max="1" width="5.5703125" style="1" customWidth="1"/>
    <col min="2" max="6" width="16.7109375" style="1" customWidth="1"/>
    <col min="7" max="7" width="16.42578125" style="1" customWidth="1"/>
    <col min="8" max="8" width="12.28515625" style="1" customWidth="1"/>
    <col min="9" max="9" width="4.7109375" style="1" customWidth="1"/>
    <col min="10" max="11" width="9.28515625" style="1" customWidth="1"/>
    <col min="12" max="19" width="8.7109375" style="1" hidden="1" customWidth="1"/>
    <col min="20" max="24" width="0" style="1" hidden="1" customWidth="1"/>
    <col min="25" max="16384" width="9.28515625" style="1"/>
  </cols>
  <sheetData>
    <row r="1" spans="2:50" ht="126.6" customHeight="1" x14ac:dyDescent="0.25"/>
    <row r="2" spans="2:50" ht="10.15" customHeight="1" x14ac:dyDescent="0.25"/>
    <row r="3" spans="2:50" ht="55.15" customHeight="1" x14ac:dyDescent="0.25">
      <c r="B3" s="240" t="s">
        <v>95</v>
      </c>
      <c r="C3" s="240"/>
      <c r="D3" s="240"/>
      <c r="E3" s="240"/>
      <c r="F3" s="240"/>
      <c r="G3" s="240"/>
      <c r="H3" s="240"/>
    </row>
    <row r="4" spans="2:50" ht="32.65" customHeight="1" x14ac:dyDescent="0.25"/>
    <row r="5" spans="2:50" ht="43.5" customHeight="1" x14ac:dyDescent="0.25">
      <c r="B5" s="100" t="s">
        <v>94</v>
      </c>
    </row>
    <row r="6" spans="2:50" ht="26.65" customHeight="1" x14ac:dyDescent="0.25"/>
    <row r="7" spans="2:50" ht="16.5" x14ac:dyDescent="0.25">
      <c r="B7" s="84" t="s">
        <v>139</v>
      </c>
      <c r="C7" s="81"/>
      <c r="D7" s="81"/>
      <c r="E7" s="81"/>
      <c r="F7" s="81"/>
      <c r="G7" s="108"/>
    </row>
    <row r="8" spans="2:50" ht="9" customHeight="1" x14ac:dyDescent="0.25"/>
    <row r="9" spans="2:50" x14ac:dyDescent="0.25">
      <c r="B9" s="112">
        <f ca="1">C9-1</f>
        <v>2018</v>
      </c>
      <c r="C9" s="112">
        <f ca="1">D9-1</f>
        <v>2019</v>
      </c>
      <c r="D9" s="112">
        <f ca="1">E9-1</f>
        <v>2020</v>
      </c>
      <c r="E9" s="112">
        <f ca="1">F9-1</f>
        <v>2021</v>
      </c>
      <c r="F9" s="112">
        <f ca="1">YEAR(TODAY())-1</f>
        <v>2022</v>
      </c>
      <c r="G9" s="109" t="s">
        <v>122</v>
      </c>
      <c r="H9" s="246"/>
    </row>
    <row r="10" spans="2:50" x14ac:dyDescent="0.25">
      <c r="B10" s="178">
        <v>3.2800000000000003E-2</v>
      </c>
      <c r="C10" s="178">
        <v>3.1800000000000002E-2</v>
      </c>
      <c r="D10" s="178">
        <v>2.3E-2</v>
      </c>
      <c r="E10" s="178">
        <v>1.7500000000000002E-2</v>
      </c>
      <c r="F10" s="178">
        <v>2.2800000000000001E-2</v>
      </c>
      <c r="G10" s="110">
        <f>AVERAGE(B10:F10)</f>
        <v>2.5580000000000002E-2</v>
      </c>
      <c r="H10" s="246"/>
    </row>
    <row r="11" spans="2:50" x14ac:dyDescent="0.25">
      <c r="D11" s="65"/>
      <c r="E11" s="65"/>
      <c r="F11" s="65"/>
      <c r="G11" s="65"/>
      <c r="H11" s="68"/>
    </row>
    <row r="12" spans="2:50" ht="16.5" x14ac:dyDescent="0.25">
      <c r="B12" s="84" t="s">
        <v>154</v>
      </c>
      <c r="F12" s="18"/>
      <c r="AT12" s="26"/>
      <c r="AU12" s="26"/>
      <c r="AV12" s="26"/>
      <c r="AW12" s="26"/>
      <c r="AX12" s="26"/>
    </row>
    <row r="13" spans="2:50" ht="9" customHeight="1" x14ac:dyDescent="0.25">
      <c r="AT13" s="26"/>
      <c r="AU13" s="26"/>
      <c r="AV13" s="26"/>
      <c r="AW13" s="26"/>
      <c r="AX13" s="26"/>
    </row>
    <row r="14" spans="2:50" ht="16.5" customHeight="1" x14ac:dyDescent="0.25">
      <c r="B14" s="87" t="s">
        <v>123</v>
      </c>
      <c r="C14" s="179">
        <v>0.12</v>
      </c>
      <c r="AT14" s="26"/>
      <c r="AU14" s="26"/>
      <c r="AV14" s="26"/>
      <c r="AW14" s="26"/>
      <c r="AX14" s="26"/>
    </row>
    <row r="15" spans="2:50" ht="23.1" customHeight="1" x14ac:dyDescent="0.25">
      <c r="B15" s="111" t="s">
        <v>125</v>
      </c>
      <c r="AT15" s="26"/>
      <c r="AU15" s="26"/>
      <c r="AV15" s="26"/>
      <c r="AW15" s="26"/>
      <c r="AX15" s="26"/>
    </row>
    <row r="16" spans="2:50" hidden="1" x14ac:dyDescent="0.25">
      <c r="B16" s="19" t="s">
        <v>34</v>
      </c>
      <c r="C16" s="19">
        <v>2006</v>
      </c>
      <c r="D16" s="19">
        <v>2007</v>
      </c>
      <c r="E16" s="19">
        <v>2008</v>
      </c>
      <c r="F16" s="19">
        <v>2009</v>
      </c>
      <c r="G16" s="19">
        <v>2010</v>
      </c>
      <c r="H16" s="241" t="s">
        <v>70</v>
      </c>
      <c r="AT16" s="26"/>
      <c r="AU16" s="26"/>
      <c r="AV16" s="26"/>
      <c r="AW16" s="26"/>
      <c r="AX16" s="26"/>
    </row>
    <row r="17" spans="2:50" hidden="1" x14ac:dyDescent="0.25">
      <c r="B17" s="19" t="s">
        <v>35</v>
      </c>
      <c r="C17" s="66">
        <v>1434.46</v>
      </c>
      <c r="D17" s="66">
        <v>1897.13</v>
      </c>
      <c r="E17" s="66">
        <v>1124.47</v>
      </c>
      <c r="F17" s="66">
        <v>1682.77</v>
      </c>
      <c r="G17" s="66">
        <v>2051</v>
      </c>
      <c r="H17" s="241"/>
      <c r="AT17" s="26"/>
      <c r="AU17" s="26"/>
      <c r="AV17" s="26"/>
      <c r="AW17" s="26"/>
      <c r="AX17" s="26"/>
    </row>
    <row r="18" spans="2:50" ht="14.25" hidden="1" thickBot="1" x14ac:dyDescent="0.3">
      <c r="B18" s="19" t="s">
        <v>36</v>
      </c>
      <c r="C18" s="20"/>
      <c r="D18" s="20">
        <f>D17/C17-1</f>
        <v>0.32253949221309774</v>
      </c>
      <c r="E18" s="20">
        <f t="shared" ref="E18:G18" si="0">E17/D17-1</f>
        <v>-0.40727836257926453</v>
      </c>
      <c r="F18" s="20">
        <f t="shared" si="0"/>
        <v>0.49650057360356437</v>
      </c>
      <c r="G18" s="20">
        <f t="shared" si="0"/>
        <v>0.21882372516743231</v>
      </c>
      <c r="H18" s="242"/>
      <c r="AT18" s="26"/>
      <c r="AU18" s="26"/>
      <c r="AV18" s="26"/>
      <c r="AW18" s="26"/>
      <c r="AX18" s="26"/>
    </row>
    <row r="19" spans="2:50" hidden="1" x14ac:dyDescent="0.25">
      <c r="B19" s="19" t="s">
        <v>34</v>
      </c>
      <c r="C19" s="19">
        <v>2011</v>
      </c>
      <c r="D19" s="19">
        <v>2012</v>
      </c>
      <c r="E19" s="19">
        <v>2013</v>
      </c>
      <c r="F19" s="19">
        <v>2014</v>
      </c>
      <c r="G19" s="19">
        <v>2015</v>
      </c>
      <c r="H19" s="243">
        <f>(C21+D21+E21+F21+G21)/5</f>
        <v>-6.5162218420488967E-3</v>
      </c>
      <c r="I19" s="21"/>
      <c r="J19" s="21"/>
      <c r="K19" s="21"/>
      <c r="L19" s="21"/>
      <c r="M19" s="21"/>
      <c r="N19" s="22"/>
      <c r="AT19" s="26"/>
      <c r="AU19" s="26"/>
      <c r="AV19" s="26"/>
      <c r="AW19" s="26"/>
      <c r="AX19" s="26"/>
    </row>
    <row r="20" spans="2:50" hidden="1" x14ac:dyDescent="0.25">
      <c r="B20" s="19" t="s">
        <v>35</v>
      </c>
      <c r="C20" s="66">
        <v>1825.74</v>
      </c>
      <c r="D20" s="66">
        <v>1997.05</v>
      </c>
      <c r="E20" s="67">
        <v>2011.34</v>
      </c>
      <c r="F20" s="67">
        <v>1915.59</v>
      </c>
      <c r="G20" s="67">
        <v>1961.31</v>
      </c>
      <c r="H20" s="244"/>
      <c r="I20" s="21"/>
      <c r="J20" s="21"/>
      <c r="K20" s="21"/>
      <c r="L20" s="21"/>
      <c r="M20" s="21"/>
      <c r="N20" s="22"/>
      <c r="AT20" s="26"/>
      <c r="AU20" s="26"/>
      <c r="AV20" s="26"/>
      <c r="AW20" s="26"/>
      <c r="AX20" s="26"/>
    </row>
    <row r="21" spans="2:50" ht="14.25" hidden="1" thickBot="1" x14ac:dyDescent="0.3">
      <c r="B21" s="19" t="s">
        <v>36</v>
      </c>
      <c r="C21" s="20">
        <f>C20/G17-1</f>
        <v>-0.10982935153583617</v>
      </c>
      <c r="D21" s="20">
        <f>D20/C20-1</f>
        <v>9.3830446832517289E-2</v>
      </c>
      <c r="E21" s="20">
        <f t="shared" ref="E21:G21" si="1">E20/D20-1</f>
        <v>7.1555544428030249E-3</v>
      </c>
      <c r="F21" s="20">
        <f t="shared" si="1"/>
        <v>-4.7605079200930711E-2</v>
      </c>
      <c r="G21" s="20">
        <f t="shared" si="1"/>
        <v>2.3867320251202084E-2</v>
      </c>
      <c r="H21" s="245"/>
      <c r="I21" s="21"/>
      <c r="J21" s="21"/>
      <c r="K21" s="21"/>
      <c r="L21" s="21"/>
      <c r="M21" s="21"/>
      <c r="N21" s="22"/>
      <c r="AT21" s="26"/>
      <c r="AU21" s="26"/>
      <c r="AV21" s="26"/>
      <c r="AW21" s="26"/>
      <c r="AX21" s="26"/>
    </row>
    <row r="22" spans="2:50" ht="31.15" customHeight="1" x14ac:dyDescent="0.25">
      <c r="AT22" s="26"/>
      <c r="AU22" s="26"/>
      <c r="AV22" s="26"/>
      <c r="AW22" s="26"/>
      <c r="AX22" s="26"/>
    </row>
    <row r="23" spans="2:50" ht="30" customHeight="1" x14ac:dyDescent="0.25">
      <c r="B23" s="100" t="s">
        <v>43</v>
      </c>
      <c r="AT23" s="26"/>
      <c r="AU23" s="26"/>
      <c r="AV23" s="26"/>
      <c r="AW23" s="26"/>
      <c r="AX23" s="26"/>
    </row>
    <row r="24" spans="2:50" ht="25.15" customHeight="1" x14ac:dyDescent="0.25">
      <c r="B24" s="116" t="s">
        <v>42</v>
      </c>
      <c r="C24" s="116" t="s">
        <v>37</v>
      </c>
      <c r="D24" s="117" t="s">
        <v>38</v>
      </c>
      <c r="E24" s="117" t="s">
        <v>39</v>
      </c>
      <c r="F24" s="79" t="s">
        <v>115</v>
      </c>
      <c r="AT24" s="26"/>
      <c r="AU24" s="26"/>
      <c r="AV24" s="26"/>
      <c r="AW24" s="26"/>
      <c r="AX24" s="26"/>
    </row>
    <row r="25" spans="2:50" ht="25.15" customHeight="1" x14ac:dyDescent="0.25">
      <c r="B25" s="113">
        <f>G10</f>
        <v>2.5580000000000002E-2</v>
      </c>
      <c r="C25" s="114">
        <f>C14</f>
        <v>0.12</v>
      </c>
      <c r="D25" s="115">
        <v>1</v>
      </c>
      <c r="E25" s="114">
        <v>2.5000000000000001E-2</v>
      </c>
      <c r="F25" s="110">
        <f>B25+D25*(C25-B25)+E25</f>
        <v>0.14499999999999999</v>
      </c>
      <c r="AT25" s="26"/>
      <c r="AU25" s="26"/>
      <c r="AV25" s="26"/>
      <c r="AW25" s="26"/>
      <c r="AX25" s="26"/>
    </row>
    <row r="26" spans="2:50" x14ac:dyDescent="0.25">
      <c r="B26" s="111" t="s">
        <v>137</v>
      </c>
      <c r="AT26" s="26"/>
      <c r="AU26" s="26"/>
      <c r="AV26" s="26"/>
      <c r="AW26" s="26"/>
      <c r="AX26" s="26"/>
    </row>
    <row r="27" spans="2:50" x14ac:dyDescent="0.25">
      <c r="B27" s="111" t="s">
        <v>138</v>
      </c>
      <c r="AT27" s="26"/>
      <c r="AU27" s="26"/>
      <c r="AV27" s="26"/>
      <c r="AW27" s="26"/>
      <c r="AX27" s="26"/>
    </row>
    <row r="28" spans="2:50" ht="21.75" customHeight="1" x14ac:dyDescent="0.25">
      <c r="AT28" s="26"/>
      <c r="AU28" s="26"/>
      <c r="AV28" s="26"/>
      <c r="AW28" s="26"/>
      <c r="AX28" s="26"/>
    </row>
    <row r="29" spans="2:50" ht="30" customHeight="1" thickBot="1" x14ac:dyDescent="0.3">
      <c r="B29" s="100" t="s">
        <v>40</v>
      </c>
      <c r="AT29" s="26"/>
      <c r="AU29" s="26"/>
      <c r="AV29" s="26"/>
      <c r="AW29" s="26"/>
      <c r="AX29" s="26"/>
    </row>
    <row r="30" spans="2:50" ht="25.15" customHeight="1" thickBot="1" x14ac:dyDescent="0.3">
      <c r="B30" s="109" t="s">
        <v>41</v>
      </c>
      <c r="C30" s="118" t="s">
        <v>155</v>
      </c>
      <c r="D30" s="119" t="s">
        <v>114</v>
      </c>
      <c r="AT30" s="26"/>
      <c r="AU30" s="26"/>
      <c r="AV30" s="26"/>
      <c r="AW30" s="26"/>
      <c r="AX30" s="26"/>
    </row>
    <row r="31" spans="2:50" ht="25.15" customHeight="1" thickBot="1" x14ac:dyDescent="0.3">
      <c r="B31" s="175">
        <v>3.6999999999999998E-2</v>
      </c>
      <c r="C31" s="120">
        <v>0.3</v>
      </c>
      <c r="D31" s="174">
        <f>B31*(1-C31)</f>
        <v>2.5899999999999996E-2</v>
      </c>
      <c r="E31" s="23"/>
      <c r="S31" s="51">
        <v>41640</v>
      </c>
      <c r="T31" s="51">
        <v>41671</v>
      </c>
      <c r="U31" s="51">
        <v>41699</v>
      </c>
      <c r="V31" s="51">
        <v>41730</v>
      </c>
      <c r="W31" s="51">
        <v>41760</v>
      </c>
      <c r="X31" s="51">
        <v>41791</v>
      </c>
      <c r="AT31" s="26"/>
      <c r="AU31" s="26"/>
      <c r="AV31" s="26"/>
      <c r="AW31" s="26"/>
      <c r="AX31" s="26"/>
    </row>
    <row r="32" spans="2:50" ht="19.5" customHeight="1" thickBot="1" x14ac:dyDescent="0.3">
      <c r="B32" s="121" t="s">
        <v>124</v>
      </c>
      <c r="C32" s="24"/>
      <c r="D32" s="24"/>
      <c r="E32" s="24"/>
      <c r="F32" s="17"/>
      <c r="G32" s="17"/>
      <c r="S32" s="52">
        <v>4.88</v>
      </c>
      <c r="T32" s="52">
        <v>4.79</v>
      </c>
      <c r="U32" s="52">
        <v>4.76</v>
      </c>
      <c r="V32" s="52">
        <v>4.7300000000000004</v>
      </c>
      <c r="W32" s="52">
        <v>4.72</v>
      </c>
      <c r="X32" s="52">
        <v>4.72</v>
      </c>
      <c r="AT32" s="26"/>
      <c r="AU32" s="26"/>
      <c r="AV32" s="26"/>
      <c r="AW32" s="26"/>
      <c r="AX32" s="26"/>
    </row>
    <row r="33" spans="2:50" ht="14.25" thickBot="1" x14ac:dyDescent="0.3">
      <c r="S33" s="51">
        <v>41821</v>
      </c>
      <c r="T33" s="51">
        <v>41852</v>
      </c>
      <c r="U33" s="51">
        <v>41883</v>
      </c>
      <c r="V33" s="51">
        <v>41913</v>
      </c>
      <c r="W33" s="51">
        <v>41944</v>
      </c>
      <c r="X33" s="51">
        <v>41974</v>
      </c>
      <c r="AT33" s="26"/>
      <c r="AU33" s="26"/>
      <c r="AV33" s="26"/>
      <c r="AW33" s="26"/>
      <c r="AX33" s="26"/>
    </row>
    <row r="34" spans="2:50" ht="30" customHeight="1" thickBot="1" x14ac:dyDescent="0.3">
      <c r="B34" s="100" t="s">
        <v>44</v>
      </c>
      <c r="S34" s="52">
        <v>4.71</v>
      </c>
      <c r="T34" s="52">
        <v>4.58</v>
      </c>
      <c r="U34" s="52">
        <v>4.5</v>
      </c>
      <c r="V34" s="52">
        <v>4.32</v>
      </c>
      <c r="W34" s="52">
        <v>4.21</v>
      </c>
      <c r="X34" s="52">
        <v>4.26</v>
      </c>
    </row>
    <row r="35" spans="2:50" ht="25.15" customHeight="1" x14ac:dyDescent="0.25">
      <c r="B35" s="109" t="s">
        <v>71</v>
      </c>
      <c r="C35" s="109" t="s">
        <v>72</v>
      </c>
      <c r="D35" s="109" t="s">
        <v>73</v>
      </c>
      <c r="E35" s="118" t="s">
        <v>74</v>
      </c>
      <c r="F35" s="122" t="s">
        <v>45</v>
      </c>
    </row>
    <row r="36" spans="2:50" ht="25.15" customHeight="1" thickBot="1" x14ac:dyDescent="0.3">
      <c r="B36" s="114">
        <f>F25</f>
        <v>0.14499999999999999</v>
      </c>
      <c r="C36" s="114">
        <f>D31</f>
        <v>2.5899999999999996E-2</v>
      </c>
      <c r="D36" s="123">
        <v>1</v>
      </c>
      <c r="E36" s="124">
        <f>1-D36</f>
        <v>0</v>
      </c>
      <c r="F36" s="125">
        <f>ROUND(B36*D36+C36*E36,4)</f>
        <v>0.14499999999999999</v>
      </c>
    </row>
    <row r="37" spans="2:50" ht="23.1" customHeight="1" x14ac:dyDescent="0.25">
      <c r="B37" s="111" t="s">
        <v>132</v>
      </c>
    </row>
    <row r="38" spans="2:50" x14ac:dyDescent="0.25">
      <c r="B38" s="25"/>
    </row>
  </sheetData>
  <sheetProtection algorithmName="SHA-512" hashValue="RHfgg8Y1ODYZ1/MPXzdVCDBbOMqTmkjChcHAz/DVfXZMADH1rG84lH7t+heHr73pc2srD5HkOjIOZg1mp2ypqA==" saltValue="J1iPcEkIaaiH+W3cdWx6JQ==" spinCount="100000" sheet="1" objects="1" scenarios="1" selectLockedCells="1"/>
  <mergeCells count="4">
    <mergeCell ref="H16:H18"/>
    <mergeCell ref="H19:H21"/>
    <mergeCell ref="H9:H10"/>
    <mergeCell ref="B3:H3"/>
  </mergeCells>
  <phoneticPr fontId="2" type="noConversion"/>
  <pageMargins left="0.51181102362204722" right="0.51181102362204722" top="0.94488188976377963" bottom="0.74803149606299213" header="0.31496062992125984" footer="0.31496062992125984"/>
  <pageSetup paperSize="9" scale="83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B1:AY42"/>
  <sheetViews>
    <sheetView showRowColHeaders="0" zoomScale="90" zoomScaleNormal="90" workbookViewId="0">
      <pane ySplit="3" topLeftCell="A4" activePane="bottomLeft" state="frozen"/>
      <selection activeCell="B5" sqref="B5:I5"/>
      <selection pane="bottomLeft" activeCell="B5" sqref="B5:J5"/>
    </sheetView>
  </sheetViews>
  <sheetFormatPr defaultColWidth="9.28515625" defaultRowHeight="13.5" x14ac:dyDescent="0.25"/>
  <cols>
    <col min="1" max="1" width="5.7109375" style="1" customWidth="1"/>
    <col min="2" max="2" width="1.7109375" style="1" customWidth="1"/>
    <col min="3" max="3" width="19" style="1" customWidth="1"/>
    <col min="4" max="9" width="16.5703125" style="1" customWidth="1"/>
    <col min="10" max="10" width="7.28515625" style="1" customWidth="1"/>
    <col min="11" max="11" width="4.7109375" style="1" customWidth="1"/>
    <col min="12" max="12" width="9.28515625" style="1"/>
    <col min="13" max="19" width="0" style="1" hidden="1" customWidth="1"/>
    <col min="20" max="16384" width="9.28515625" style="1"/>
  </cols>
  <sheetData>
    <row r="1" spans="2:51" ht="94.15" customHeight="1" x14ac:dyDescent="0.25"/>
    <row r="2" spans="2:51" ht="24.6" customHeight="1" x14ac:dyDescent="0.25"/>
    <row r="3" spans="2:51" ht="10.15" customHeight="1" x14ac:dyDescent="0.25"/>
    <row r="4" spans="2:51" ht="10.15" customHeight="1" x14ac:dyDescent="0.25"/>
    <row r="5" spans="2:51" ht="55.15" customHeight="1" x14ac:dyDescent="0.25">
      <c r="B5" s="239" t="s">
        <v>93</v>
      </c>
      <c r="C5" s="239"/>
      <c r="D5" s="239"/>
      <c r="E5" s="239"/>
      <c r="F5" s="239"/>
      <c r="G5" s="239"/>
      <c r="H5" s="239"/>
      <c r="I5" s="239"/>
      <c r="J5" s="239"/>
    </row>
    <row r="6" spans="2:51" ht="17.25" customHeight="1" x14ac:dyDescent="0.25"/>
    <row r="7" spans="2:51" ht="15" customHeight="1" x14ac:dyDescent="0.25">
      <c r="B7" s="5"/>
      <c r="C7" s="5"/>
      <c r="D7" s="5"/>
      <c r="E7" s="5"/>
      <c r="F7" s="5"/>
      <c r="G7" s="5"/>
      <c r="H7" s="253" t="s">
        <v>12</v>
      </c>
      <c r="I7" s="253"/>
      <c r="J7" s="253"/>
    </row>
    <row r="8" spans="2:51" ht="28.15" customHeight="1" x14ac:dyDescent="0.25">
      <c r="B8" s="11"/>
      <c r="C8" s="153" t="s">
        <v>11</v>
      </c>
      <c r="D8" s="154">
        <f>'매출액&amp;매출원가'!C18</f>
        <v>2022</v>
      </c>
      <c r="E8" s="153">
        <f>'매출액&amp;매출원가'!D18</f>
        <v>2023</v>
      </c>
      <c r="F8" s="153">
        <f>'매출액&amp;매출원가'!E18</f>
        <v>2024</v>
      </c>
      <c r="G8" s="153">
        <f>'매출액&amp;매출원가'!F18</f>
        <v>2025</v>
      </c>
      <c r="H8" s="153">
        <f>'매출액&amp;매출원가'!G18</f>
        <v>2026</v>
      </c>
      <c r="I8" s="154">
        <f>'매출액&amp;매출원가'!H18</f>
        <v>2027</v>
      </c>
      <c r="J8" s="155"/>
    </row>
    <row r="9" spans="2:51" ht="21" customHeight="1" x14ac:dyDescent="0.25">
      <c r="C9" s="126" t="s">
        <v>25</v>
      </c>
      <c r="D9" s="127">
        <f>'매출액&amp;매출원가'!C19</f>
        <v>1878839.7756100001</v>
      </c>
      <c r="E9" s="127">
        <f>'매출액&amp;매출원가'!D19</f>
        <v>1935204.9688782999</v>
      </c>
      <c r="F9" s="127">
        <f>'매출액&amp;매출원가'!E19</f>
        <v>1993261.117944649</v>
      </c>
      <c r="G9" s="127">
        <f>'매출액&amp;매출원가'!F19</f>
        <v>2053058.9514829884</v>
      </c>
      <c r="H9" s="127">
        <f>'매출액&amp;매출원가'!G19</f>
        <v>2114650.7200274779</v>
      </c>
      <c r="I9" s="127">
        <f>'매출액&amp;매출원가'!H19</f>
        <v>0</v>
      </c>
    </row>
    <row r="10" spans="2:51" ht="21" customHeight="1" x14ac:dyDescent="0.25">
      <c r="C10" s="128" t="s">
        <v>59</v>
      </c>
      <c r="D10" s="129">
        <f>'매출액&amp;매출원가'!C20</f>
        <v>0.03</v>
      </c>
      <c r="E10" s="129">
        <f>'매출액&amp;매출원가'!D20</f>
        <v>0.03</v>
      </c>
      <c r="F10" s="129">
        <f>'매출액&amp;매출원가'!E20</f>
        <v>0.03</v>
      </c>
      <c r="G10" s="129">
        <f>'매출액&amp;매출원가'!F20</f>
        <v>0.03</v>
      </c>
      <c r="H10" s="129">
        <f>'매출액&amp;매출원가'!G20</f>
        <v>0.03</v>
      </c>
      <c r="I10" s="129">
        <f>'매출액&amp;매출원가'!H20</f>
        <v>0</v>
      </c>
    </row>
    <row r="11" spans="2:51" ht="21" customHeight="1" x14ac:dyDescent="0.25">
      <c r="C11" s="126" t="s">
        <v>26</v>
      </c>
      <c r="D11" s="130">
        <f>'매출액&amp;매출원가'!C41</f>
        <v>1520856.382335081</v>
      </c>
      <c r="E11" s="130">
        <f>'매출액&amp;매출원가'!D41</f>
        <v>1566482.0738051331</v>
      </c>
      <c r="F11" s="130">
        <f>'매출액&amp;매출원가'!E41</f>
        <v>1613476.5360192873</v>
      </c>
      <c r="G11" s="130">
        <f>'매출액&amp;매출원가'!F41</f>
        <v>1661880.8320998659</v>
      </c>
      <c r="H11" s="130">
        <f>'매출액&amp;매출원가'!G41</f>
        <v>1711737.2570628617</v>
      </c>
      <c r="I11" s="130">
        <f>'매출액&amp;매출원가'!H41</f>
        <v>0</v>
      </c>
    </row>
    <row r="12" spans="2:51" ht="21" customHeight="1" x14ac:dyDescent="0.25">
      <c r="C12" s="128" t="s">
        <v>60</v>
      </c>
      <c r="D12" s="131">
        <f>'매출액&amp;매출원가'!C40</f>
        <v>0.80946571500026221</v>
      </c>
      <c r="E12" s="131">
        <f>'매출액&amp;매출원가'!D40</f>
        <v>0.80946571500026221</v>
      </c>
      <c r="F12" s="131">
        <f>'매출액&amp;매출원가'!E40</f>
        <v>0.80946571500026221</v>
      </c>
      <c r="G12" s="131">
        <f>'매출액&amp;매출원가'!F40</f>
        <v>0.80946571500026221</v>
      </c>
      <c r="H12" s="131">
        <f>'매출액&amp;매출원가'!G40</f>
        <v>0.80946571500026221</v>
      </c>
      <c r="I12" s="131">
        <f>'매출액&amp;매출원가'!H40</f>
        <v>0</v>
      </c>
      <c r="M12" s="26"/>
      <c r="N12" s="26"/>
      <c r="O12" s="26"/>
      <c r="P12" s="26"/>
      <c r="Q12" s="26"/>
      <c r="R12" s="26"/>
      <c r="S12" s="26"/>
      <c r="AU12" s="26"/>
      <c r="AV12" s="26"/>
      <c r="AW12" s="26"/>
      <c r="AX12" s="26"/>
      <c r="AY12" s="26"/>
    </row>
    <row r="13" spans="2:51" ht="21" customHeight="1" x14ac:dyDescent="0.25">
      <c r="C13" s="126" t="s">
        <v>27</v>
      </c>
      <c r="D13" s="132">
        <f>D9-D11</f>
        <v>357983.39327491913</v>
      </c>
      <c r="E13" s="132">
        <f t="shared" ref="E13:H13" si="0">E9-E11</f>
        <v>368722.89507316682</v>
      </c>
      <c r="F13" s="132">
        <f t="shared" si="0"/>
        <v>379784.58192536165</v>
      </c>
      <c r="G13" s="132">
        <f t="shared" si="0"/>
        <v>391178.11938312254</v>
      </c>
      <c r="H13" s="132">
        <f t="shared" si="0"/>
        <v>402913.46296461625</v>
      </c>
      <c r="I13" s="132">
        <f t="shared" ref="I13" si="1">I9-I11</f>
        <v>0</v>
      </c>
      <c r="M13" s="26"/>
      <c r="N13" s="26"/>
      <c r="O13" s="26"/>
      <c r="P13" s="26"/>
      <c r="Q13" s="26"/>
      <c r="R13" s="26"/>
      <c r="S13" s="26"/>
      <c r="AU13" s="26"/>
      <c r="AV13" s="26"/>
      <c r="AW13" s="26"/>
      <c r="AX13" s="26"/>
      <c r="AY13" s="26"/>
    </row>
    <row r="14" spans="2:51" ht="21" customHeight="1" x14ac:dyDescent="0.25">
      <c r="C14" s="85" t="s">
        <v>28</v>
      </c>
      <c r="D14" s="132">
        <f>'판관비&amp;비현금손익외'!C21</f>
        <v>193332.61291026903</v>
      </c>
      <c r="E14" s="132">
        <f>'판관비&amp;비현금손익외'!D21</f>
        <v>199132.59129757708</v>
      </c>
      <c r="F14" s="132">
        <f>'판관비&amp;비현금손익외'!E21</f>
        <v>205106.5690365044</v>
      </c>
      <c r="G14" s="132">
        <f>'판관비&amp;비현금손익외'!F21</f>
        <v>211259.76610759951</v>
      </c>
      <c r="H14" s="132">
        <f>'판관비&amp;비현금손익외'!G21</f>
        <v>217597.5590908275</v>
      </c>
      <c r="I14" s="132">
        <f>'판관비&amp;비현금손익외'!H21</f>
        <v>0</v>
      </c>
      <c r="AU14" s="26"/>
      <c r="AV14" s="26"/>
      <c r="AW14" s="26"/>
      <c r="AX14" s="26"/>
      <c r="AY14" s="26"/>
    </row>
    <row r="15" spans="2:51" ht="21" customHeight="1" x14ac:dyDescent="0.25">
      <c r="B15" s="5"/>
      <c r="C15" s="133" t="s">
        <v>61</v>
      </c>
      <c r="D15" s="134">
        <f>IFERROR(D14/D9,0)</f>
        <v>0.10290000000000001</v>
      </c>
      <c r="E15" s="134">
        <f t="shared" ref="E15:H15" si="2">IFERROR(E14/E9,0)</f>
        <v>0.10290000000000001</v>
      </c>
      <c r="F15" s="134">
        <f t="shared" si="2"/>
        <v>0.10290000000000001</v>
      </c>
      <c r="G15" s="134">
        <f t="shared" si="2"/>
        <v>0.10290000000000001</v>
      </c>
      <c r="H15" s="134">
        <f t="shared" si="2"/>
        <v>0.10290000000000001</v>
      </c>
      <c r="I15" s="134">
        <f t="shared" ref="I15" si="3">IFERROR(I14/I9,0)</f>
        <v>0</v>
      </c>
      <c r="J15" s="134"/>
      <c r="AU15" s="26"/>
      <c r="AV15" s="26"/>
      <c r="AW15" s="26"/>
      <c r="AX15" s="26"/>
      <c r="AY15" s="26"/>
    </row>
    <row r="16" spans="2:51" ht="21" customHeight="1" x14ac:dyDescent="0.25">
      <c r="C16" s="85" t="s">
        <v>29</v>
      </c>
      <c r="D16" s="132">
        <f>D13-D14</f>
        <v>164650.7803646501</v>
      </c>
      <c r="E16" s="132">
        <f t="shared" ref="E16:I16" si="4">E13-E14</f>
        <v>169590.30377558974</v>
      </c>
      <c r="F16" s="132">
        <f t="shared" si="4"/>
        <v>174678.01288885725</v>
      </c>
      <c r="G16" s="132">
        <f t="shared" si="4"/>
        <v>179918.35327552303</v>
      </c>
      <c r="H16" s="132">
        <f t="shared" si="4"/>
        <v>185315.90387378875</v>
      </c>
      <c r="I16" s="132">
        <f t="shared" si="4"/>
        <v>0</v>
      </c>
      <c r="AU16" s="26"/>
      <c r="AV16" s="26"/>
      <c r="AW16" s="26"/>
      <c r="AX16" s="26"/>
      <c r="AY16" s="26"/>
    </row>
    <row r="17" spans="2:51" ht="21" customHeight="1" x14ac:dyDescent="0.25">
      <c r="C17" s="81" t="s">
        <v>62</v>
      </c>
      <c r="D17" s="131">
        <f>IFERROR(D16/D9,0)</f>
        <v>8.7634284999737758E-2</v>
      </c>
      <c r="E17" s="135">
        <f t="shared" ref="E17:J17" si="5">IFERROR(E16/E9,0)</f>
        <v>8.7634284999737841E-2</v>
      </c>
      <c r="F17" s="135">
        <f t="shared" si="5"/>
        <v>8.7634284999737758E-2</v>
      </c>
      <c r="G17" s="135">
        <f t="shared" si="5"/>
        <v>8.7634284999737785E-2</v>
      </c>
      <c r="H17" s="135">
        <f t="shared" si="5"/>
        <v>8.7634284999737799E-2</v>
      </c>
      <c r="I17" s="135">
        <f t="shared" ref="I17" si="6">IFERROR(I16/I9,0)</f>
        <v>0</v>
      </c>
      <c r="J17" s="8">
        <f t="shared" si="5"/>
        <v>0</v>
      </c>
      <c r="AU17" s="26"/>
      <c r="AV17" s="26"/>
      <c r="AW17" s="26"/>
      <c r="AX17" s="26"/>
      <c r="AY17" s="26"/>
    </row>
    <row r="18" spans="2:51" ht="21" customHeight="1" x14ac:dyDescent="0.25">
      <c r="C18" s="128" t="s">
        <v>158</v>
      </c>
      <c r="D18" s="136">
        <f>ROUNDDOWN(IF(D16*1000&lt;=12000000,D16*1000*0.06,IF(D16*1000&lt;=46000000,D16*1000*0.15-1080000,IF(D16*1000&lt;=88000000,D16*1000*0.24-5220000,IF(D16*1000&lt;=150000000,D16*1000*0.35-14900000,IF(D16*1000&lt;=300000000,D16*1000*38%-19400000,IF(D16*1000&lt;=500000000,D16*1000*40%-25400000,D16*1000*42%-35400000)))))),0)/1000</f>
        <v>43167.296000000002</v>
      </c>
      <c r="E18" s="136">
        <f t="shared" ref="E18:I18" si="7">ROUNDDOWN(IF(E16*1000&lt;=12000000,E16*1000*0.06,IF(E16*1000&lt;=46000000,E16*1000*0.15-1080000,IF(E16*1000&lt;=88000000,E16*1000*0.24-5220000,IF(E16*1000&lt;=150000000,E16*1000*0.35-14900000,IF(E16*1000&lt;=300000000,E16*1000*38%-19400000,IF(E16*1000&lt;=500000000,E16*1000*40%-25400000,E16*1000*42%-35400000)))))),0)/1000</f>
        <v>45044.315000000002</v>
      </c>
      <c r="F18" s="136">
        <f t="shared" si="7"/>
        <v>46977.644</v>
      </c>
      <c r="G18" s="136">
        <f t="shared" si="7"/>
        <v>48968.974000000002</v>
      </c>
      <c r="H18" s="136">
        <f t="shared" si="7"/>
        <v>51020.042999999998</v>
      </c>
      <c r="I18" s="136">
        <f t="shared" si="7"/>
        <v>0</v>
      </c>
      <c r="L18" s="181"/>
      <c r="AU18" s="26"/>
      <c r="AV18" s="26"/>
      <c r="AW18" s="26"/>
      <c r="AX18" s="26"/>
      <c r="AY18" s="26"/>
    </row>
    <row r="19" spans="2:51" ht="21" customHeight="1" x14ac:dyDescent="0.25">
      <c r="B19" s="5"/>
      <c r="C19" s="137" t="s">
        <v>30</v>
      </c>
      <c r="D19" s="138">
        <f>D16-D18</f>
        <v>121483.4843646501</v>
      </c>
      <c r="E19" s="138">
        <f t="shared" ref="E19:H19" si="8">E16-E18</f>
        <v>124545.98877558974</v>
      </c>
      <c r="F19" s="138">
        <f t="shared" si="8"/>
        <v>127700.36888885725</v>
      </c>
      <c r="G19" s="138">
        <f t="shared" si="8"/>
        <v>130949.37927552302</v>
      </c>
      <c r="H19" s="138">
        <f t="shared" si="8"/>
        <v>134295.86087378874</v>
      </c>
      <c r="I19" s="138">
        <f t="shared" ref="I19" si="9">I16-I18</f>
        <v>0</v>
      </c>
      <c r="J19" s="5"/>
      <c r="AU19" s="26"/>
      <c r="AV19" s="26"/>
      <c r="AW19" s="26"/>
      <c r="AX19" s="26"/>
      <c r="AY19" s="26"/>
    </row>
    <row r="20" spans="2:51" ht="21" customHeight="1" x14ac:dyDescent="0.25">
      <c r="C20" s="85" t="s">
        <v>31</v>
      </c>
      <c r="D20" s="81"/>
      <c r="E20" s="81"/>
      <c r="F20" s="81"/>
      <c r="G20" s="81"/>
      <c r="H20" s="81"/>
      <c r="I20" s="81"/>
      <c r="AU20" s="26"/>
      <c r="AV20" s="26"/>
      <c r="AW20" s="26"/>
      <c r="AX20" s="26"/>
      <c r="AY20" s="26"/>
    </row>
    <row r="21" spans="2:51" ht="21" customHeight="1" x14ac:dyDescent="0.25">
      <c r="C21" s="81" t="s">
        <v>56</v>
      </c>
      <c r="D21" s="139">
        <f>'판관비&amp;비현금손익외'!C32</f>
        <v>4938.2889999999998</v>
      </c>
      <c r="E21" s="139">
        <f>'판관비&amp;비현금손익외'!D32</f>
        <v>4938.2889999999998</v>
      </c>
      <c r="F21" s="139">
        <f>'판관비&amp;비현금손익외'!E32</f>
        <v>4938.2889999999998</v>
      </c>
      <c r="G21" s="139">
        <f>'판관비&amp;비현금손익외'!F32</f>
        <v>4938.2889999999998</v>
      </c>
      <c r="H21" s="139">
        <f>'판관비&amp;비현금손익외'!G32</f>
        <v>4938.2889999999998</v>
      </c>
      <c r="I21" s="139">
        <f>'판관비&amp;비현금손익외'!H32</f>
        <v>0</v>
      </c>
      <c r="AU21" s="26"/>
      <c r="AV21" s="26"/>
      <c r="AW21" s="26"/>
      <c r="AX21" s="26"/>
      <c r="AY21" s="26"/>
    </row>
    <row r="22" spans="2:51" ht="21" customHeight="1" x14ac:dyDescent="0.25">
      <c r="B22" s="5"/>
      <c r="C22" s="133" t="s">
        <v>57</v>
      </c>
      <c r="D22" s="140">
        <f>D21</f>
        <v>4938.2889999999998</v>
      </c>
      <c r="E22" s="140">
        <f t="shared" ref="E22:H22" si="10">E21</f>
        <v>4938.2889999999998</v>
      </c>
      <c r="F22" s="140">
        <f t="shared" si="10"/>
        <v>4938.2889999999998</v>
      </c>
      <c r="G22" s="140">
        <f t="shared" si="10"/>
        <v>4938.2889999999998</v>
      </c>
      <c r="H22" s="140">
        <f t="shared" si="10"/>
        <v>4938.2889999999998</v>
      </c>
      <c r="I22" s="140">
        <f t="shared" ref="I22" si="11">I21</f>
        <v>0</v>
      </c>
      <c r="J22" s="5"/>
      <c r="AU22" s="26"/>
      <c r="AV22" s="26"/>
      <c r="AW22" s="26"/>
      <c r="AX22" s="26"/>
      <c r="AY22" s="26"/>
    </row>
    <row r="23" spans="2:51" ht="21" customHeight="1" x14ac:dyDescent="0.25">
      <c r="C23" s="85" t="s">
        <v>32</v>
      </c>
      <c r="D23" s="81"/>
      <c r="E23" s="81"/>
      <c r="F23" s="81"/>
      <c r="G23" s="81"/>
      <c r="H23" s="81"/>
      <c r="I23" s="81"/>
      <c r="AU23" s="26"/>
      <c r="AV23" s="26"/>
      <c r="AW23" s="26"/>
      <c r="AX23" s="26"/>
      <c r="AY23" s="26"/>
    </row>
    <row r="24" spans="2:51" ht="21" customHeight="1" x14ac:dyDescent="0.25">
      <c r="C24" s="81" t="s">
        <v>58</v>
      </c>
      <c r="D24" s="139">
        <f>'판관비&amp;비현금손익외'!C49</f>
        <v>1641.7046583000035</v>
      </c>
      <c r="E24" s="139">
        <f>'판관비&amp;비현금손익외'!D49</f>
        <v>1690.955798048994</v>
      </c>
      <c r="F24" s="139">
        <f>'판관비&amp;비현금손익외'!E49</f>
        <v>1741.6844719904707</v>
      </c>
      <c r="G24" s="139">
        <f>'판관비&amp;비현금손익외'!F49</f>
        <v>1793.9350061501841</v>
      </c>
      <c r="H24" s="139">
        <f>'판관비&amp;비현금손익외'!G49</f>
        <v>1847.7530563346854</v>
      </c>
      <c r="I24" s="139">
        <f>'판관비&amp;비현금손익외'!H49</f>
        <v>0</v>
      </c>
      <c r="AU24" s="26"/>
      <c r="AV24" s="26"/>
      <c r="AW24" s="26"/>
      <c r="AX24" s="26"/>
      <c r="AY24" s="26"/>
    </row>
    <row r="25" spans="2:51" ht="21" customHeight="1" x14ac:dyDescent="0.25">
      <c r="C25" s="81" t="s">
        <v>140</v>
      </c>
      <c r="D25" s="139">
        <f>'판관비&amp;비현금손익외'!C39</f>
        <v>4938.2889999999998</v>
      </c>
      <c r="E25" s="139">
        <f>'판관비&amp;비현금손익외'!D39</f>
        <v>4938.2889999999998</v>
      </c>
      <c r="F25" s="139">
        <f>'판관비&amp;비현금손익외'!E39</f>
        <v>4938.2889999999998</v>
      </c>
      <c r="G25" s="139">
        <f>'판관비&amp;비현금손익외'!F39</f>
        <v>4938.2889999999998</v>
      </c>
      <c r="H25" s="139">
        <f>'판관비&amp;비현금손익외'!G39</f>
        <v>4938.2889999999998</v>
      </c>
      <c r="I25" s="139">
        <f>'판관비&amp;비현금손익외'!H39</f>
        <v>0</v>
      </c>
      <c r="AU25" s="26"/>
      <c r="AV25" s="26"/>
      <c r="AW25" s="26"/>
      <c r="AX25" s="26"/>
      <c r="AY25" s="26"/>
    </row>
    <row r="26" spans="2:51" ht="21" customHeight="1" x14ac:dyDescent="0.25">
      <c r="B26" s="5"/>
      <c r="C26" s="133" t="s">
        <v>57</v>
      </c>
      <c r="D26" s="140">
        <f>D24+D25</f>
        <v>6579.9936583000035</v>
      </c>
      <c r="E26" s="140">
        <f t="shared" ref="E26:H26" si="12">E24+E25</f>
        <v>6629.2447980489942</v>
      </c>
      <c r="F26" s="140">
        <f t="shared" si="12"/>
        <v>6679.97347199047</v>
      </c>
      <c r="G26" s="140">
        <f t="shared" si="12"/>
        <v>6732.2240061501834</v>
      </c>
      <c r="H26" s="140">
        <f t="shared" si="12"/>
        <v>6786.0420563346852</v>
      </c>
      <c r="I26" s="140">
        <f t="shared" ref="I26" si="13">I24+I25</f>
        <v>0</v>
      </c>
      <c r="J26" s="5"/>
      <c r="AU26" s="26"/>
      <c r="AV26" s="26"/>
      <c r="AW26" s="26"/>
      <c r="AX26" s="26"/>
      <c r="AY26" s="26"/>
    </row>
    <row r="27" spans="2:51" ht="26.25" customHeight="1" x14ac:dyDescent="0.25">
      <c r="B27" s="6"/>
      <c r="C27" s="141" t="s">
        <v>33</v>
      </c>
      <c r="D27" s="142">
        <f>D19+D22-D26</f>
        <v>119841.77970635009</v>
      </c>
      <c r="E27" s="142">
        <f t="shared" ref="E27:H27" si="14">E19+E22-E26</f>
        <v>122855.03297754074</v>
      </c>
      <c r="F27" s="142">
        <f t="shared" si="14"/>
        <v>125958.68441686677</v>
      </c>
      <c r="G27" s="142">
        <f t="shared" si="14"/>
        <v>129155.44426937285</v>
      </c>
      <c r="H27" s="142">
        <f t="shared" si="14"/>
        <v>132448.10781745403</v>
      </c>
      <c r="I27" s="142">
        <f t="shared" ref="I27" si="15">I19+I22-I26</f>
        <v>0</v>
      </c>
      <c r="J27" s="7"/>
      <c r="AU27" s="26"/>
      <c r="AV27" s="26"/>
      <c r="AW27" s="26"/>
      <c r="AX27" s="26"/>
      <c r="AY27" s="26"/>
    </row>
    <row r="28" spans="2:51" ht="51.6" customHeight="1" x14ac:dyDescent="0.25">
      <c r="AU28" s="26"/>
      <c r="AV28" s="26"/>
      <c r="AW28" s="26"/>
      <c r="AX28" s="26"/>
      <c r="AY28" s="26"/>
    </row>
    <row r="29" spans="2:51" ht="55.15" customHeight="1" x14ac:dyDescent="0.25">
      <c r="C29" s="99" t="s">
        <v>75</v>
      </c>
      <c r="D29" s="3"/>
      <c r="E29" s="3"/>
      <c r="F29" s="3"/>
      <c r="G29" s="3"/>
      <c r="H29" s="3"/>
      <c r="I29" s="3"/>
      <c r="AU29" s="26"/>
      <c r="AV29" s="26"/>
      <c r="AW29" s="26"/>
      <c r="AX29" s="26"/>
      <c r="AY29" s="26"/>
    </row>
    <row r="30" spans="2:51" ht="19.5" customHeight="1" x14ac:dyDescent="0.25">
      <c r="AU30" s="26"/>
      <c r="AV30" s="26"/>
      <c r="AW30" s="26"/>
      <c r="AX30" s="26"/>
      <c r="AY30" s="26"/>
    </row>
    <row r="31" spans="2:51" ht="33.75" customHeight="1" x14ac:dyDescent="0.25">
      <c r="C31" s="156" t="s">
        <v>46</v>
      </c>
      <c r="D31" s="157">
        <f>D8</f>
        <v>2022</v>
      </c>
      <c r="E31" s="156">
        <f>D31+1</f>
        <v>2023</v>
      </c>
      <c r="F31" s="156">
        <f t="shared" ref="F31:I31" si="16">E31+1</f>
        <v>2024</v>
      </c>
      <c r="G31" s="156">
        <f t="shared" si="16"/>
        <v>2025</v>
      </c>
      <c r="H31" s="156">
        <f t="shared" si="16"/>
        <v>2026</v>
      </c>
      <c r="I31" s="157">
        <f t="shared" si="16"/>
        <v>2027</v>
      </c>
      <c r="AU31" s="26"/>
      <c r="AV31" s="26"/>
      <c r="AW31" s="26"/>
      <c r="AX31" s="26"/>
      <c r="AY31" s="26"/>
    </row>
    <row r="32" spans="2:51" ht="33.75" customHeight="1" x14ac:dyDescent="0.25">
      <c r="C32" s="143" t="s">
        <v>49</v>
      </c>
      <c r="D32" s="144">
        <f>'FCFF&amp;영업권계산'!D27</f>
        <v>119841.77970635009</v>
      </c>
      <c r="E32" s="144">
        <f>'FCFF&amp;영업권계산'!E27</f>
        <v>122855.03297754074</v>
      </c>
      <c r="F32" s="144">
        <f>'FCFF&amp;영업권계산'!F27</f>
        <v>125958.68441686677</v>
      </c>
      <c r="G32" s="144">
        <f>'FCFF&amp;영업권계산'!G27</f>
        <v>129155.44426937285</v>
      </c>
      <c r="H32" s="144">
        <f>'FCFF&amp;영업권계산'!H27</f>
        <v>132448.10781745403</v>
      </c>
      <c r="I32" s="144">
        <f>'FCFF&amp;영업권계산'!I27</f>
        <v>0</v>
      </c>
      <c r="AU32" s="26"/>
      <c r="AV32" s="26"/>
      <c r="AW32" s="26"/>
      <c r="AX32" s="26"/>
      <c r="AY32" s="26"/>
    </row>
    <row r="33" spans="3:51" ht="33.75" customHeight="1" x14ac:dyDescent="0.25">
      <c r="C33" s="143" t="s">
        <v>47</v>
      </c>
      <c r="D33" s="145">
        <f>IF(D32=0,0,1/(1+WACC)^(데이터입력!K11/12))</f>
        <v>1</v>
      </c>
      <c r="E33" s="145">
        <f>IF(E32=0,0,1/(1+WACC)^(잔존월수/12+1))</f>
        <v>0.8733624454148472</v>
      </c>
      <c r="F33" s="145">
        <f>IF(F32=0,0,1/(1+WACC)^(잔존월수/12+2))</f>
        <v>0.7627619610610018</v>
      </c>
      <c r="G33" s="145">
        <f>IF(G32=0,0,1/(1+WACC)^(잔존월수/12+3))</f>
        <v>0.66616765158166091</v>
      </c>
      <c r="H33" s="145">
        <f>IF(H32=0,0,1/(1+WACC)^(잔존월수/12+4))</f>
        <v>0.58180580924162528</v>
      </c>
      <c r="I33" s="145">
        <f>IF(I32=0,0,1/(1+WACC)^5)</f>
        <v>0</v>
      </c>
      <c r="AU33" s="26"/>
      <c r="AV33" s="26"/>
      <c r="AW33" s="26"/>
      <c r="AX33" s="26"/>
      <c r="AY33" s="26"/>
    </row>
    <row r="34" spans="3:51" ht="33.75" customHeight="1" thickBot="1" x14ac:dyDescent="0.3">
      <c r="C34" s="146" t="s">
        <v>48</v>
      </c>
      <c r="D34" s="147">
        <f t="shared" ref="D34:I34" si="17">D32*D33</f>
        <v>119841.77970635009</v>
      </c>
      <c r="E34" s="147">
        <f t="shared" si="17"/>
        <v>107296.97203278668</v>
      </c>
      <c r="F34" s="147">
        <f t="shared" si="17"/>
        <v>96076.493138473146</v>
      </c>
      <c r="G34" s="147">
        <f t="shared" si="17"/>
        <v>86039.17899791419</v>
      </c>
      <c r="H34" s="147">
        <f t="shared" si="17"/>
        <v>77059.07855125588</v>
      </c>
      <c r="I34" s="147">
        <f t="shared" si="17"/>
        <v>0</v>
      </c>
      <c r="AU34" s="26"/>
      <c r="AV34" s="26"/>
      <c r="AW34" s="26"/>
      <c r="AX34" s="26"/>
      <c r="AY34" s="26"/>
    </row>
    <row r="35" spans="3:51" ht="33.75" customHeight="1" thickTop="1" x14ac:dyDescent="0.25">
      <c r="C35" s="254" t="s">
        <v>65</v>
      </c>
      <c r="D35" s="255"/>
      <c r="E35" s="255"/>
      <c r="F35" s="255"/>
      <c r="G35" s="256"/>
      <c r="H35" s="148">
        <f>IF(I32=0,SUM(D34:I34),0)</f>
        <v>486313.50242677995</v>
      </c>
      <c r="I35" s="148">
        <f>IF(I32=0,0,SUM(D34:I34))</f>
        <v>0</v>
      </c>
    </row>
    <row r="36" spans="3:51" ht="33.75" customHeight="1" x14ac:dyDescent="0.25">
      <c r="C36" s="247" t="s">
        <v>66</v>
      </c>
      <c r="D36" s="248"/>
      <c r="E36" s="248"/>
      <c r="F36" s="248"/>
      <c r="G36" s="249"/>
      <c r="H36" s="149">
        <f>IF(I32=0,(H32/WACC*H33),0)</f>
        <v>531441.92104314396</v>
      </c>
      <c r="I36" s="149">
        <f>IF(I32=0,0,(I32*12/(12-잔존월수)/(WACC-0.5%)*I33))</f>
        <v>0</v>
      </c>
      <c r="J36" s="69"/>
    </row>
    <row r="37" spans="3:51" ht="33.75" customHeight="1" x14ac:dyDescent="0.25">
      <c r="C37" s="247" t="s">
        <v>67</v>
      </c>
      <c r="D37" s="248"/>
      <c r="E37" s="248"/>
      <c r="F37" s="248"/>
      <c r="G37" s="249"/>
      <c r="H37" s="150">
        <f>H35+H36</f>
        <v>1017755.4234699239</v>
      </c>
      <c r="I37" s="150">
        <f>I35+I36</f>
        <v>0</v>
      </c>
    </row>
    <row r="38" spans="3:51" ht="33.75" customHeight="1" x14ac:dyDescent="0.25">
      <c r="C38" s="247" t="s">
        <v>104</v>
      </c>
      <c r="D38" s="248"/>
      <c r="E38" s="248"/>
      <c r="F38" s="248"/>
      <c r="G38" s="249"/>
      <c r="H38" s="149">
        <f>IF(I32=0,MIN(data28-data29+data30,data28),0)</f>
        <v>359567.109</v>
      </c>
      <c r="I38" s="149">
        <f>IF(I32=0,0,MIN(data28-data29+data30,data28))</f>
        <v>0</v>
      </c>
    </row>
    <row r="39" spans="3:51" ht="39" customHeight="1" x14ac:dyDescent="0.25">
      <c r="C39" s="250" t="s">
        <v>68</v>
      </c>
      <c r="D39" s="251"/>
      <c r="E39" s="251"/>
      <c r="F39" s="251"/>
      <c r="G39" s="252"/>
      <c r="H39" s="151">
        <f>H37-H38</f>
        <v>658188.31446992396</v>
      </c>
      <c r="I39" s="151">
        <f>I37-I38</f>
        <v>0</v>
      </c>
    </row>
    <row r="40" spans="3:51" ht="5.0999999999999996" customHeight="1" x14ac:dyDescent="0.25">
      <c r="C40" s="100"/>
      <c r="D40" s="100"/>
      <c r="E40" s="100"/>
      <c r="F40" s="100"/>
      <c r="G40" s="100"/>
      <c r="H40" s="152"/>
      <c r="I40" s="152"/>
    </row>
    <row r="41" spans="3:51" x14ac:dyDescent="0.25">
      <c r="C41" s="81" t="s">
        <v>128</v>
      </c>
    </row>
    <row r="42" spans="3:51" x14ac:dyDescent="0.25">
      <c r="C42" s="81" t="s">
        <v>129</v>
      </c>
    </row>
  </sheetData>
  <sheetProtection password="CCFD" sheet="1" objects="1" scenarios="1" selectLockedCells="1"/>
  <mergeCells count="7">
    <mergeCell ref="C38:G38"/>
    <mergeCell ref="C39:G39"/>
    <mergeCell ref="H7:J7"/>
    <mergeCell ref="B5:J5"/>
    <mergeCell ref="C35:G35"/>
    <mergeCell ref="C36:G36"/>
    <mergeCell ref="C37:G37"/>
  </mergeCells>
  <phoneticPr fontId="2" type="noConversion"/>
  <conditionalFormatting sqref="J17 J15 D9:I26">
    <cfRule type="cellIs" dxfId="3" priority="4" operator="equal">
      <formula>0</formula>
    </cfRule>
  </conditionalFormatting>
  <conditionalFormatting sqref="D32:I34">
    <cfRule type="cellIs" dxfId="2" priority="3" operator="equal">
      <formula>0</formula>
    </cfRule>
  </conditionalFormatting>
  <conditionalFormatting sqref="I35:I38">
    <cfRule type="cellIs" dxfId="1" priority="2" operator="equal">
      <formula>0</formula>
    </cfRule>
  </conditionalFormatting>
  <conditionalFormatting sqref="H35:H38">
    <cfRule type="cellIs" dxfId="0" priority="1" operator="equal">
      <formula>0</formula>
    </cfRule>
  </conditionalFormatting>
  <pageMargins left="0.51181102362204722" right="0.51181102362204722" top="0.94488188976377963" bottom="0.74803149606299213" header="0.31496062992125984" footer="0.31496062992125984"/>
  <pageSetup paperSize="9" scale="74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"/>
  <sheetViews>
    <sheetView showRowColHeaders="0" workbookViewId="0">
      <selection activeCell="P20" sqref="P20"/>
    </sheetView>
  </sheetViews>
  <sheetFormatPr defaultColWidth="8.7109375" defaultRowHeight="13.5" x14ac:dyDescent="0.25"/>
  <cols>
    <col min="1" max="16384" width="8.7109375" style="1"/>
  </cols>
  <sheetData/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114"/>
  <sheetViews>
    <sheetView showGridLines="0" showRowColHeaders="0" topLeftCell="A115" workbookViewId="0">
      <selection activeCell="F122" sqref="F122"/>
    </sheetView>
  </sheetViews>
  <sheetFormatPr defaultColWidth="10.7109375" defaultRowHeight="14.25" customHeight="1" x14ac:dyDescent="0.25"/>
  <cols>
    <col min="1" max="1" width="10.7109375" style="64"/>
    <col min="2" max="2" width="16.85546875" style="182" bestFit="1" customWidth="1"/>
    <col min="3" max="3" width="11.28515625" style="57" bestFit="1" customWidth="1"/>
    <col min="4" max="16384" width="10.7109375" style="57"/>
  </cols>
  <sheetData>
    <row r="1" spans="1:3" ht="14.25" hidden="1" customHeight="1" x14ac:dyDescent="0.25">
      <c r="A1" s="61"/>
      <c r="B1" s="180"/>
    </row>
    <row r="2" spans="1:3" ht="14.25" hidden="1" customHeight="1" x14ac:dyDescent="0.25">
      <c r="A2" s="61" t="s">
        <v>147</v>
      </c>
      <c r="B2" s="180">
        <v>7704252480311</v>
      </c>
    </row>
    <row r="3" spans="1:3" ht="14.25" hidden="1" customHeight="1" x14ac:dyDescent="0.25">
      <c r="A3" s="61" t="s">
        <v>157</v>
      </c>
      <c r="B3" s="180">
        <v>12345678</v>
      </c>
    </row>
    <row r="4" spans="1:3" ht="14.25" hidden="1" customHeight="1" x14ac:dyDescent="0.25">
      <c r="A4" s="61" t="s">
        <v>161</v>
      </c>
      <c r="B4" s="180">
        <v>1</v>
      </c>
    </row>
    <row r="5" spans="1:3" ht="14.25" hidden="1" customHeight="1" x14ac:dyDescent="0.25">
      <c r="A5" s="64" t="s">
        <v>168</v>
      </c>
      <c r="B5" s="182">
        <v>1029228534</v>
      </c>
      <c r="C5" s="63">
        <v>44985</v>
      </c>
    </row>
    <row r="6" spans="1:3" ht="14.25" hidden="1" customHeight="1" x14ac:dyDescent="0.25">
      <c r="A6" s="64" t="s">
        <v>169</v>
      </c>
      <c r="B6" s="182">
        <v>1087781368</v>
      </c>
      <c r="C6" s="63">
        <v>44985</v>
      </c>
    </row>
    <row r="7" spans="1:3" ht="14.25" hidden="1" customHeight="1" x14ac:dyDescent="0.25">
      <c r="A7" s="64" t="s">
        <v>170</v>
      </c>
      <c r="B7" s="182">
        <v>1022927079</v>
      </c>
      <c r="C7" s="63">
        <v>44985</v>
      </c>
    </row>
    <row r="8" spans="1:3" ht="14.25" hidden="1" customHeight="1" x14ac:dyDescent="0.25">
      <c r="A8" s="64" t="s">
        <v>171</v>
      </c>
      <c r="B8" s="182">
        <v>1035429342</v>
      </c>
      <c r="C8" s="63">
        <v>44985</v>
      </c>
    </row>
    <row r="9" spans="1:3" ht="14.25" hidden="1" customHeight="1" x14ac:dyDescent="0.25">
      <c r="A9" s="64" t="s">
        <v>172</v>
      </c>
      <c r="B9" s="182">
        <v>1047694333</v>
      </c>
      <c r="C9" s="63">
        <v>44985</v>
      </c>
    </row>
    <row r="10" spans="1:3" ht="14.25" hidden="1" customHeight="1" x14ac:dyDescent="0.25">
      <c r="A10" s="64" t="s">
        <v>173</v>
      </c>
      <c r="B10" s="182">
        <v>1066947794</v>
      </c>
      <c r="C10" s="63">
        <v>44985</v>
      </c>
    </row>
    <row r="11" spans="1:3" ht="14.25" hidden="1" customHeight="1" x14ac:dyDescent="0.25">
      <c r="A11" s="64" t="s">
        <v>165</v>
      </c>
      <c r="B11" s="182">
        <v>1063066805</v>
      </c>
      <c r="C11" s="63">
        <v>44985</v>
      </c>
    </row>
    <row r="12" spans="1:3" ht="14.25" hidden="1" customHeight="1" x14ac:dyDescent="0.25">
      <c r="A12" s="64" t="s">
        <v>174</v>
      </c>
      <c r="B12" s="182">
        <v>1091343037</v>
      </c>
      <c r="C12" s="63">
        <v>44985</v>
      </c>
    </row>
    <row r="13" spans="1:3" ht="14.25" hidden="1" customHeight="1" x14ac:dyDescent="0.25">
      <c r="A13" s="64" t="s">
        <v>175</v>
      </c>
      <c r="B13" s="182">
        <v>1051908100</v>
      </c>
      <c r="C13" s="63">
        <v>44985</v>
      </c>
    </row>
    <row r="14" spans="1:3" ht="14.25" hidden="1" customHeight="1" x14ac:dyDescent="0.25">
      <c r="A14" s="64" t="s">
        <v>176</v>
      </c>
      <c r="B14" s="182">
        <v>1055111293</v>
      </c>
      <c r="C14" s="63">
        <v>44985</v>
      </c>
    </row>
    <row r="15" spans="1:3" ht="14.25" hidden="1" customHeight="1" x14ac:dyDescent="0.25">
      <c r="A15" s="64" t="s">
        <v>177</v>
      </c>
      <c r="B15" s="182">
        <v>1052478328</v>
      </c>
      <c r="C15" s="63">
        <v>45016</v>
      </c>
    </row>
    <row r="16" spans="1:3" ht="14.25" hidden="1" customHeight="1" x14ac:dyDescent="0.25">
      <c r="A16" s="64" t="s">
        <v>178</v>
      </c>
      <c r="B16" s="182">
        <v>1025075112</v>
      </c>
      <c r="C16" s="63">
        <v>45016</v>
      </c>
    </row>
    <row r="17" spans="1:3" ht="14.25" hidden="1" customHeight="1" x14ac:dyDescent="0.25">
      <c r="A17" s="64" t="s">
        <v>179</v>
      </c>
      <c r="B17" s="182">
        <v>1053991839</v>
      </c>
      <c r="C17" s="63">
        <v>45016</v>
      </c>
    </row>
    <row r="18" spans="1:3" ht="14.25" hidden="1" customHeight="1" x14ac:dyDescent="0.25">
      <c r="A18" s="64" t="s">
        <v>180</v>
      </c>
      <c r="B18" s="182">
        <v>1033556954</v>
      </c>
      <c r="C18" s="63">
        <v>45107</v>
      </c>
    </row>
    <row r="19" spans="1:3" ht="14.25" hidden="1" customHeight="1" x14ac:dyDescent="0.25">
      <c r="A19" s="64" t="s">
        <v>181</v>
      </c>
      <c r="B19" s="182">
        <v>1092132486</v>
      </c>
      <c r="C19" s="63">
        <v>45107</v>
      </c>
    </row>
    <row r="20" spans="1:3" ht="14.25" hidden="1" customHeight="1" x14ac:dyDescent="0.25">
      <c r="A20" s="64" t="s">
        <v>182</v>
      </c>
      <c r="B20" s="182">
        <v>1083485252</v>
      </c>
      <c r="C20" s="63">
        <v>45107</v>
      </c>
    </row>
    <row r="21" spans="1:3" ht="14.25" hidden="1" customHeight="1" x14ac:dyDescent="0.25">
      <c r="A21" s="64" t="s">
        <v>183</v>
      </c>
      <c r="B21" s="182">
        <v>1091382146</v>
      </c>
      <c r="C21" s="63">
        <v>45107</v>
      </c>
    </row>
    <row r="22" spans="1:3" ht="14.25" hidden="1" customHeight="1" x14ac:dyDescent="0.25">
      <c r="A22" s="64" t="s">
        <v>184</v>
      </c>
      <c r="B22" s="182">
        <v>1066249887</v>
      </c>
      <c r="C22" s="63">
        <v>45107</v>
      </c>
    </row>
    <row r="23" spans="1:3" ht="14.25" hidden="1" customHeight="1" x14ac:dyDescent="0.25">
      <c r="A23" s="64" t="s">
        <v>185</v>
      </c>
      <c r="B23" s="182">
        <v>1072700758</v>
      </c>
      <c r="C23" s="63">
        <v>45107</v>
      </c>
    </row>
    <row r="24" spans="1:3" ht="14.25" hidden="1" customHeight="1" x14ac:dyDescent="0.25">
      <c r="A24" s="64" t="s">
        <v>186</v>
      </c>
      <c r="B24" s="182">
        <v>1029265897</v>
      </c>
      <c r="C24" s="63">
        <v>45107</v>
      </c>
    </row>
    <row r="25" spans="1:3" ht="14.25" hidden="1" customHeight="1" x14ac:dyDescent="0.25">
      <c r="A25" s="64" t="s">
        <v>187</v>
      </c>
      <c r="B25" s="182">
        <v>1085724455</v>
      </c>
      <c r="C25" s="63">
        <v>45199</v>
      </c>
    </row>
    <row r="26" spans="1:3" ht="14.25" hidden="1" customHeight="1" x14ac:dyDescent="0.25">
      <c r="A26" s="64" t="s">
        <v>188</v>
      </c>
      <c r="B26" s="182">
        <v>1052656942</v>
      </c>
      <c r="C26" s="63">
        <v>45107</v>
      </c>
    </row>
    <row r="27" spans="1:3" ht="14.25" hidden="1" customHeight="1" x14ac:dyDescent="0.25">
      <c r="A27" s="64" t="s">
        <v>189</v>
      </c>
      <c r="B27" s="182">
        <v>1064348096</v>
      </c>
      <c r="C27" s="63">
        <v>45107</v>
      </c>
    </row>
    <row r="28" spans="1:3" ht="14.25" hidden="1" customHeight="1" x14ac:dyDescent="0.25">
      <c r="A28" s="64" t="s">
        <v>190</v>
      </c>
      <c r="B28" s="182">
        <v>1037241010</v>
      </c>
      <c r="C28" s="63">
        <v>45107</v>
      </c>
    </row>
    <row r="29" spans="1:3" ht="14.25" hidden="1" customHeight="1" x14ac:dyDescent="0.25">
      <c r="A29" s="64" t="s">
        <v>191</v>
      </c>
      <c r="B29" s="182">
        <v>1067974250</v>
      </c>
      <c r="C29" s="63">
        <v>45107</v>
      </c>
    </row>
    <row r="30" spans="1:3" ht="14.25" hidden="1" customHeight="1" x14ac:dyDescent="0.25">
      <c r="A30" s="64" t="s">
        <v>192</v>
      </c>
      <c r="B30" s="182">
        <v>1082659677</v>
      </c>
      <c r="C30" s="63">
        <v>45199</v>
      </c>
    </row>
    <row r="31" spans="1:3" ht="14.25" hidden="1" customHeight="1" x14ac:dyDescent="0.25">
      <c r="A31" s="64" t="s">
        <v>193</v>
      </c>
      <c r="B31" s="182">
        <v>1028300070</v>
      </c>
      <c r="C31" s="63">
        <v>45199</v>
      </c>
    </row>
    <row r="32" spans="1:3" ht="14.25" hidden="1" customHeight="1" x14ac:dyDescent="0.25">
      <c r="A32" s="64" t="s">
        <v>194</v>
      </c>
      <c r="B32" s="182">
        <v>1055228674</v>
      </c>
      <c r="C32" s="63">
        <v>45199</v>
      </c>
    </row>
    <row r="33" spans="1:3" ht="14.25" hidden="1" customHeight="1" x14ac:dyDescent="0.25">
      <c r="A33" s="64" t="s">
        <v>259</v>
      </c>
      <c r="C33" s="63">
        <v>45138</v>
      </c>
    </row>
    <row r="34" spans="1:3" ht="14.25" hidden="1" customHeight="1" x14ac:dyDescent="0.25">
      <c r="A34" s="64" t="s">
        <v>260</v>
      </c>
      <c r="C34" s="63">
        <v>45138</v>
      </c>
    </row>
    <row r="35" spans="1:3" ht="14.25" hidden="1" customHeight="1" x14ac:dyDescent="0.25">
      <c r="A35" s="64" t="s">
        <v>261</v>
      </c>
      <c r="C35" s="63">
        <v>45138</v>
      </c>
    </row>
    <row r="36" spans="1:3" ht="14.25" hidden="1" customHeight="1" x14ac:dyDescent="0.25">
      <c r="A36" s="64" t="s">
        <v>262</v>
      </c>
      <c r="C36" s="63">
        <v>45138</v>
      </c>
    </row>
    <row r="37" spans="1:3" ht="14.25" hidden="1" customHeight="1" x14ac:dyDescent="0.25">
      <c r="A37" s="64" t="s">
        <v>263</v>
      </c>
      <c r="C37" s="63">
        <v>45138</v>
      </c>
    </row>
    <row r="38" spans="1:3" ht="14.25" hidden="1" customHeight="1" x14ac:dyDescent="0.25">
      <c r="A38" s="64" t="s">
        <v>195</v>
      </c>
      <c r="B38" s="182">
        <v>1099960039</v>
      </c>
      <c r="C38" s="63">
        <v>45199</v>
      </c>
    </row>
    <row r="39" spans="1:3" ht="14.25" hidden="1" customHeight="1" x14ac:dyDescent="0.25">
      <c r="A39" s="64" t="s">
        <v>196</v>
      </c>
      <c r="B39" s="182">
        <v>1090741251</v>
      </c>
      <c r="C39" s="63">
        <v>45199</v>
      </c>
    </row>
    <row r="40" spans="1:3" ht="14.25" hidden="1" customHeight="1" x14ac:dyDescent="0.25">
      <c r="A40" s="64" t="s">
        <v>197</v>
      </c>
      <c r="B40" s="182">
        <v>1030339999</v>
      </c>
      <c r="C40" s="63">
        <v>45199</v>
      </c>
    </row>
    <row r="41" spans="1:3" ht="14.25" hidden="1" customHeight="1" x14ac:dyDescent="0.25">
      <c r="A41" s="64" t="s">
        <v>198</v>
      </c>
      <c r="B41" s="182">
        <v>1037624955</v>
      </c>
      <c r="C41" s="63">
        <v>45199</v>
      </c>
    </row>
    <row r="42" spans="1:3" ht="14.25" hidden="1" customHeight="1" x14ac:dyDescent="0.25">
      <c r="A42" s="64" t="s">
        <v>199</v>
      </c>
      <c r="B42" s="182">
        <v>1030277124</v>
      </c>
      <c r="C42" s="63">
        <v>45199</v>
      </c>
    </row>
    <row r="43" spans="1:3" ht="14.25" hidden="1" customHeight="1" x14ac:dyDescent="0.25">
      <c r="A43" s="64" t="s">
        <v>200</v>
      </c>
      <c r="B43" s="182">
        <v>1087647927</v>
      </c>
      <c r="C43" s="63">
        <v>45199</v>
      </c>
    </row>
    <row r="44" spans="1:3" ht="14.25" hidden="1" customHeight="1" x14ac:dyDescent="0.25">
      <c r="A44" s="64" t="s">
        <v>201</v>
      </c>
      <c r="B44" s="182">
        <v>1092849564</v>
      </c>
      <c r="C44" s="63">
        <v>45199</v>
      </c>
    </row>
    <row r="45" spans="1:3" ht="14.25" hidden="1" customHeight="1" x14ac:dyDescent="0.25">
      <c r="A45" s="64" t="s">
        <v>202</v>
      </c>
      <c r="B45" s="182">
        <v>1062942708</v>
      </c>
      <c r="C45" s="63">
        <v>45199</v>
      </c>
    </row>
    <row r="46" spans="1:3" ht="14.25" hidden="1" customHeight="1" x14ac:dyDescent="0.25">
      <c r="A46" s="64" t="s">
        <v>203</v>
      </c>
      <c r="B46" s="182">
        <v>1080000373</v>
      </c>
      <c r="C46" s="63">
        <v>45199</v>
      </c>
    </row>
    <row r="47" spans="1:3" ht="14.25" hidden="1" customHeight="1" x14ac:dyDescent="0.25">
      <c r="A47" s="64" t="s">
        <v>204</v>
      </c>
      <c r="B47" s="182">
        <v>1032634709</v>
      </c>
      <c r="C47" s="63">
        <v>45199</v>
      </c>
    </row>
    <row r="48" spans="1:3" ht="14.25" hidden="1" customHeight="1" x14ac:dyDescent="0.25">
      <c r="A48" s="64" t="s">
        <v>205</v>
      </c>
      <c r="B48" s="182">
        <v>1020383086</v>
      </c>
      <c r="C48" s="63">
        <v>45199</v>
      </c>
    </row>
    <row r="49" spans="1:3" ht="14.25" hidden="1" customHeight="1" x14ac:dyDescent="0.25">
      <c r="A49" s="64" t="s">
        <v>206</v>
      </c>
      <c r="B49" s="182">
        <v>1052912083</v>
      </c>
      <c r="C49" s="63">
        <v>45199</v>
      </c>
    </row>
    <row r="50" spans="1:3" ht="14.25" hidden="1" customHeight="1" x14ac:dyDescent="0.25">
      <c r="A50" s="64" t="s">
        <v>166</v>
      </c>
      <c r="B50" s="182">
        <v>1025980109</v>
      </c>
      <c r="C50" s="63">
        <v>45199</v>
      </c>
    </row>
    <row r="51" spans="1:3" ht="14.25" hidden="1" customHeight="1" x14ac:dyDescent="0.25">
      <c r="A51" s="64" t="s">
        <v>207</v>
      </c>
      <c r="B51" s="182">
        <v>1089996718</v>
      </c>
      <c r="C51" s="63">
        <v>45199</v>
      </c>
    </row>
    <row r="52" spans="1:3" ht="14.25" hidden="1" customHeight="1" x14ac:dyDescent="0.25">
      <c r="A52" s="64" t="s">
        <v>208</v>
      </c>
      <c r="B52" s="182">
        <v>1027842682</v>
      </c>
      <c r="C52" s="63">
        <v>45199</v>
      </c>
    </row>
    <row r="53" spans="1:3" ht="14.25" hidden="1" customHeight="1" x14ac:dyDescent="0.25">
      <c r="A53" s="64" t="s">
        <v>209</v>
      </c>
      <c r="B53" s="182">
        <v>1029713021</v>
      </c>
      <c r="C53" s="63">
        <v>45199</v>
      </c>
    </row>
    <row r="54" spans="1:3" ht="14.25" hidden="1" customHeight="1" x14ac:dyDescent="0.25">
      <c r="A54" s="64" t="s">
        <v>210</v>
      </c>
      <c r="B54" s="182">
        <v>1092661970</v>
      </c>
      <c r="C54" s="63">
        <v>45199</v>
      </c>
    </row>
    <row r="55" spans="1:3" ht="14.25" hidden="1" customHeight="1" x14ac:dyDescent="0.25">
      <c r="A55" s="64" t="s">
        <v>163</v>
      </c>
      <c r="B55" s="182">
        <v>1087229242</v>
      </c>
      <c r="C55" s="63">
        <v>45199</v>
      </c>
    </row>
    <row r="56" spans="1:3" ht="14.25" hidden="1" customHeight="1" x14ac:dyDescent="0.25">
      <c r="A56" s="64" t="s">
        <v>211</v>
      </c>
      <c r="B56" s="182">
        <v>1085449111</v>
      </c>
      <c r="C56" s="63">
        <v>45199</v>
      </c>
    </row>
    <row r="57" spans="1:3" ht="14.25" hidden="1" customHeight="1" x14ac:dyDescent="0.25">
      <c r="A57" s="64" t="s">
        <v>212</v>
      </c>
      <c r="B57" s="182">
        <v>1052627991</v>
      </c>
      <c r="C57" s="63">
        <v>45199</v>
      </c>
    </row>
    <row r="58" spans="1:3" ht="14.25" hidden="1" customHeight="1" x14ac:dyDescent="0.25">
      <c r="A58" s="64" t="s">
        <v>213</v>
      </c>
      <c r="B58" s="182">
        <v>1073709299</v>
      </c>
      <c r="C58" s="63">
        <v>45199</v>
      </c>
    </row>
    <row r="59" spans="1:3" ht="14.25" hidden="1" customHeight="1" x14ac:dyDescent="0.25">
      <c r="A59" s="64" t="s">
        <v>214</v>
      </c>
      <c r="B59" s="182">
        <v>1057516001</v>
      </c>
      <c r="C59" s="63">
        <v>45199</v>
      </c>
    </row>
    <row r="60" spans="1:3" ht="14.25" hidden="1" customHeight="1" x14ac:dyDescent="0.25">
      <c r="A60" s="64" t="s">
        <v>215</v>
      </c>
      <c r="B60" s="182">
        <v>1035037622</v>
      </c>
      <c r="C60" s="63">
        <v>45199</v>
      </c>
    </row>
    <row r="61" spans="1:3" ht="14.25" hidden="1" customHeight="1" x14ac:dyDescent="0.25">
      <c r="A61" s="64" t="s">
        <v>216</v>
      </c>
      <c r="B61" s="182">
        <v>1025053303</v>
      </c>
      <c r="C61" s="63">
        <v>45199</v>
      </c>
    </row>
    <row r="62" spans="1:3" ht="14.25" hidden="1" customHeight="1" x14ac:dyDescent="0.25">
      <c r="A62" s="64" t="s">
        <v>217</v>
      </c>
      <c r="B62" s="182">
        <v>1063629291</v>
      </c>
      <c r="C62" s="63">
        <v>45199</v>
      </c>
    </row>
    <row r="63" spans="1:3" ht="14.25" hidden="1" customHeight="1" x14ac:dyDescent="0.25">
      <c r="A63" s="64" t="s">
        <v>218</v>
      </c>
      <c r="B63" s="182">
        <v>1036001235</v>
      </c>
      <c r="C63" s="63">
        <v>45199</v>
      </c>
    </row>
    <row r="64" spans="1:3" ht="14.25" hidden="1" customHeight="1" x14ac:dyDescent="0.25">
      <c r="A64" s="64" t="s">
        <v>219</v>
      </c>
      <c r="B64" s="182">
        <v>1093002080</v>
      </c>
      <c r="C64" s="63">
        <v>45199</v>
      </c>
    </row>
    <row r="65" spans="1:3" ht="14.25" hidden="1" customHeight="1" x14ac:dyDescent="0.25">
      <c r="A65" s="64" t="s">
        <v>164</v>
      </c>
      <c r="B65" s="182">
        <v>1027337279</v>
      </c>
      <c r="C65" s="63">
        <v>45199</v>
      </c>
    </row>
    <row r="66" spans="1:3" ht="14.25" hidden="1" customHeight="1" x14ac:dyDescent="0.25">
      <c r="A66" s="64" t="s">
        <v>220</v>
      </c>
      <c r="B66" s="182">
        <v>1035952152</v>
      </c>
      <c r="C66" s="63">
        <v>45199</v>
      </c>
    </row>
    <row r="67" spans="1:3" ht="14.25" hidden="1" customHeight="1" x14ac:dyDescent="0.25">
      <c r="A67" s="64" t="s">
        <v>221</v>
      </c>
      <c r="B67" s="182">
        <v>1053707336</v>
      </c>
      <c r="C67" s="63">
        <v>45199</v>
      </c>
    </row>
    <row r="68" spans="1:3" ht="14.25" hidden="1" customHeight="1" x14ac:dyDescent="0.25">
      <c r="A68" s="64" t="s">
        <v>222</v>
      </c>
      <c r="B68" s="182">
        <v>1071882374</v>
      </c>
      <c r="C68" s="63">
        <v>45199</v>
      </c>
    </row>
    <row r="69" spans="1:3" ht="14.25" hidden="1" customHeight="1" x14ac:dyDescent="0.25">
      <c r="A69" s="64" t="s">
        <v>223</v>
      </c>
      <c r="B69" s="182">
        <v>1077777494</v>
      </c>
      <c r="C69" s="63">
        <v>45199</v>
      </c>
    </row>
    <row r="70" spans="1:3" ht="14.25" hidden="1" customHeight="1" x14ac:dyDescent="0.25">
      <c r="A70" s="64" t="s">
        <v>264</v>
      </c>
      <c r="B70" s="182">
        <v>1071813000</v>
      </c>
      <c r="C70" s="63">
        <v>45199</v>
      </c>
    </row>
    <row r="71" spans="1:3" ht="14.25" hidden="1" customHeight="1" x14ac:dyDescent="0.25">
      <c r="A71" s="64" t="s">
        <v>224</v>
      </c>
      <c r="B71" s="182">
        <v>1035895020</v>
      </c>
      <c r="C71" s="63">
        <v>45199</v>
      </c>
    </row>
    <row r="72" spans="1:3" ht="14.25" hidden="1" customHeight="1" x14ac:dyDescent="0.25">
      <c r="A72" s="64" t="s">
        <v>225</v>
      </c>
      <c r="B72" s="182">
        <v>1094443701</v>
      </c>
      <c r="C72" s="63">
        <v>45199</v>
      </c>
    </row>
    <row r="73" spans="1:3" ht="14.25" hidden="1" customHeight="1" x14ac:dyDescent="0.25">
      <c r="A73" s="64" t="s">
        <v>226</v>
      </c>
      <c r="B73" s="182">
        <v>1024412241</v>
      </c>
      <c r="C73" s="63">
        <v>45199</v>
      </c>
    </row>
    <row r="74" spans="1:3" ht="14.25" hidden="1" customHeight="1" x14ac:dyDescent="0.25">
      <c r="A74" s="64" t="s">
        <v>227</v>
      </c>
      <c r="B74" s="182">
        <v>1038467998</v>
      </c>
      <c r="C74" s="63">
        <v>45199</v>
      </c>
    </row>
    <row r="75" spans="1:3" ht="14.25" hidden="1" customHeight="1" x14ac:dyDescent="0.25">
      <c r="A75" s="64" t="s">
        <v>228</v>
      </c>
      <c r="B75" s="182">
        <v>1031605369</v>
      </c>
      <c r="C75" s="63">
        <v>45199</v>
      </c>
    </row>
    <row r="76" spans="1:3" ht="14.25" hidden="1" customHeight="1" x14ac:dyDescent="0.25">
      <c r="A76" s="64" t="s">
        <v>229</v>
      </c>
      <c r="B76" s="182">
        <v>1025302469</v>
      </c>
      <c r="C76" s="63">
        <v>45199</v>
      </c>
    </row>
    <row r="77" spans="1:3" ht="14.25" hidden="1" customHeight="1" x14ac:dyDescent="0.25">
      <c r="A77" s="64" t="s">
        <v>214</v>
      </c>
      <c r="B77" s="182">
        <v>1028202715</v>
      </c>
      <c r="C77" s="63">
        <v>45199</v>
      </c>
    </row>
    <row r="78" spans="1:3" ht="14.25" hidden="1" customHeight="1" x14ac:dyDescent="0.25">
      <c r="A78" s="64" t="s">
        <v>167</v>
      </c>
      <c r="B78" s="182">
        <v>1056572278</v>
      </c>
      <c r="C78" s="63">
        <v>45199</v>
      </c>
    </row>
    <row r="79" spans="1:3" ht="14.25" hidden="1" customHeight="1" x14ac:dyDescent="0.25">
      <c r="A79" s="64" t="s">
        <v>230</v>
      </c>
      <c r="B79" s="182">
        <v>1053230149</v>
      </c>
      <c r="C79" s="63">
        <v>45199</v>
      </c>
    </row>
    <row r="80" spans="1:3" ht="14.25" hidden="1" customHeight="1" x14ac:dyDescent="0.25">
      <c r="A80" s="64" t="s">
        <v>231</v>
      </c>
      <c r="B80" s="182">
        <v>1086206805</v>
      </c>
      <c r="C80" s="63">
        <v>45199</v>
      </c>
    </row>
    <row r="81" spans="1:3" ht="14.25" hidden="1" customHeight="1" x14ac:dyDescent="0.25">
      <c r="A81" s="64" t="s">
        <v>232</v>
      </c>
      <c r="B81" s="182">
        <v>1086463002</v>
      </c>
      <c r="C81" s="63">
        <v>45199</v>
      </c>
    </row>
    <row r="82" spans="1:3" ht="14.25" hidden="1" customHeight="1" x14ac:dyDescent="0.25">
      <c r="A82" s="64" t="s">
        <v>233</v>
      </c>
      <c r="B82" s="182">
        <v>1084383572</v>
      </c>
      <c r="C82" s="63">
        <v>45199</v>
      </c>
    </row>
    <row r="83" spans="1:3" ht="14.25" hidden="1" customHeight="1" x14ac:dyDescent="0.25">
      <c r="A83" s="64" t="s">
        <v>234</v>
      </c>
      <c r="B83" s="182">
        <v>1034883634</v>
      </c>
      <c r="C83" s="63">
        <v>45199</v>
      </c>
    </row>
    <row r="84" spans="1:3" ht="14.25" hidden="1" customHeight="1" x14ac:dyDescent="0.25">
      <c r="A84" s="64" t="s">
        <v>235</v>
      </c>
      <c r="B84" s="182">
        <v>1054708444</v>
      </c>
      <c r="C84" s="63">
        <v>45199</v>
      </c>
    </row>
    <row r="85" spans="1:3" ht="14.25" hidden="1" customHeight="1" x14ac:dyDescent="0.25">
      <c r="A85" s="64" t="s">
        <v>236</v>
      </c>
      <c r="B85" s="182">
        <v>1062767953</v>
      </c>
      <c r="C85" s="63">
        <v>45199</v>
      </c>
    </row>
    <row r="86" spans="1:3" ht="14.25" hidden="1" customHeight="1" x14ac:dyDescent="0.25">
      <c r="A86" s="64" t="s">
        <v>237</v>
      </c>
      <c r="B86" s="182">
        <v>1038779869</v>
      </c>
      <c r="C86" s="63">
        <v>45199</v>
      </c>
    </row>
    <row r="87" spans="1:3" ht="14.25" hidden="1" customHeight="1" x14ac:dyDescent="0.25">
      <c r="A87" s="64" t="s">
        <v>238</v>
      </c>
      <c r="B87" s="182">
        <v>1026910615</v>
      </c>
      <c r="C87" s="63">
        <v>45199</v>
      </c>
    </row>
    <row r="88" spans="1:3" ht="14.25" hidden="1" customHeight="1" x14ac:dyDescent="0.25">
      <c r="A88" s="64" t="s">
        <v>239</v>
      </c>
      <c r="B88" s="182">
        <v>1037505644</v>
      </c>
      <c r="C88" s="63">
        <v>45199</v>
      </c>
    </row>
    <row r="89" spans="1:3" ht="14.25" hidden="1" customHeight="1" x14ac:dyDescent="0.25">
      <c r="A89" s="64" t="s">
        <v>240</v>
      </c>
      <c r="B89" s="182">
        <v>1063610964</v>
      </c>
      <c r="C89" s="63">
        <v>45199</v>
      </c>
    </row>
    <row r="90" spans="1:3" ht="14.25" hidden="1" customHeight="1" x14ac:dyDescent="0.25">
      <c r="A90" s="64" t="s">
        <v>241</v>
      </c>
      <c r="B90" s="182">
        <v>1030746552</v>
      </c>
      <c r="C90" s="63">
        <v>45199</v>
      </c>
    </row>
    <row r="91" spans="1:3" ht="14.25" hidden="1" customHeight="1" x14ac:dyDescent="0.25">
      <c r="A91" s="64" t="s">
        <v>242</v>
      </c>
      <c r="B91" s="182">
        <v>1033241835</v>
      </c>
      <c r="C91" s="63">
        <v>45199</v>
      </c>
    </row>
    <row r="92" spans="1:3" ht="14.25" hidden="1" customHeight="1" x14ac:dyDescent="0.25">
      <c r="A92" s="64" t="s">
        <v>243</v>
      </c>
      <c r="B92" s="182">
        <v>1026898854</v>
      </c>
      <c r="C92" s="63">
        <v>45199</v>
      </c>
    </row>
    <row r="93" spans="1:3" ht="14.25" hidden="1" customHeight="1" x14ac:dyDescent="0.25">
      <c r="A93" s="64" t="s">
        <v>244</v>
      </c>
      <c r="B93" s="182">
        <v>1054299150</v>
      </c>
      <c r="C93" s="63">
        <v>45199</v>
      </c>
    </row>
    <row r="94" spans="1:3" ht="14.25" hidden="1" customHeight="1" x14ac:dyDescent="0.25">
      <c r="A94" s="64" t="s">
        <v>245</v>
      </c>
      <c r="B94" s="182">
        <v>1029140130</v>
      </c>
      <c r="C94" s="63">
        <v>45199</v>
      </c>
    </row>
    <row r="95" spans="1:3" ht="14.25" hidden="1" customHeight="1" x14ac:dyDescent="0.25">
      <c r="A95" s="64" t="s">
        <v>246</v>
      </c>
      <c r="B95" s="182">
        <v>1028855788</v>
      </c>
      <c r="C95" s="63">
        <v>45199</v>
      </c>
    </row>
    <row r="96" spans="1:3" ht="14.25" hidden="1" customHeight="1" x14ac:dyDescent="0.25">
      <c r="A96" s="64" t="s">
        <v>247</v>
      </c>
      <c r="B96" s="182">
        <v>1022882224</v>
      </c>
      <c r="C96" s="63">
        <v>45199</v>
      </c>
    </row>
    <row r="97" spans="1:3" ht="14.25" hidden="1" customHeight="1" x14ac:dyDescent="0.25">
      <c r="A97" s="64" t="s">
        <v>248</v>
      </c>
      <c r="B97" s="182">
        <v>1030761052</v>
      </c>
      <c r="C97" s="63">
        <v>45199</v>
      </c>
    </row>
    <row r="98" spans="1:3" ht="14.25" hidden="1" customHeight="1" x14ac:dyDescent="0.25">
      <c r="A98" s="64" t="s">
        <v>249</v>
      </c>
      <c r="B98" s="182">
        <v>1087127002</v>
      </c>
      <c r="C98" s="63">
        <v>45199</v>
      </c>
    </row>
    <row r="99" spans="1:3" ht="14.25" hidden="1" customHeight="1" x14ac:dyDescent="0.25">
      <c r="A99" s="64" t="s">
        <v>250</v>
      </c>
      <c r="B99" s="182">
        <v>1026910615</v>
      </c>
      <c r="C99" s="63">
        <v>45199</v>
      </c>
    </row>
    <row r="100" spans="1:3" ht="14.25" hidden="1" customHeight="1" x14ac:dyDescent="0.25">
      <c r="A100" s="64" t="s">
        <v>251</v>
      </c>
      <c r="B100" s="182">
        <v>1035908246</v>
      </c>
      <c r="C100" s="63">
        <v>45199</v>
      </c>
    </row>
    <row r="101" spans="1:3" ht="14.25" hidden="1" customHeight="1" x14ac:dyDescent="0.25">
      <c r="A101" s="64" t="s">
        <v>252</v>
      </c>
      <c r="B101" s="182">
        <v>1087492841</v>
      </c>
      <c r="C101" s="63">
        <v>45230</v>
      </c>
    </row>
    <row r="102" spans="1:3" ht="14.25" hidden="1" customHeight="1" x14ac:dyDescent="0.25">
      <c r="A102" s="64" t="s">
        <v>253</v>
      </c>
      <c r="B102" s="182">
        <v>1058581108</v>
      </c>
      <c r="C102" s="63">
        <v>45230</v>
      </c>
    </row>
    <row r="103" spans="1:3" ht="14.25" hidden="1" customHeight="1" x14ac:dyDescent="0.25">
      <c r="A103" s="64" t="s">
        <v>254</v>
      </c>
      <c r="B103" s="182">
        <v>1053168129</v>
      </c>
      <c r="C103" s="63">
        <v>45230</v>
      </c>
    </row>
    <row r="104" spans="1:3" ht="14.25" hidden="1" customHeight="1" x14ac:dyDescent="0.25">
      <c r="A104" s="64" t="s">
        <v>162</v>
      </c>
      <c r="B104" s="182">
        <v>1045598775</v>
      </c>
      <c r="C104" s="63">
        <v>45230</v>
      </c>
    </row>
    <row r="105" spans="1:3" ht="14.25" hidden="1" customHeight="1" x14ac:dyDescent="0.25">
      <c r="A105" s="64" t="s">
        <v>255</v>
      </c>
      <c r="B105" s="182">
        <v>1065942772</v>
      </c>
      <c r="C105" s="63">
        <v>45230</v>
      </c>
    </row>
    <row r="106" spans="1:3" ht="14.25" hidden="1" customHeight="1" x14ac:dyDescent="0.25">
      <c r="A106" s="64" t="s">
        <v>256</v>
      </c>
      <c r="B106" s="182">
        <v>1039090050</v>
      </c>
      <c r="C106" s="63">
        <v>45230</v>
      </c>
    </row>
    <row r="107" spans="1:3" ht="14.25" hidden="1" customHeight="1" x14ac:dyDescent="0.25">
      <c r="A107" s="64" t="s">
        <v>257</v>
      </c>
      <c r="B107" s="182">
        <v>1037770123</v>
      </c>
      <c r="C107" s="63">
        <v>45260</v>
      </c>
    </row>
    <row r="108" spans="1:3" ht="14.25" hidden="1" customHeight="1" x14ac:dyDescent="0.25">
      <c r="A108" s="64" t="s">
        <v>258</v>
      </c>
      <c r="B108" s="182">
        <v>1088037396</v>
      </c>
      <c r="C108" s="63">
        <v>45291</v>
      </c>
    </row>
    <row r="109" spans="1:3" ht="14.25" hidden="1" customHeight="1" x14ac:dyDescent="0.25">
      <c r="A109" s="64" t="s">
        <v>192</v>
      </c>
      <c r="B109" s="182">
        <v>1038652343</v>
      </c>
      <c r="C109" s="63">
        <v>45199</v>
      </c>
    </row>
    <row r="110" spans="1:3" ht="14.25" hidden="1" customHeight="1" x14ac:dyDescent="0.25">
      <c r="A110" s="64" t="s">
        <v>265</v>
      </c>
      <c r="B110" s="182">
        <v>1234</v>
      </c>
      <c r="C110" s="63">
        <v>45291</v>
      </c>
    </row>
    <row r="111" spans="1:3" ht="14.25" hidden="1" customHeight="1" x14ac:dyDescent="0.25">
      <c r="A111" s="64" t="s">
        <v>266</v>
      </c>
      <c r="B111" s="182">
        <v>1234</v>
      </c>
      <c r="C111" s="63">
        <v>45291</v>
      </c>
    </row>
    <row r="112" spans="1:3" ht="14.25" hidden="1" customHeight="1" x14ac:dyDescent="0.25">
      <c r="A112" s="64" t="s">
        <v>267</v>
      </c>
      <c r="B112" s="182">
        <v>1234</v>
      </c>
      <c r="C112" s="63">
        <v>45291</v>
      </c>
    </row>
    <row r="113" spans="1:3" ht="14.25" hidden="1" customHeight="1" x14ac:dyDescent="0.25">
      <c r="A113" s="64" t="s">
        <v>268</v>
      </c>
      <c r="B113" s="182">
        <v>1234</v>
      </c>
      <c r="C113" s="63">
        <v>45291</v>
      </c>
    </row>
    <row r="114" spans="1:3" ht="14.25" hidden="1" customHeight="1" x14ac:dyDescent="0.25">
      <c r="A114" s="64" t="s">
        <v>269</v>
      </c>
      <c r="B114" s="182">
        <v>1234</v>
      </c>
      <c r="C114" s="63">
        <v>45291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13"/>
  <sheetViews>
    <sheetView showRowColHeaders="0" topLeftCell="A14" workbookViewId="0">
      <selection activeCell="I36" sqref="I36"/>
    </sheetView>
  </sheetViews>
  <sheetFormatPr defaultColWidth="8.7109375" defaultRowHeight="13.5" x14ac:dyDescent="0.25"/>
  <cols>
    <col min="1" max="16384" width="8.710937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47</vt:i4>
      </vt:variant>
    </vt:vector>
  </HeadingPairs>
  <TitlesOfParts>
    <vt:vector size="48" baseType="lpstr">
      <vt:lpstr>안내메시지</vt:lpstr>
      <vt:lpstr>data1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data18</vt:lpstr>
      <vt:lpstr>data19</vt:lpstr>
      <vt:lpstr>data2</vt:lpstr>
      <vt:lpstr>data20</vt:lpstr>
      <vt:lpstr>data21</vt:lpstr>
      <vt:lpstr>data22</vt:lpstr>
      <vt:lpstr>data23</vt:lpstr>
      <vt:lpstr>data24</vt:lpstr>
      <vt:lpstr>data25</vt:lpstr>
      <vt:lpstr>data26</vt:lpstr>
      <vt:lpstr>data27</vt:lpstr>
      <vt:lpstr>data28</vt:lpstr>
      <vt:lpstr>data29</vt:lpstr>
      <vt:lpstr>data3</vt:lpstr>
      <vt:lpstr>data30</vt:lpstr>
      <vt:lpstr>data31</vt:lpstr>
      <vt:lpstr>data4</vt:lpstr>
      <vt:lpstr>data5</vt:lpstr>
      <vt:lpstr>data6</vt:lpstr>
      <vt:lpstr>data7</vt:lpstr>
      <vt:lpstr>data8</vt:lpstr>
      <vt:lpstr>data9</vt:lpstr>
      <vt:lpstr>'FCFF&amp;영업권계산'!Print_Area</vt:lpstr>
      <vt:lpstr>WACC추정!Print_Area</vt:lpstr>
      <vt:lpstr>감정평가보고서!Print_Area</vt:lpstr>
      <vt:lpstr>데이터입력!Print_Area</vt:lpstr>
      <vt:lpstr>'매출액&amp;매출원가'!Print_Area</vt:lpstr>
      <vt:lpstr>'판관비&amp;비현금손익외'!Print_Area</vt:lpstr>
      <vt:lpstr>WACC</vt:lpstr>
      <vt:lpstr>검색시작일</vt:lpstr>
      <vt:lpstr>검색종료일</vt:lpstr>
      <vt:lpstr>'매출액&amp;매출원가'!기준매출액</vt:lpstr>
      <vt:lpstr>'매출액&amp;매출원가'!매출액성장률</vt:lpstr>
      <vt:lpstr>매출원가율</vt:lpstr>
      <vt:lpstr>잔존월수</vt:lpstr>
      <vt:lpstr>판매관리비율</vt:lpstr>
      <vt:lpstr>평가기준일</vt:lpstr>
      <vt:lpstr>평가대상</vt:lpstr>
    </vt:vector>
  </TitlesOfParts>
  <Company>메트라이프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박세라</dc:creator>
  <cp:lastModifiedBy>엄 태오</cp:lastModifiedBy>
  <cp:lastPrinted>2022-01-28T07:14:45Z</cp:lastPrinted>
  <dcterms:created xsi:type="dcterms:W3CDTF">2015-04-29T04:31:10Z</dcterms:created>
  <dcterms:modified xsi:type="dcterms:W3CDTF">2023-01-31T11:44:20Z</dcterms:modified>
</cp:coreProperties>
</file>