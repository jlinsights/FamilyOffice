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ara Park\Desktop\런인베스트 아카데미\법인컨설팅\0. 법인컨설팅 자료\[자료] 보장성보험 세무회계처리 관련  자료\"/>
    </mc:Choice>
  </mc:AlternateContent>
  <xr:revisionPtr revIDLastSave="0" documentId="13_ncr:1_{B523D093-D19A-41F8-9418-BE8DB50CCC0A}" xr6:coauthVersionLast="45" xr6:coauthVersionMax="45" xr10:uidLastSave="{00000000-0000-0000-0000-000000000000}"/>
  <workbookProtection workbookPassword="CCFD" lockStructure="1"/>
  <bookViews>
    <workbookView xWindow="28680" yWindow="-120" windowWidth="29040" windowHeight="15840" tabRatio="215" xr2:uid="{00000000-000D-0000-FFFF-FFFF00000000}"/>
  </bookViews>
  <sheets>
    <sheet name="종신보험 비용처리" sheetId="1" r:id="rId1"/>
  </sheets>
  <definedNames>
    <definedName name="_xlnm.Print_Area" localSheetId="0">'종신보험 비용처리'!$B$3:$I$29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9" i="1" l="1"/>
  <c r="G20" i="1"/>
  <c r="G21" i="1"/>
  <c r="G22" i="1"/>
  <c r="G23" i="1"/>
  <c r="G24" i="1"/>
  <c r="G25" i="1"/>
  <c r="G26" i="1"/>
  <c r="G27" i="1"/>
  <c r="G28" i="1"/>
  <c r="G12" i="1"/>
  <c r="G11" i="1"/>
  <c r="I19" i="1"/>
  <c r="D19" i="1"/>
  <c r="D18" i="1"/>
  <c r="D17" i="1"/>
  <c r="D12" i="1"/>
  <c r="D13" i="1"/>
  <c r="D14" i="1"/>
  <c r="D15" i="1"/>
  <c r="D16" i="1"/>
  <c r="D11" i="1"/>
  <c r="D10" i="1"/>
  <c r="G10" i="1" s="1"/>
  <c r="E23" i="1" l="1"/>
  <c r="E24" i="1"/>
  <c r="E25" i="1"/>
  <c r="E26" i="1"/>
  <c r="E27" i="1"/>
  <c r="E28" i="1"/>
  <c r="E29" i="1"/>
  <c r="E11" i="1"/>
  <c r="E12" i="1"/>
  <c r="E13" i="1"/>
  <c r="E14" i="1"/>
  <c r="E15" i="1"/>
  <c r="E16" i="1"/>
  <c r="E17" i="1"/>
  <c r="E18" i="1"/>
  <c r="E19" i="1"/>
  <c r="E20" i="1"/>
  <c r="E21" i="1"/>
  <c r="E22" i="1"/>
  <c r="E10" i="1"/>
  <c r="C10" i="1"/>
  <c r="C11" i="1" l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I18" i="1" l="1"/>
  <c r="I17" i="1"/>
  <c r="I10" i="1" l="1"/>
  <c r="J10" i="1" s="1"/>
  <c r="H10" i="1"/>
  <c r="I11" i="1" l="1"/>
  <c r="J11" i="1" s="1"/>
  <c r="I12" i="1" s="1"/>
  <c r="H11" i="1"/>
  <c r="J12" i="1" l="1"/>
  <c r="H12" i="1"/>
  <c r="G13" i="1" s="1"/>
  <c r="I13" i="1" l="1"/>
  <c r="J13" i="1" s="1"/>
  <c r="H13" i="1"/>
  <c r="G14" i="1" s="1"/>
  <c r="I14" i="1" l="1"/>
  <c r="J14" i="1" s="1"/>
  <c r="H14" i="1"/>
  <c r="G15" i="1" s="1"/>
  <c r="I15" i="1" l="1"/>
  <c r="J15" i="1" s="1"/>
  <c r="H15" i="1"/>
  <c r="G16" i="1" s="1"/>
  <c r="I16" i="1" l="1"/>
  <c r="J16" i="1"/>
  <c r="J17" i="1" s="1"/>
  <c r="H16" i="1"/>
  <c r="G17" i="1" s="1"/>
  <c r="H17" i="1" l="1"/>
  <c r="G18" i="1" s="1"/>
  <c r="J18" i="1"/>
  <c r="H18" i="1" l="1"/>
  <c r="H20" i="1"/>
  <c r="J19" i="1"/>
  <c r="I20" i="1" s="1"/>
  <c r="G19" i="1" l="1"/>
  <c r="H19" i="1" s="1"/>
  <c r="H21" i="1"/>
  <c r="J20" i="1"/>
  <c r="I21" i="1" s="1"/>
  <c r="H22" i="1" l="1"/>
  <c r="J21" i="1"/>
  <c r="I22" i="1" s="1"/>
  <c r="H23" i="1" l="1"/>
  <c r="J22" i="1"/>
  <c r="I23" i="1" s="1"/>
  <c r="H24" i="1" l="1"/>
  <c r="J23" i="1"/>
  <c r="I24" i="1" s="1"/>
  <c r="H25" i="1" l="1"/>
  <c r="J24" i="1"/>
  <c r="I25" i="1" s="1"/>
  <c r="H26" i="1" l="1"/>
  <c r="J25" i="1"/>
  <c r="I26" i="1" s="1"/>
  <c r="H27" i="1" l="1"/>
  <c r="J26" i="1"/>
  <c r="I27" i="1" s="1"/>
  <c r="H28" i="1" l="1"/>
  <c r="J27" i="1"/>
  <c r="I28" i="1" s="1"/>
  <c r="H29" i="1" l="1"/>
  <c r="J28" i="1"/>
  <c r="I29" i="1" s="1"/>
  <c r="J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LG</author>
  </authors>
  <commentList>
    <comment ref="C9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누적납입보험료는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월납입액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자동계산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세팅되어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있으나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추가납입등의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납입보험료가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변경됐을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입력합니다</t>
        </r>
        <r>
          <rPr>
            <b/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<sst xmlns="http://schemas.openxmlformats.org/spreadsheetml/2006/main" count="17" uniqueCount="17">
  <si>
    <t>경과기간</t>
    <phoneticPr fontId="2" type="noConversion"/>
  </si>
  <si>
    <t>누적 납입보험료</t>
    <phoneticPr fontId="2" type="noConversion"/>
  </si>
  <si>
    <t>해지환급금</t>
    <phoneticPr fontId="2" type="noConversion"/>
  </si>
  <si>
    <t>환급률</t>
    <phoneticPr fontId="2" type="noConversion"/>
  </si>
  <si>
    <t>비용처리 보험료</t>
    <phoneticPr fontId="2" type="noConversion"/>
  </si>
  <si>
    <t>자산계상 보험료</t>
    <phoneticPr fontId="2" type="noConversion"/>
  </si>
  <si>
    <t>누적비용처리 보험료</t>
    <phoneticPr fontId="2" type="noConversion"/>
  </si>
  <si>
    <t>누적자산계상보험료</t>
    <phoneticPr fontId="2" type="noConversion"/>
  </si>
  <si>
    <t>납입기간</t>
    <phoneticPr fontId="2" type="noConversion"/>
  </si>
  <si>
    <t>월 납입보험료</t>
    <phoneticPr fontId="2" type="noConversion"/>
  </si>
  <si>
    <t xml:space="preserve"> 년</t>
    <phoneticPr fontId="2" type="noConversion"/>
  </si>
  <si>
    <t xml:space="preserve"> 원</t>
    <phoneticPr fontId="2" type="noConversion"/>
  </si>
  <si>
    <t>보장성보험 비용보험료 및 자산계상 보험료 계산식</t>
    <phoneticPr fontId="2" type="noConversion"/>
  </si>
  <si>
    <t xml:space="preserve"> </t>
    <phoneticPr fontId="2" type="noConversion"/>
  </si>
  <si>
    <t xml:space="preserve">  첫해년도 납입월차</t>
    <phoneticPr fontId="2" type="noConversion"/>
  </si>
  <si>
    <t>회</t>
    <phoneticPr fontId="2" type="noConversion"/>
  </si>
  <si>
    <t>(단위: 원)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</si>
</sst>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#&quot;년&quot;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b/>
      <sz val="16"/>
      <color theme="1"/>
      <name val="HY중고딕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00206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00206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2060"/>
      </left>
      <right/>
      <top style="thin">
        <color rgb="FF002060"/>
      </top>
      <bottom style="thin">
        <color theme="0" tint="-0.249977111117893"/>
      </bottom>
      <diagonal/>
    </border>
    <border>
      <left/>
      <right/>
      <top style="thin">
        <color rgb="FF002060"/>
      </top>
      <bottom style="thin">
        <color theme="0" tint="-0.249977111117893"/>
      </bottom>
      <diagonal/>
    </border>
    <border>
      <left/>
      <right style="thin">
        <color rgb="FF002060"/>
      </right>
      <top style="thin">
        <color rgb="FF002060"/>
      </top>
      <bottom style="thin">
        <color theme="0" tint="-0.249977111117893"/>
      </bottom>
      <diagonal/>
    </border>
    <border>
      <left style="thin">
        <color rgb="FF002060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rgb="FF002060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2060"/>
      </left>
      <right/>
      <top style="thin">
        <color theme="0" tint="-0.249977111117893"/>
      </top>
      <bottom style="thin">
        <color rgb="FF002060"/>
      </bottom>
      <diagonal/>
    </border>
    <border>
      <left/>
      <right/>
      <top style="thin">
        <color theme="0" tint="-0.249977111117893"/>
      </top>
      <bottom style="thin">
        <color rgb="FF002060"/>
      </bottom>
      <diagonal/>
    </border>
    <border>
      <left/>
      <right style="thin">
        <color rgb="FF002060"/>
      </right>
      <top style="thin">
        <color theme="0" tint="-0.249977111117893"/>
      </top>
      <bottom style="thin">
        <color rgb="FF002060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176" fontId="4" fillId="2" borderId="4" xfId="1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0" fontId="4" fillId="2" borderId="0" xfId="0" applyFont="1" applyFill="1" applyBorder="1" applyAlignment="1">
      <alignment horizontal="left" vertical="center"/>
    </xf>
    <xf numFmtId="0" fontId="5" fillId="2" borderId="0" xfId="0" applyFont="1" applyFill="1" applyBorder="1">
      <alignment vertical="center"/>
    </xf>
    <xf numFmtId="0" fontId="0" fillId="2" borderId="0" xfId="0" applyFill="1" applyBorder="1" applyAlignment="1">
      <alignment horizontal="center" vertical="center"/>
    </xf>
    <xf numFmtId="177" fontId="4" fillId="2" borderId="5" xfId="0" applyNumberFormat="1" applyFont="1" applyFill="1" applyBorder="1" applyAlignment="1">
      <alignment horizontal="center" vertical="center"/>
    </xf>
    <xf numFmtId="176" fontId="4" fillId="2" borderId="5" xfId="1" applyFont="1" applyFill="1" applyBorder="1" applyAlignment="1" applyProtection="1">
      <alignment horizontal="center" vertical="center"/>
    </xf>
    <xf numFmtId="176" fontId="4" fillId="4" borderId="5" xfId="1" applyFont="1" applyFill="1" applyBorder="1" applyAlignment="1" applyProtection="1">
      <alignment horizontal="center" vertical="center"/>
      <protection locked="0"/>
    </xf>
    <xf numFmtId="176" fontId="4" fillId="2" borderId="5" xfId="1" applyFont="1" applyFill="1" applyBorder="1" applyAlignment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177" fontId="4" fillId="2" borderId="7" xfId="0" applyNumberFormat="1" applyFont="1" applyFill="1" applyBorder="1" applyAlignment="1">
      <alignment horizontal="center" vertical="center"/>
    </xf>
    <xf numFmtId="176" fontId="4" fillId="2" borderId="7" xfId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  <protection locked="0"/>
    </xf>
    <xf numFmtId="176" fontId="4" fillId="2" borderId="7" xfId="1" applyFont="1" applyFill="1" applyBorder="1" applyAlignment="1">
      <alignment horizontal="center" vertical="center"/>
    </xf>
    <xf numFmtId="176" fontId="9" fillId="4" borderId="8" xfId="1" applyFont="1" applyFill="1" applyBorder="1" applyAlignment="1" applyProtection="1">
      <alignment horizontal="right" vertical="center"/>
      <protection locked="0"/>
    </xf>
    <xf numFmtId="0" fontId="4" fillId="4" borderId="11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left" vertical="center"/>
    </xf>
    <xf numFmtId="176" fontId="9" fillId="4" borderId="15" xfId="1" applyFont="1" applyFill="1" applyBorder="1" applyAlignment="1" applyProtection="1">
      <alignment horizontal="right" vertical="center"/>
      <protection locked="0"/>
    </xf>
    <xf numFmtId="0" fontId="4" fillId="4" borderId="16" xfId="0" applyFont="1" applyFill="1" applyBorder="1" applyAlignment="1">
      <alignment horizontal="left" vertical="center"/>
    </xf>
    <xf numFmtId="176" fontId="9" fillId="4" borderId="17" xfId="1" applyFont="1" applyFill="1" applyBorder="1" applyAlignment="1" applyProtection="1">
      <alignment horizontal="right" vertical="center"/>
      <protection locked="0"/>
    </xf>
    <xf numFmtId="0" fontId="9" fillId="7" borderId="14" xfId="0" applyFont="1" applyFill="1" applyBorder="1" applyAlignment="1">
      <alignment horizontal="left" vertical="center"/>
    </xf>
    <xf numFmtId="0" fontId="9" fillId="7" borderId="15" xfId="0" applyFont="1" applyFill="1" applyBorder="1" applyAlignment="1">
      <alignment horizontal="left" vertical="center"/>
    </xf>
    <xf numFmtId="10" fontId="7" fillId="2" borderId="5" xfId="1" applyNumberFormat="1" applyFont="1" applyFill="1" applyBorder="1" applyAlignment="1">
      <alignment horizontal="center" vertical="center"/>
    </xf>
    <xf numFmtId="10" fontId="7" fillId="2" borderId="18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left" vertical="center" indent="1"/>
    </xf>
    <xf numFmtId="0" fontId="9" fillId="7" borderId="10" xfId="0" applyFont="1" applyFill="1" applyBorder="1" applyAlignment="1">
      <alignment horizontal="left" vertical="center" indent="1"/>
    </xf>
    <xf numFmtId="0" fontId="9" fillId="7" borderId="12" xfId="0" applyFont="1" applyFill="1" applyBorder="1" applyAlignment="1">
      <alignment horizontal="left" vertical="center" indent="1"/>
    </xf>
    <xf numFmtId="0" fontId="9" fillId="7" borderId="8" xfId="0" applyFont="1" applyFill="1" applyBorder="1" applyAlignment="1">
      <alignment horizontal="left" vertical="center" indent="1"/>
    </xf>
    <xf numFmtId="0" fontId="3" fillId="3" borderId="6" xfId="0" applyFont="1" applyFill="1" applyBorder="1" applyAlignment="1">
      <alignment horizontal="center" vertical="center"/>
    </xf>
    <xf numFmtId="176" fontId="4" fillId="2" borderId="18" xfId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right"/>
    </xf>
  </cellXfs>
  <cellStyles count="2">
    <cellStyle name="쉼표 [0]" xfId="1" builtinId="6"/>
    <cellStyle name="표준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115887</xdr:colOff>
      <xdr:row>0</xdr:row>
      <xdr:rowOff>71438</xdr:rowOff>
    </xdr:from>
    <xdr:to>
      <xdr:col>2</xdr:col>
      <xdr:colOff>182562</xdr:colOff>
      <xdr:row>2</xdr:row>
      <xdr:rowOff>278595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603"/>
        <a:stretch/>
      </xdr:blipFill>
      <xdr:spPr>
        <a:xfrm>
          <a:off x="115887" y="71438"/>
          <a:ext cx="1023938" cy="815170"/>
        </a:xfrm>
        <a:prstGeom prst="rect">
          <a:avLst/>
        </a:prstGeom>
      </xdr:spPr>
    </xdr:pic>
    <xdr:clientData/>
  </xdr:twoCellAnchor>
  <xdr:twoCellAnchor>
    <xdr:from>
      <xdr:col>0</xdr:col>
      <xdr:colOff>214312</xdr:colOff>
      <xdr:row>29</xdr:row>
      <xdr:rowOff>47625</xdr:rowOff>
    </xdr:from>
    <xdr:to>
      <xdr:col>6</xdr:col>
      <xdr:colOff>968374</xdr:colOff>
      <xdr:row>30</xdr:row>
      <xdr:rowOff>90947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4312" y="9429750"/>
          <a:ext cx="5056187" cy="352885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 eaLnBrk="0" latinLnBrk="0" hangingPunct="0">
            <a:lnSpc>
              <a:spcPts val="1200"/>
            </a:lnSpc>
          </a:pPr>
          <a:r>
            <a:rPr lang="en-US" altLang="ko-KR" sz="900">
              <a:solidFill>
                <a:schemeClr val="bg1">
                  <a:lumMod val="50000"/>
                </a:schemeClr>
              </a:solidFill>
              <a:latin typeface="+mn-ea"/>
            </a:rPr>
            <a:t>Copyright ⓒ LearnInvest Co., Ltd.   All right reserved.</a:t>
          </a:r>
          <a:endParaRPr lang="ko-KR" altLang="ko-KR" sz="800">
            <a:solidFill>
              <a:schemeClr val="bg1">
                <a:lumMod val="50000"/>
              </a:schemeClr>
            </a:solidFill>
            <a:latin typeface="+mn-ea"/>
          </a:endParaRPr>
        </a:p>
      </xdr:txBody>
    </xdr:sp>
    <xdr:clientData/>
  </xdr:twoCellAnchor>
  <xdr:twoCellAnchor editAs="oneCell">
    <xdr:from>
      <xdr:col>5</xdr:col>
      <xdr:colOff>301625</xdr:colOff>
      <xdr:row>3</xdr:row>
      <xdr:rowOff>309563</xdr:rowOff>
    </xdr:from>
    <xdr:to>
      <xdr:col>6</xdr:col>
      <xdr:colOff>206375</xdr:colOff>
      <xdr:row>5</xdr:row>
      <xdr:rowOff>296863</xdr:rowOff>
    </xdr:to>
    <xdr:pic macro="[0]!출력하기"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8750" y="1563688"/>
          <a:ext cx="539750" cy="674688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11</xdr:col>
      <xdr:colOff>620726</xdr:colOff>
      <xdr:row>4</xdr:row>
      <xdr:rowOff>0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8572500" y="1629833"/>
          <a:ext cx="617551" cy="0"/>
          <a:chOff x="3954981" y="2705100"/>
          <a:chExt cx="1234038" cy="1489079"/>
        </a:xfrm>
      </xdr:grpSpPr>
      <xdr:sp macro="" textlink="">
        <xdr:nvSpPr>
          <xdr:cNvPr id="8" name="모서리가 둥근 직사각형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954981" y="2705100"/>
            <a:ext cx="1135075" cy="1447800"/>
          </a:xfrm>
          <a:prstGeom prst="roundRect">
            <a:avLst/>
          </a:prstGeom>
          <a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 l="-11000" r="-11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tint val="50000"/>
              <a:hueOff val="0"/>
              <a:satOff val="0"/>
              <a:lumOff val="0"/>
              <a:alphaOff val="0"/>
            </a:schemeClr>
          </a:effectRef>
          <a:fontRef idx="minor">
            <a:schemeClr val="lt1">
              <a:hueOff val="0"/>
              <a:satOff val="0"/>
              <a:lumOff val="0"/>
              <a:alphaOff val="0"/>
            </a:schemeClr>
          </a:fontRef>
        </xdr:style>
        <xdr:txBody>
          <a:bodyPr wrap="square"/>
          <a:lstStyle/>
          <a:p>
            <a:endParaRPr lang="ko-KR" altLang="en-US" sz="700"/>
          </a:p>
        </xdr:txBody>
      </xdr:sp>
      <xdr:grpSp>
        <xdr:nvGrpSpPr>
          <xdr:cNvPr id="9" name="그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4245201" y="3254875"/>
            <a:ext cx="943818" cy="939304"/>
            <a:chOff x="290225" y="549775"/>
            <a:chExt cx="943818" cy="939304"/>
          </a:xfrm>
        </xdr:grpSpPr>
        <xdr:sp macro="" textlink="">
          <xdr:nvSpPr>
            <xdr:cNvPr id="10" name="직사각형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360036" y="549775"/>
              <a:ext cx="874007" cy="868680"/>
            </a:xfrm>
            <a:prstGeom prst="rect">
              <a:avLst/>
            </a:prstGeom>
            <a:noFill/>
            <a:ln>
              <a:noFill/>
            </a:ln>
            <a:sp3d/>
          </xdr:spPr>
          <xdr:style>
            <a:lnRef idx="2">
              <a:scrgbClr r="0" g="0" b="0"/>
            </a:lnRef>
            <a:fillRef idx="1">
              <a:scrgbClr r="0" g="0" b="0"/>
            </a:fillRef>
            <a:effectRef idx="0">
              <a:schemeClr val="accent1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  <xdr:txBody>
            <a:bodyPr wrap="square"/>
            <a:lstStyle/>
            <a:p>
              <a:endParaRPr lang="ko-KR" altLang="en-US" sz="700"/>
            </a:p>
          </xdr:txBody>
        </xdr:sp>
        <xdr:sp macro="" textlink="">
          <xdr:nvSpPr>
            <xdr:cNvPr id="11" name="직사각형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290225" y="620399"/>
              <a:ext cx="874007" cy="868680"/>
            </a:xfrm>
            <a:prstGeom prst="rect">
              <a:avLst/>
            </a:prstGeom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50800" tIns="50800" rIns="50800" bIns="50800" numCol="1" spcCol="1270" anchor="b" anchorCtr="0">
              <a:noAutofit/>
            </a:bodyPr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l" defTabSz="889000" latinLnBrk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n-US" altLang="ko-KR" sz="1100" b="1" kern="1200"/>
                <a:t>PDF</a:t>
              </a:r>
              <a:endParaRPr lang="ko-KR" altLang="en-US" sz="1100" b="1" kern="1200"/>
            </a:p>
          </xdr:txBody>
        </xdr:sp>
      </xdr:grpSp>
    </xdr:grpSp>
    <xdr:clientData/>
  </xdr:twoCellAnchor>
  <xdr:twoCellAnchor editAs="oneCell">
    <xdr:from>
      <xdr:col>6</xdr:col>
      <xdr:colOff>277812</xdr:colOff>
      <xdr:row>3</xdr:row>
      <xdr:rowOff>277814</xdr:rowOff>
    </xdr:from>
    <xdr:to>
      <xdr:col>6</xdr:col>
      <xdr:colOff>844550</xdr:colOff>
      <xdr:row>5</xdr:row>
      <xdr:rowOff>294880</xdr:rowOff>
    </xdr:to>
    <xdr:pic macro="[0]!저장하기"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9937" y="1531939"/>
          <a:ext cx="563563" cy="704454"/>
        </a:xfrm>
        <a:prstGeom prst="rect">
          <a:avLst/>
        </a:prstGeom>
      </xdr:spPr>
    </xdr:pic>
    <xdr:clientData/>
  </xdr:twoCellAnchor>
  <xdr:twoCellAnchor editAs="oneCell">
    <xdr:from>
      <xdr:col>6</xdr:col>
      <xdr:colOff>918105</xdr:colOff>
      <xdr:row>3</xdr:row>
      <xdr:rowOff>310623</xdr:rowOff>
    </xdr:from>
    <xdr:to>
      <xdr:col>8</xdr:col>
      <xdr:colOff>29104</xdr:colOff>
      <xdr:row>5</xdr:row>
      <xdr:rowOff>297921</xdr:rowOff>
    </xdr:to>
    <xdr:pic macro="[0]!새로작성"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5522" y="1570040"/>
          <a:ext cx="539749" cy="679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L30"/>
  <sheetViews>
    <sheetView showRowColHeaders="0" tabSelected="1" zoomScale="90" zoomScaleNormal="90" workbookViewId="0">
      <selection activeCell="D5" sqref="D5"/>
    </sheetView>
  </sheetViews>
  <sheetFormatPr defaultRowHeight="17" x14ac:dyDescent="0.45"/>
  <cols>
    <col min="1" max="1" width="3.1640625" style="1" customWidth="1"/>
    <col min="2" max="2" width="9.5" style="1" customWidth="1"/>
    <col min="3" max="4" width="15.83203125" style="2" customWidth="1"/>
    <col min="5" max="5" width="3.83203125" style="2" customWidth="1"/>
    <col min="6" max="6" width="8.33203125" style="2" customWidth="1"/>
    <col min="7" max="7" width="18.75" style="2" customWidth="1"/>
    <col min="8" max="8" width="18.25" style="2" hidden="1" customWidth="1"/>
    <col min="9" max="9" width="19.9140625" style="2" customWidth="1"/>
    <col min="10" max="10" width="16.4140625" style="2" hidden="1" customWidth="1"/>
    <col min="11" max="11" width="17.33203125" style="1" customWidth="1"/>
    <col min="12" max="12" width="12.5" style="1" bestFit="1" customWidth="1"/>
    <col min="13" max="16384" width="8.6640625" style="1"/>
  </cols>
  <sheetData>
    <row r="2" spans="2:12" ht="31.5" customHeight="1" thickBot="1" x14ac:dyDescent="0.5"/>
    <row r="3" spans="2:12" ht="50.5" customHeight="1" thickBot="1" x14ac:dyDescent="0.5">
      <c r="B3" s="32" t="s">
        <v>12</v>
      </c>
      <c r="C3" s="33"/>
      <c r="D3" s="33"/>
      <c r="E3" s="33"/>
      <c r="F3" s="33"/>
      <c r="G3" s="33"/>
      <c r="H3" s="33"/>
      <c r="I3" s="34"/>
    </row>
    <row r="4" spans="2:12" ht="29" customHeight="1" x14ac:dyDescent="0.45">
      <c r="B4" s="3"/>
      <c r="C4" s="3"/>
      <c r="D4" s="3"/>
      <c r="E4" s="3"/>
      <c r="F4" s="3"/>
      <c r="G4" s="3"/>
      <c r="H4" s="3"/>
      <c r="I4" s="3"/>
    </row>
    <row r="5" spans="2:12" ht="25.5" customHeight="1" x14ac:dyDescent="0.45">
      <c r="B5" s="35" t="s">
        <v>8</v>
      </c>
      <c r="C5" s="36"/>
      <c r="D5" s="27">
        <v>10</v>
      </c>
      <c r="E5" s="23" t="s">
        <v>10</v>
      </c>
      <c r="F5" s="7"/>
      <c r="G5" s="3"/>
      <c r="H5" s="3"/>
      <c r="I5" s="3"/>
    </row>
    <row r="6" spans="2:12" ht="25.5" customHeight="1" x14ac:dyDescent="0.45">
      <c r="B6" s="37" t="s">
        <v>9</v>
      </c>
      <c r="C6" s="38"/>
      <c r="D6" s="22">
        <v>1000000</v>
      </c>
      <c r="E6" s="24" t="s">
        <v>11</v>
      </c>
      <c r="F6" s="7"/>
      <c r="G6" s="3"/>
      <c r="H6" s="3"/>
      <c r="I6" s="3" t="s">
        <v>13</v>
      </c>
    </row>
    <row r="7" spans="2:12" ht="25.5" customHeight="1" x14ac:dyDescent="0.45">
      <c r="B7" s="28" t="s">
        <v>14</v>
      </c>
      <c r="C7" s="29"/>
      <c r="D7" s="25">
        <v>12</v>
      </c>
      <c r="E7" s="26" t="s">
        <v>15</v>
      </c>
      <c r="F7" s="7"/>
      <c r="G7" s="3"/>
      <c r="H7" s="3"/>
      <c r="I7" s="3"/>
    </row>
    <row r="8" spans="2:12" ht="37.5" customHeight="1" x14ac:dyDescent="0.45">
      <c r="B8" s="8"/>
      <c r="C8" s="9"/>
      <c r="D8" s="9"/>
      <c r="E8" s="9"/>
      <c r="F8" s="9"/>
      <c r="G8" s="9"/>
      <c r="H8" s="9"/>
      <c r="I8" s="41" t="s">
        <v>16</v>
      </c>
    </row>
    <row r="9" spans="2:12" ht="24.5" customHeight="1" x14ac:dyDescent="0.45">
      <c r="B9" s="15" t="s">
        <v>0</v>
      </c>
      <c r="C9" s="15" t="s">
        <v>1</v>
      </c>
      <c r="D9" s="15" t="s">
        <v>2</v>
      </c>
      <c r="E9" s="39" t="s">
        <v>3</v>
      </c>
      <c r="F9" s="39"/>
      <c r="G9" s="16" t="s">
        <v>4</v>
      </c>
      <c r="H9" s="17" t="s">
        <v>6</v>
      </c>
      <c r="I9" s="16" t="s">
        <v>5</v>
      </c>
      <c r="J9" s="4" t="s">
        <v>7</v>
      </c>
    </row>
    <row r="10" spans="2:12" ht="24.5" customHeight="1" x14ac:dyDescent="0.45">
      <c r="B10" s="10">
        <v>1</v>
      </c>
      <c r="C10" s="11">
        <f>IF(B10&gt;D5,0,D6*D7)</f>
        <v>12000000</v>
      </c>
      <c r="D10" s="12">
        <f>C10*10%</f>
        <v>1200000</v>
      </c>
      <c r="E10" s="30">
        <f>IFERROR(D10/C10,0)</f>
        <v>0.1</v>
      </c>
      <c r="F10" s="30"/>
      <c r="G10" s="13">
        <f>IF(D10="","",C10-D10)</f>
        <v>10800000</v>
      </c>
      <c r="H10" s="13">
        <f>IF(C10=0,0,G10)</f>
        <v>10800000</v>
      </c>
      <c r="I10" s="13">
        <f>IF(E10=0,0,D10)</f>
        <v>1200000</v>
      </c>
      <c r="J10" s="5">
        <f>IF(C10=0,0,I10)</f>
        <v>1200000</v>
      </c>
    </row>
    <row r="11" spans="2:12" ht="24.5" customHeight="1" x14ac:dyDescent="0.45">
      <c r="B11" s="10">
        <v>2</v>
      </c>
      <c r="C11" s="11">
        <f>IF(B11&gt;$D$5,0,C10+($D$6*12))</f>
        <v>24000000</v>
      </c>
      <c r="D11" s="12">
        <f>C11*10%</f>
        <v>2400000</v>
      </c>
      <c r="E11" s="30">
        <f t="shared" ref="E11:E22" si="0">IFERROR(D11/C11,0)</f>
        <v>0.1</v>
      </c>
      <c r="F11" s="30"/>
      <c r="G11" s="13">
        <f>MAX(0,IF(E11=0,0,C11-D11-H10))</f>
        <v>10800000</v>
      </c>
      <c r="H11" s="13">
        <f>IF(C11=0,0,H10+G11)</f>
        <v>21600000</v>
      </c>
      <c r="I11" s="13">
        <f>IF(E11=0,0,D11-J10)</f>
        <v>1200000</v>
      </c>
      <c r="J11" s="5">
        <f>IF(C11=0,0,J10+I11)</f>
        <v>2400000</v>
      </c>
      <c r="L11" s="6"/>
    </row>
    <row r="12" spans="2:12" ht="24.5" customHeight="1" x14ac:dyDescent="0.45">
      <c r="B12" s="10">
        <v>3</v>
      </c>
      <c r="C12" s="11">
        <f t="shared" ref="C12:C29" si="1">IF(B12&gt;$D$5,0,C11+($D$6*12))</f>
        <v>36000000</v>
      </c>
      <c r="D12" s="12">
        <f t="shared" ref="D12:D16" si="2">C12*10%</f>
        <v>3600000</v>
      </c>
      <c r="E12" s="30">
        <f t="shared" si="0"/>
        <v>0.1</v>
      </c>
      <c r="F12" s="30"/>
      <c r="G12" s="13">
        <f t="shared" ref="G12:G28" si="3">MAX(0,IF(E12=0,0,C12-D12-H11))</f>
        <v>10800000</v>
      </c>
      <c r="H12" s="13">
        <f t="shared" ref="H12:H29" si="4">IF(C12=0,0,H11+G12)</f>
        <v>32400000</v>
      </c>
      <c r="I12" s="13">
        <f t="shared" ref="I12:I29" si="5">IF(E12=0,0,D12-J11)</f>
        <v>1200000</v>
      </c>
      <c r="J12" s="5">
        <f t="shared" ref="J12:J29" si="6">IF(C12=0,0,J11+I12)</f>
        <v>3600000</v>
      </c>
    </row>
    <row r="13" spans="2:12" ht="24.5" customHeight="1" x14ac:dyDescent="0.45">
      <c r="B13" s="10">
        <v>4</v>
      </c>
      <c r="C13" s="11">
        <f t="shared" si="1"/>
        <v>48000000</v>
      </c>
      <c r="D13" s="12">
        <f t="shared" si="2"/>
        <v>4800000</v>
      </c>
      <c r="E13" s="30">
        <f t="shared" si="0"/>
        <v>0.1</v>
      </c>
      <c r="F13" s="30"/>
      <c r="G13" s="13">
        <f t="shared" si="3"/>
        <v>10800000</v>
      </c>
      <c r="H13" s="13">
        <f t="shared" si="4"/>
        <v>43200000</v>
      </c>
      <c r="I13" s="13">
        <f t="shared" si="5"/>
        <v>1200000</v>
      </c>
      <c r="J13" s="5">
        <f t="shared" si="6"/>
        <v>4800000</v>
      </c>
    </row>
    <row r="14" spans="2:12" ht="24.5" customHeight="1" x14ac:dyDescent="0.45">
      <c r="B14" s="10">
        <v>5</v>
      </c>
      <c r="C14" s="11">
        <f t="shared" si="1"/>
        <v>60000000</v>
      </c>
      <c r="D14" s="12">
        <f t="shared" si="2"/>
        <v>6000000</v>
      </c>
      <c r="E14" s="30">
        <f t="shared" si="0"/>
        <v>0.1</v>
      </c>
      <c r="F14" s="30"/>
      <c r="G14" s="13">
        <f t="shared" si="3"/>
        <v>10800000</v>
      </c>
      <c r="H14" s="13">
        <f t="shared" si="4"/>
        <v>54000000</v>
      </c>
      <c r="I14" s="13">
        <f t="shared" si="5"/>
        <v>1200000</v>
      </c>
      <c r="J14" s="5">
        <f t="shared" si="6"/>
        <v>6000000</v>
      </c>
    </row>
    <row r="15" spans="2:12" ht="24.5" customHeight="1" x14ac:dyDescent="0.45">
      <c r="B15" s="10">
        <v>6</v>
      </c>
      <c r="C15" s="11">
        <f t="shared" si="1"/>
        <v>72000000</v>
      </c>
      <c r="D15" s="12">
        <f t="shared" si="2"/>
        <v>7200000</v>
      </c>
      <c r="E15" s="30">
        <f t="shared" si="0"/>
        <v>0.1</v>
      </c>
      <c r="F15" s="30"/>
      <c r="G15" s="13">
        <f t="shared" si="3"/>
        <v>10800000</v>
      </c>
      <c r="H15" s="13">
        <f t="shared" si="4"/>
        <v>64800000</v>
      </c>
      <c r="I15" s="13">
        <f t="shared" si="5"/>
        <v>1200000</v>
      </c>
      <c r="J15" s="5">
        <f t="shared" si="6"/>
        <v>7200000</v>
      </c>
    </row>
    <row r="16" spans="2:12" ht="24.5" customHeight="1" x14ac:dyDescent="0.45">
      <c r="B16" s="10">
        <v>7</v>
      </c>
      <c r="C16" s="11">
        <f t="shared" si="1"/>
        <v>84000000</v>
      </c>
      <c r="D16" s="12">
        <f t="shared" si="2"/>
        <v>8400000</v>
      </c>
      <c r="E16" s="30">
        <f t="shared" si="0"/>
        <v>0.1</v>
      </c>
      <c r="F16" s="30"/>
      <c r="G16" s="13">
        <f t="shared" si="3"/>
        <v>10800000</v>
      </c>
      <c r="H16" s="13">
        <f t="shared" si="4"/>
        <v>75600000</v>
      </c>
      <c r="I16" s="13">
        <f t="shared" si="5"/>
        <v>1200000</v>
      </c>
      <c r="J16" s="5">
        <f t="shared" si="6"/>
        <v>8400000</v>
      </c>
    </row>
    <row r="17" spans="2:12" ht="24.5" customHeight="1" x14ac:dyDescent="0.45">
      <c r="B17" s="10">
        <v>8</v>
      </c>
      <c r="C17" s="11">
        <f t="shared" si="1"/>
        <v>96000000</v>
      </c>
      <c r="D17" s="12">
        <f>C17*10%</f>
        <v>9600000</v>
      </c>
      <c r="E17" s="30">
        <f t="shared" si="0"/>
        <v>0.1</v>
      </c>
      <c r="F17" s="30"/>
      <c r="G17" s="13">
        <f t="shared" si="3"/>
        <v>10800000</v>
      </c>
      <c r="H17" s="13">
        <f t="shared" si="4"/>
        <v>86400000</v>
      </c>
      <c r="I17" s="13">
        <f t="shared" si="5"/>
        <v>1200000</v>
      </c>
      <c r="J17" s="5">
        <f t="shared" si="6"/>
        <v>9600000</v>
      </c>
    </row>
    <row r="18" spans="2:12" ht="24.5" customHeight="1" x14ac:dyDescent="0.45">
      <c r="B18" s="10">
        <v>9</v>
      </c>
      <c r="C18" s="11">
        <f t="shared" si="1"/>
        <v>108000000</v>
      </c>
      <c r="D18" s="12">
        <f>C18*10%</f>
        <v>10800000</v>
      </c>
      <c r="E18" s="30">
        <f t="shared" si="0"/>
        <v>0.1</v>
      </c>
      <c r="F18" s="30"/>
      <c r="G18" s="13">
        <f t="shared" si="3"/>
        <v>10800000</v>
      </c>
      <c r="H18" s="13">
        <f t="shared" si="4"/>
        <v>97200000</v>
      </c>
      <c r="I18" s="13">
        <f t="shared" si="5"/>
        <v>1200000</v>
      </c>
      <c r="J18" s="5">
        <f t="shared" si="6"/>
        <v>10800000</v>
      </c>
    </row>
    <row r="19" spans="2:12" ht="24.5" customHeight="1" x14ac:dyDescent="0.45">
      <c r="B19" s="10">
        <v>10</v>
      </c>
      <c r="C19" s="11">
        <f t="shared" si="1"/>
        <v>120000000</v>
      </c>
      <c r="D19" s="12">
        <f>120000000*90%</f>
        <v>108000000</v>
      </c>
      <c r="E19" s="30">
        <f t="shared" si="0"/>
        <v>0.9</v>
      </c>
      <c r="F19" s="30"/>
      <c r="G19" s="13">
        <f t="shared" si="3"/>
        <v>0</v>
      </c>
      <c r="H19" s="13">
        <f>IF(C19=0,0,H18+G19)</f>
        <v>97200000</v>
      </c>
      <c r="I19" s="13">
        <f>IF(E19=0,0,D19-J18)</f>
        <v>97200000</v>
      </c>
      <c r="J19" s="5">
        <f t="shared" si="6"/>
        <v>108000000</v>
      </c>
      <c r="K19" s="6"/>
      <c r="L19" s="6"/>
    </row>
    <row r="20" spans="2:12" ht="24.5" customHeight="1" x14ac:dyDescent="0.45">
      <c r="B20" s="10">
        <v>11</v>
      </c>
      <c r="C20" s="11">
        <f t="shared" si="1"/>
        <v>0</v>
      </c>
      <c r="D20" s="12"/>
      <c r="E20" s="30">
        <f t="shared" si="0"/>
        <v>0</v>
      </c>
      <c r="F20" s="30"/>
      <c r="G20" s="13">
        <f>MAX(0,IF(E20=0,0,C20-D20-H19))</f>
        <v>0</v>
      </c>
      <c r="H20" s="13">
        <f t="shared" si="4"/>
        <v>0</v>
      </c>
      <c r="I20" s="13">
        <f t="shared" si="5"/>
        <v>0</v>
      </c>
      <c r="J20" s="5">
        <f t="shared" si="6"/>
        <v>0</v>
      </c>
    </row>
    <row r="21" spans="2:12" ht="24.5" customHeight="1" x14ac:dyDescent="0.45">
      <c r="B21" s="10">
        <v>12</v>
      </c>
      <c r="C21" s="11">
        <f t="shared" si="1"/>
        <v>0</v>
      </c>
      <c r="D21" s="14"/>
      <c r="E21" s="30">
        <f t="shared" si="0"/>
        <v>0</v>
      </c>
      <c r="F21" s="30"/>
      <c r="G21" s="13">
        <f t="shared" si="3"/>
        <v>0</v>
      </c>
      <c r="H21" s="13">
        <f t="shared" si="4"/>
        <v>0</v>
      </c>
      <c r="I21" s="13">
        <f t="shared" si="5"/>
        <v>0</v>
      </c>
      <c r="J21" s="5">
        <f t="shared" si="6"/>
        <v>0</v>
      </c>
    </row>
    <row r="22" spans="2:12" ht="24.5" customHeight="1" x14ac:dyDescent="0.45">
      <c r="B22" s="10">
        <v>13</v>
      </c>
      <c r="C22" s="11">
        <f>IF(B22&gt;$D$5,0,C21+($D$6*12))</f>
        <v>0</v>
      </c>
      <c r="D22" s="14"/>
      <c r="E22" s="30">
        <f t="shared" si="0"/>
        <v>0</v>
      </c>
      <c r="F22" s="30"/>
      <c r="G22" s="13">
        <f t="shared" si="3"/>
        <v>0</v>
      </c>
      <c r="H22" s="13">
        <f t="shared" si="4"/>
        <v>0</v>
      </c>
      <c r="I22" s="13">
        <f t="shared" si="5"/>
        <v>0</v>
      </c>
      <c r="J22" s="5">
        <f t="shared" si="6"/>
        <v>0</v>
      </c>
    </row>
    <row r="23" spans="2:12" ht="24.5" customHeight="1" x14ac:dyDescent="0.45">
      <c r="B23" s="10">
        <v>14</v>
      </c>
      <c r="C23" s="11">
        <f t="shared" si="1"/>
        <v>0</v>
      </c>
      <c r="D23" s="14"/>
      <c r="E23" s="30">
        <f>IFERROR(D23/C23,0)</f>
        <v>0</v>
      </c>
      <c r="F23" s="30"/>
      <c r="G23" s="13">
        <f t="shared" si="3"/>
        <v>0</v>
      </c>
      <c r="H23" s="13">
        <f t="shared" si="4"/>
        <v>0</v>
      </c>
      <c r="I23" s="13">
        <f t="shared" si="5"/>
        <v>0</v>
      </c>
      <c r="J23" s="5">
        <f t="shared" si="6"/>
        <v>0</v>
      </c>
    </row>
    <row r="24" spans="2:12" ht="24.5" customHeight="1" x14ac:dyDescent="0.45">
      <c r="B24" s="10">
        <v>15</v>
      </c>
      <c r="C24" s="11">
        <f t="shared" si="1"/>
        <v>0</v>
      </c>
      <c r="D24" s="14"/>
      <c r="E24" s="30">
        <f t="shared" ref="E24:E29" si="7">IFERROR(D24/C24,0)</f>
        <v>0</v>
      </c>
      <c r="F24" s="30"/>
      <c r="G24" s="13">
        <f t="shared" si="3"/>
        <v>0</v>
      </c>
      <c r="H24" s="13">
        <f t="shared" si="4"/>
        <v>0</v>
      </c>
      <c r="I24" s="13">
        <f t="shared" si="5"/>
        <v>0</v>
      </c>
      <c r="J24" s="5">
        <f t="shared" si="6"/>
        <v>0</v>
      </c>
    </row>
    <row r="25" spans="2:12" ht="24.5" customHeight="1" x14ac:dyDescent="0.45">
      <c r="B25" s="10">
        <v>16</v>
      </c>
      <c r="C25" s="11">
        <f t="shared" si="1"/>
        <v>0</v>
      </c>
      <c r="D25" s="14"/>
      <c r="E25" s="30">
        <f t="shared" si="7"/>
        <v>0</v>
      </c>
      <c r="F25" s="30"/>
      <c r="G25" s="13">
        <f t="shared" si="3"/>
        <v>0</v>
      </c>
      <c r="H25" s="13">
        <f t="shared" si="4"/>
        <v>0</v>
      </c>
      <c r="I25" s="13">
        <f t="shared" si="5"/>
        <v>0</v>
      </c>
      <c r="J25" s="5">
        <f t="shared" si="6"/>
        <v>0</v>
      </c>
    </row>
    <row r="26" spans="2:12" ht="24.5" customHeight="1" x14ac:dyDescent="0.45">
      <c r="B26" s="10">
        <v>17</v>
      </c>
      <c r="C26" s="11">
        <f t="shared" si="1"/>
        <v>0</v>
      </c>
      <c r="D26" s="14"/>
      <c r="E26" s="30">
        <f t="shared" si="7"/>
        <v>0</v>
      </c>
      <c r="F26" s="30"/>
      <c r="G26" s="13">
        <f t="shared" si="3"/>
        <v>0</v>
      </c>
      <c r="H26" s="13">
        <f t="shared" si="4"/>
        <v>0</v>
      </c>
      <c r="I26" s="13">
        <f t="shared" si="5"/>
        <v>0</v>
      </c>
      <c r="J26" s="5">
        <f t="shared" si="6"/>
        <v>0</v>
      </c>
    </row>
    <row r="27" spans="2:12" ht="24.5" customHeight="1" x14ac:dyDescent="0.45">
      <c r="B27" s="10">
        <v>18</v>
      </c>
      <c r="C27" s="11">
        <f t="shared" si="1"/>
        <v>0</v>
      </c>
      <c r="D27" s="14"/>
      <c r="E27" s="30">
        <f t="shared" si="7"/>
        <v>0</v>
      </c>
      <c r="F27" s="30"/>
      <c r="G27" s="13">
        <f t="shared" si="3"/>
        <v>0</v>
      </c>
      <c r="H27" s="13">
        <f t="shared" si="4"/>
        <v>0</v>
      </c>
      <c r="I27" s="13">
        <f t="shared" si="5"/>
        <v>0</v>
      </c>
      <c r="J27" s="5">
        <f t="shared" si="6"/>
        <v>0</v>
      </c>
    </row>
    <row r="28" spans="2:12" ht="24.5" customHeight="1" x14ac:dyDescent="0.45">
      <c r="B28" s="10">
        <v>19</v>
      </c>
      <c r="C28" s="11">
        <f t="shared" si="1"/>
        <v>0</v>
      </c>
      <c r="D28" s="14"/>
      <c r="E28" s="30">
        <f t="shared" si="7"/>
        <v>0</v>
      </c>
      <c r="F28" s="30"/>
      <c r="G28" s="13">
        <f t="shared" si="3"/>
        <v>0</v>
      </c>
      <c r="H28" s="13">
        <f t="shared" si="4"/>
        <v>0</v>
      </c>
      <c r="I28" s="13">
        <f t="shared" si="5"/>
        <v>0</v>
      </c>
      <c r="J28" s="5">
        <f t="shared" si="6"/>
        <v>0</v>
      </c>
    </row>
    <row r="29" spans="2:12" ht="24.5" customHeight="1" x14ac:dyDescent="0.45">
      <c r="B29" s="18">
        <v>20</v>
      </c>
      <c r="C29" s="19">
        <f t="shared" si="1"/>
        <v>0</v>
      </c>
      <c r="D29" s="20"/>
      <c r="E29" s="31">
        <f t="shared" si="7"/>
        <v>0</v>
      </c>
      <c r="F29" s="31"/>
      <c r="G29" s="40">
        <f>MAX(0,IF(E29=0,0,C29-D29-H28))</f>
        <v>0</v>
      </c>
      <c r="H29" s="21">
        <f t="shared" si="4"/>
        <v>0</v>
      </c>
      <c r="I29" s="21">
        <f t="shared" si="5"/>
        <v>0</v>
      </c>
      <c r="J29" s="5">
        <f t="shared" si="6"/>
        <v>0</v>
      </c>
    </row>
    <row r="30" spans="2:12" ht="24.5" customHeight="1" x14ac:dyDescent="0.45"/>
  </sheetData>
  <sheetProtection algorithmName="SHA-512" hashValue="Vb0OcmrbXTblNLg6bY66ZNPVfURTeVvS7eyXwz8CN88ODl3qN+pxiifCFpYt8c74Ld8QtwURHXawqupw0sibZA==" saltValue="AcJ7p6lWBchRvqMbTiUlYw==" spinCount="100000" sheet="1" selectLockedCells="1"/>
  <mergeCells count="25">
    <mergeCell ref="B3:I3"/>
    <mergeCell ref="B5:C5"/>
    <mergeCell ref="B6:C6"/>
    <mergeCell ref="E9:F9"/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  <mergeCell ref="B7:C7"/>
    <mergeCell ref="E28:F28"/>
    <mergeCell ref="E29:F29"/>
    <mergeCell ref="E22:F22"/>
    <mergeCell ref="E23:F23"/>
    <mergeCell ref="E24:F24"/>
    <mergeCell ref="E25:F25"/>
    <mergeCell ref="E26:F26"/>
    <mergeCell ref="E27:F27"/>
  </mergeCells>
  <phoneticPr fontId="2" type="noConversion"/>
  <conditionalFormatting sqref="E10:F29">
    <cfRule type="cellIs" dxfId="0" priority="1" operator="equal">
      <formula>0</formula>
    </cfRule>
  </conditionalFormatting>
  <pageMargins left="0.51181102362204722" right="0.51181102362204722" top="0.74803149606299213" bottom="0.74803149606299213" header="0.31496062992125984" footer="0.31496062992125984"/>
  <pageSetup paperSize="9" scale="92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종신보험 비용처리</vt:lpstr>
      <vt:lpstr>'종신보험 비용처리'!Print_Area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박세라 </dc:creator>
  <cp:lastModifiedBy>Sara Park</cp:lastModifiedBy>
  <cp:lastPrinted>2018-07-05T10:51:58Z</cp:lastPrinted>
  <dcterms:created xsi:type="dcterms:W3CDTF">2016-02-26T01:53:02Z</dcterms:created>
  <dcterms:modified xsi:type="dcterms:W3CDTF">2020-07-07T09:33:26Z</dcterms:modified>
</cp:coreProperties>
</file>